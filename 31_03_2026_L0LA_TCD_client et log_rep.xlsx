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TC-PC\Desktop\KADEA ACADEMY\Module 1\capstone\da-module-1-projet-capstone-kadea-telco-Jolola-main\bases\EXAMEN\"/>
    </mc:Choice>
  </mc:AlternateContent>
  <xr:revisionPtr revIDLastSave="0" documentId="13_ncr:1_{FBB262B0-B2C8-45C2-9D8B-62C268D9E22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CD" sheetId="9" r:id="rId1"/>
    <sheet name="LOGS_Repertoire_Fusion_clean_im" sheetId="8" r:id="rId2"/>
    <sheet name="Dim_Prov" sheetId="6" r:id="rId3"/>
    <sheet name="CLIENTS_CHURN_clean" sheetId="2" r:id="rId4"/>
  </sheets>
  <definedNames>
    <definedName name="_xlcn.WorksheetConnection_Fusion_clientetlog_rep.xlsxCLIENTS_CHURN341" hidden="1">CLIENTS_CHURN[]</definedName>
    <definedName name="_xlcn.WorksheetConnection_Fusion_clientetlog_rep.xlsxDim_prov1" hidden="1">Dim_prov[]</definedName>
    <definedName name="_xlcn.WorksheetConnection_Fusion_clientetlog_rep.xlsxLOGS_RESEAU1" hidden="1">LOGS_RESEAU[]</definedName>
    <definedName name="_xlcn.WorksheetConnection_Fusion_clientetlog_rep.xlsxLOGS_RESEAU3451" hidden="1">LOGS_RESEAU345</definedName>
    <definedName name="DonnéesExternes_1" localSheetId="3" hidden="1">CLIENTS_CHURN_clean!$A$1:$H$751</definedName>
    <definedName name="DonnéesExternes_1" localSheetId="1" hidden="1">LOGS_Repertoire_Fusion_clean_im!$A$1:$F$1085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S_RESEAU345" name="LOGS_RESEAU345" connection="WorksheetConnection_Fusion_client et log_rep.xlsx!LOGS_RESEAU345"/>
          <x15:modelTable id="LOGS_RESEAU" name="LOGS_RESEAU" connection="WorksheetConnection_Fusion_client et log_rep.xlsx!LOGS_RESEAU"/>
          <x15:modelTable id="Dim_prov" name="Dim_prov" connection="WorksheetConnection_Fusion_client et log_rep.xlsx!Dim_prov"/>
          <x15:modelTable id="CLIENTS_CHURN34" name="CLIENTS_CHURN34" connection="WorksheetConnection_Fusion_client et log_rep.xlsx!CLIENTS_CHURN34"/>
        </x15:modelTables>
        <x15:modelRelationships>
          <x15:modelRelationship fromTable="CLIENTS_CHURN34" fromColumn="Province_RDC" toTable="Dim_prov" toColumn="Province_RDC"/>
          <x15:modelRelationship fromTable="LOGS_RESEAU" fromColumn="Province_RDC" toTable="Dim_prov" toColumn="Province_RD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6" i="9" l="1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6" i="9"/>
  <c r="AQ32" i="9"/>
  <c r="AR32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6" i="9"/>
  <c r="I637" i="2"/>
  <c r="I182" i="2"/>
  <c r="I725" i="2"/>
  <c r="I345" i="2"/>
  <c r="I611" i="2"/>
  <c r="I612" i="2"/>
  <c r="I236" i="2"/>
  <c r="I315" i="2"/>
  <c r="I613" i="2"/>
  <c r="I579" i="2"/>
  <c r="I209" i="2"/>
  <c r="I346" i="2"/>
  <c r="I638" i="2"/>
  <c r="I97" i="2"/>
  <c r="I669" i="2"/>
  <c r="I59" i="2"/>
  <c r="I237" i="2"/>
  <c r="I2" i="2"/>
  <c r="I292" i="2"/>
  <c r="I726" i="2"/>
  <c r="I60" i="2"/>
  <c r="I98" i="2"/>
  <c r="I183" i="2"/>
  <c r="I293" i="2"/>
  <c r="I145" i="2"/>
  <c r="I3" i="2"/>
  <c r="I347" i="2"/>
  <c r="I727" i="2"/>
  <c r="I487" i="2"/>
  <c r="I184" i="2"/>
  <c r="I146" i="2"/>
  <c r="I699" i="2"/>
  <c r="I35" i="2"/>
  <c r="I266" i="2"/>
  <c r="I316" i="2"/>
  <c r="I185" i="2"/>
  <c r="I580" i="2"/>
  <c r="I4" i="2"/>
  <c r="I428" i="2"/>
  <c r="I61" i="2"/>
  <c r="I36" i="2"/>
  <c r="I639" i="2"/>
  <c r="I461" i="2"/>
  <c r="I210" i="2"/>
  <c r="I384" i="2"/>
  <c r="I5" i="2"/>
  <c r="I186" i="2"/>
  <c r="I62" i="2"/>
  <c r="I211" i="2"/>
  <c r="I147" i="2"/>
  <c r="I429" i="2"/>
  <c r="I581" i="2"/>
  <c r="I614" i="2"/>
  <c r="I430" i="2"/>
  <c r="I148" i="2"/>
  <c r="I551" i="2"/>
  <c r="I552" i="2"/>
  <c r="I130" i="2"/>
  <c r="I6" i="2"/>
  <c r="I348" i="2"/>
  <c r="I63" i="2"/>
  <c r="I267" i="2"/>
  <c r="I7" i="2"/>
  <c r="I462" i="2"/>
  <c r="I582" i="2"/>
  <c r="I212" i="2"/>
  <c r="I700" i="2"/>
  <c r="I268" i="2"/>
  <c r="I517" i="2"/>
  <c r="I149" i="2"/>
  <c r="I64" i="2"/>
  <c r="I408" i="2"/>
  <c r="I65" i="2"/>
  <c r="I294" i="2"/>
  <c r="I349" i="2"/>
  <c r="I8" i="2"/>
  <c r="I431" i="2"/>
  <c r="I553" i="2"/>
  <c r="I615" i="2"/>
  <c r="I99" i="2"/>
  <c r="I640" i="2"/>
  <c r="I554" i="2"/>
  <c r="I616" i="2"/>
  <c r="I583" i="2"/>
  <c r="I9" i="2"/>
  <c r="I617" i="2"/>
  <c r="I37" i="2"/>
  <c r="I295" i="2"/>
  <c r="I584" i="2"/>
  <c r="I350" i="2"/>
  <c r="I585" i="2"/>
  <c r="I586" i="2"/>
  <c r="I187" i="2"/>
  <c r="I100" i="2"/>
  <c r="I432" i="2"/>
  <c r="I587" i="2"/>
  <c r="I701" i="2"/>
  <c r="I296" i="2"/>
  <c r="I317" i="2"/>
  <c r="I433" i="2"/>
  <c r="I670" i="2"/>
  <c r="I385" i="2"/>
  <c r="I188" i="2"/>
  <c r="I555" i="2"/>
  <c r="I671" i="2"/>
  <c r="I702" i="2"/>
  <c r="I641" i="2"/>
  <c r="I386" i="2"/>
  <c r="I556" i="2"/>
  <c r="I387" i="2"/>
  <c r="I189" i="2"/>
  <c r="I351" i="2"/>
  <c r="I434" i="2"/>
  <c r="I238" i="2"/>
  <c r="I213" i="2"/>
  <c r="I488" i="2"/>
  <c r="I557" i="2"/>
  <c r="I269" i="2"/>
  <c r="I10" i="2"/>
  <c r="I728" i="2"/>
  <c r="I618" i="2"/>
  <c r="I270" i="2"/>
  <c r="I101" i="2"/>
  <c r="I239" i="2"/>
  <c r="I318" i="2"/>
  <c r="I11" i="2"/>
  <c r="I102" i="2"/>
  <c r="I558" i="2"/>
  <c r="I729" i="2"/>
  <c r="I297" i="2"/>
  <c r="I240" i="2"/>
  <c r="I730" i="2"/>
  <c r="I66" i="2"/>
  <c r="I319" i="2"/>
  <c r="I214" i="2"/>
  <c r="I215" i="2"/>
  <c r="I672" i="2"/>
  <c r="I731" i="2"/>
  <c r="I103" i="2"/>
  <c r="I559" i="2"/>
  <c r="I518" i="2"/>
  <c r="I38" i="2"/>
  <c r="I216" i="2"/>
  <c r="I673" i="2"/>
  <c r="I388" i="2"/>
  <c r="I703" i="2"/>
  <c r="I435" i="2"/>
  <c r="I642" i="2"/>
  <c r="I67" i="2"/>
  <c r="I12" i="2"/>
  <c r="I643" i="2"/>
  <c r="I68" i="2"/>
  <c r="I39" i="2"/>
  <c r="I13" i="2"/>
  <c r="I519" i="2"/>
  <c r="I217" i="2"/>
  <c r="I436" i="2"/>
  <c r="I150" i="2"/>
  <c r="I69" i="2"/>
  <c r="I560" i="2"/>
  <c r="I70" i="2"/>
  <c r="I674" i="2"/>
  <c r="I463" i="2"/>
  <c r="I71" i="2"/>
  <c r="I732" i="2"/>
  <c r="I644" i="2"/>
  <c r="I298" i="2"/>
  <c r="I299" i="2"/>
  <c r="I645" i="2"/>
  <c r="I437" i="2"/>
  <c r="I675" i="2"/>
  <c r="I464" i="2"/>
  <c r="I438" i="2"/>
  <c r="I14" i="2"/>
  <c r="I520" i="2"/>
  <c r="I320" i="2"/>
  <c r="I619" i="2"/>
  <c r="I321" i="2"/>
  <c r="I389" i="2"/>
  <c r="I190" i="2"/>
  <c r="I439" i="2"/>
  <c r="I489" i="2"/>
  <c r="I72" i="2"/>
  <c r="I409" i="2"/>
  <c r="I704" i="2"/>
  <c r="I561" i="2"/>
  <c r="I352" i="2"/>
  <c r="I588" i="2"/>
  <c r="I218" i="2"/>
  <c r="I490" i="2"/>
  <c r="I219" i="2"/>
  <c r="I705" i="2"/>
  <c r="I40" i="2"/>
  <c r="I104" i="2"/>
  <c r="I151" i="2"/>
  <c r="I646" i="2"/>
  <c r="I241" i="2"/>
  <c r="I322" i="2"/>
  <c r="I220" i="2"/>
  <c r="I242" i="2"/>
  <c r="I676" i="2"/>
  <c r="I191" i="2"/>
  <c r="I243" i="2"/>
  <c r="I192" i="2"/>
  <c r="I390" i="2"/>
  <c r="I221" i="2"/>
  <c r="I706" i="2"/>
  <c r="I193" i="2"/>
  <c r="I491" i="2"/>
  <c r="I410" i="2"/>
  <c r="I105" i="2"/>
  <c r="I353" i="2"/>
  <c r="I41" i="2"/>
  <c r="I411" i="2"/>
  <c r="I677" i="2"/>
  <c r="I620" i="2"/>
  <c r="I521" i="2"/>
  <c r="I194" i="2"/>
  <c r="I562" i="2"/>
  <c r="I42" i="2"/>
  <c r="I131" i="2"/>
  <c r="I323" i="2"/>
  <c r="I647" i="2"/>
  <c r="I412" i="2"/>
  <c r="I589" i="2"/>
  <c r="I244" i="2"/>
  <c r="I152" i="2"/>
  <c r="I153" i="2"/>
  <c r="I522" i="2"/>
  <c r="I154" i="2"/>
  <c r="I733" i="2"/>
  <c r="I195" i="2"/>
  <c r="I106" i="2"/>
  <c r="I413" i="2"/>
  <c r="I465" i="2"/>
  <c r="I73" i="2"/>
  <c r="I734" i="2"/>
  <c r="I354" i="2"/>
  <c r="I590" i="2"/>
  <c r="I155" i="2"/>
  <c r="I107" i="2"/>
  <c r="I324" i="2"/>
  <c r="I523" i="2"/>
  <c r="I355" i="2"/>
  <c r="I391" i="2"/>
  <c r="I132" i="2"/>
  <c r="I678" i="2"/>
  <c r="I15" i="2"/>
  <c r="I648" i="2"/>
  <c r="I300" i="2"/>
  <c r="I16" i="2"/>
  <c r="I524" i="2"/>
  <c r="I156" i="2"/>
  <c r="I133" i="2"/>
  <c r="I649" i="2"/>
  <c r="I440" i="2"/>
  <c r="I679" i="2"/>
  <c r="I621" i="2"/>
  <c r="I650" i="2"/>
  <c r="I525" i="2"/>
  <c r="I466" i="2"/>
  <c r="I414" i="2"/>
  <c r="I526" i="2"/>
  <c r="I707" i="2"/>
  <c r="I157" i="2"/>
  <c r="I415" i="2"/>
  <c r="I43" i="2"/>
  <c r="I44" i="2"/>
  <c r="I196" i="2"/>
  <c r="I158" i="2"/>
  <c r="I159" i="2"/>
  <c r="I74" i="2"/>
  <c r="I441" i="2"/>
  <c r="I591" i="2"/>
  <c r="I108" i="2"/>
  <c r="I592" i="2"/>
  <c r="I222" i="2"/>
  <c r="I271" i="2"/>
  <c r="I45" i="2"/>
  <c r="I109" i="2"/>
  <c r="I442" i="2"/>
  <c r="I325" i="2"/>
  <c r="I443" i="2"/>
  <c r="I272" i="2"/>
  <c r="I527" i="2"/>
  <c r="I593" i="2"/>
  <c r="I134" i="2"/>
  <c r="I651" i="2"/>
  <c r="I416" i="2"/>
  <c r="I110" i="2"/>
  <c r="I392" i="2"/>
  <c r="I223" i="2"/>
  <c r="I708" i="2"/>
  <c r="I17" i="2"/>
  <c r="I18" i="2"/>
  <c r="I19" i="2"/>
  <c r="I111" i="2"/>
  <c r="I528" i="2"/>
  <c r="I326" i="2"/>
  <c r="I273" i="2"/>
  <c r="I112" i="2"/>
  <c r="I75" i="2"/>
  <c r="I467" i="2"/>
  <c r="I224" i="2"/>
  <c r="I492" i="2"/>
  <c r="I113" i="2"/>
  <c r="I114" i="2"/>
  <c r="I417" i="2"/>
  <c r="I444" i="2"/>
  <c r="I327" i="2"/>
  <c r="I393" i="2"/>
  <c r="I301" i="2"/>
  <c r="I20" i="2"/>
  <c r="I468" i="2"/>
  <c r="I328" i="2"/>
  <c r="I46" i="2"/>
  <c r="I115" i="2"/>
  <c r="I356" i="2"/>
  <c r="I469" i="2"/>
  <c r="I529" i="2"/>
  <c r="I563" i="2"/>
  <c r="I116" i="2"/>
  <c r="I564" i="2"/>
  <c r="I245" i="2"/>
  <c r="I329" i="2"/>
  <c r="I565" i="2"/>
  <c r="I594" i="2"/>
  <c r="I595" i="2"/>
  <c r="I680" i="2"/>
  <c r="I330" i="2"/>
  <c r="I622" i="2"/>
  <c r="I357" i="2"/>
  <c r="I566" i="2"/>
  <c r="I470" i="2"/>
  <c r="I530" i="2"/>
  <c r="I274" i="2"/>
  <c r="I76" i="2"/>
  <c r="I117" i="2"/>
  <c r="I493" i="2"/>
  <c r="I494" i="2"/>
  <c r="I681" i="2"/>
  <c r="I160" i="2"/>
  <c r="I358" i="2"/>
  <c r="I495" i="2"/>
  <c r="I77" i="2"/>
  <c r="I246" i="2"/>
  <c r="I247" i="2"/>
  <c r="I118" i="2"/>
  <c r="I652" i="2"/>
  <c r="I531" i="2"/>
  <c r="I496" i="2"/>
  <c r="I497" i="2"/>
  <c r="I47" i="2"/>
  <c r="I331" i="2"/>
  <c r="I197" i="2"/>
  <c r="I394" i="2"/>
  <c r="I275" i="2"/>
  <c r="I532" i="2"/>
  <c r="I359" i="2"/>
  <c r="I161" i="2"/>
  <c r="I567" i="2"/>
  <c r="I360" i="2"/>
  <c r="I162" i="2"/>
  <c r="I653" i="2"/>
  <c r="I332" i="2"/>
  <c r="I119" i="2"/>
  <c r="I471" i="2"/>
  <c r="I498" i="2"/>
  <c r="I78" i="2"/>
  <c r="I735" i="2"/>
  <c r="I623" i="2"/>
  <c r="I682" i="2"/>
  <c r="I225" i="2"/>
  <c r="I395" i="2"/>
  <c r="I163" i="2"/>
  <c r="I472" i="2"/>
  <c r="I333" i="2"/>
  <c r="I445" i="2"/>
  <c r="I396" i="2"/>
  <c r="I334" i="2"/>
  <c r="I499" i="2"/>
  <c r="I736" i="2"/>
  <c r="I446" i="2"/>
  <c r="I164" i="2"/>
  <c r="I500" i="2"/>
  <c r="I683" i="2"/>
  <c r="I684" i="2"/>
  <c r="I48" i="2"/>
  <c r="I248" i="2"/>
  <c r="I501" i="2"/>
  <c r="I533" i="2"/>
  <c r="I49" i="2"/>
  <c r="I534" i="2"/>
  <c r="I135" i="2"/>
  <c r="I397" i="2"/>
  <c r="I654" i="2"/>
  <c r="I198" i="2"/>
  <c r="I226" i="2"/>
  <c r="I737" i="2"/>
  <c r="I709" i="2"/>
  <c r="I302" i="2"/>
  <c r="I303" i="2"/>
  <c r="I502" i="2"/>
  <c r="I710" i="2"/>
  <c r="I249" i="2"/>
  <c r="I227" i="2"/>
  <c r="I21" i="2"/>
  <c r="I165" i="2"/>
  <c r="I250" i="2"/>
  <c r="I655" i="2"/>
  <c r="I447" i="2"/>
  <c r="I79" i="2"/>
  <c r="I535" i="2"/>
  <c r="I448" i="2"/>
  <c r="I166" i="2"/>
  <c r="I449" i="2"/>
  <c r="I251" i="2"/>
  <c r="I228" i="2"/>
  <c r="I361" i="2"/>
  <c r="I304" i="2"/>
  <c r="I167" i="2"/>
  <c r="I362" i="2"/>
  <c r="I398" i="2"/>
  <c r="I80" i="2"/>
  <c r="I503" i="2"/>
  <c r="I536" i="2"/>
  <c r="I504" i="2"/>
  <c r="I276" i="2"/>
  <c r="I399" i="2"/>
  <c r="I685" i="2"/>
  <c r="I335" i="2"/>
  <c r="I22" i="2"/>
  <c r="I199" i="2"/>
  <c r="I596" i="2"/>
  <c r="I738" i="2"/>
  <c r="I568" i="2"/>
  <c r="I168" i="2"/>
  <c r="I711" i="2"/>
  <c r="I473" i="2"/>
  <c r="I169" i="2"/>
  <c r="I712" i="2"/>
  <c r="I686" i="2"/>
  <c r="I687" i="2"/>
  <c r="I229" i="2"/>
  <c r="I688" i="2"/>
  <c r="I120" i="2"/>
  <c r="I363" i="2"/>
  <c r="I230" i="2"/>
  <c r="I252" i="2"/>
  <c r="I656" i="2"/>
  <c r="I364" i="2"/>
  <c r="I305" i="2"/>
  <c r="I624" i="2"/>
  <c r="I450" i="2"/>
  <c r="I253" i="2"/>
  <c r="I254" i="2"/>
  <c r="I537" i="2"/>
  <c r="I365" i="2"/>
  <c r="I200" i="2"/>
  <c r="I400" i="2"/>
  <c r="I366" i="2"/>
  <c r="I50" i="2"/>
  <c r="I505" i="2"/>
  <c r="I451" i="2"/>
  <c r="I739" i="2"/>
  <c r="I538" i="2"/>
  <c r="I277" i="2"/>
  <c r="I713" i="2"/>
  <c r="I367" i="2"/>
  <c r="I336" i="2"/>
  <c r="I255" i="2"/>
  <c r="I51" i="2"/>
  <c r="I714" i="2"/>
  <c r="I278" i="2"/>
  <c r="I597" i="2"/>
  <c r="I368" i="2"/>
  <c r="I689" i="2"/>
  <c r="I170" i="2"/>
  <c r="I201" i="2"/>
  <c r="I337" i="2"/>
  <c r="I625" i="2"/>
  <c r="I306" i="2"/>
  <c r="I256" i="2"/>
  <c r="I598" i="2"/>
  <c r="I599" i="2"/>
  <c r="I506" i="2"/>
  <c r="I452" i="2"/>
  <c r="I52" i="2"/>
  <c r="I23" i="2"/>
  <c r="I690" i="2"/>
  <c r="I657" i="2"/>
  <c r="I171" i="2"/>
  <c r="I626" i="2"/>
  <c r="I474" i="2"/>
  <c r="I172" i="2"/>
  <c r="I740" i="2"/>
  <c r="I279" i="2"/>
  <c r="I658" i="2"/>
  <c r="I369" i="2"/>
  <c r="I370" i="2"/>
  <c r="I715" i="2"/>
  <c r="I716" i="2"/>
  <c r="I81" i="2"/>
  <c r="I600" i="2"/>
  <c r="I338" i="2"/>
  <c r="I691" i="2"/>
  <c r="I280" i="2"/>
  <c r="I659" i="2"/>
  <c r="I418" i="2"/>
  <c r="I601" i="2"/>
  <c r="I692" i="2"/>
  <c r="I202" i="2"/>
  <c r="I627" i="2"/>
  <c r="I475" i="2"/>
  <c r="I476" i="2"/>
  <c r="I257" i="2"/>
  <c r="I453" i="2"/>
  <c r="I24" i="2"/>
  <c r="I660" i="2"/>
  <c r="I507" i="2"/>
  <c r="I454" i="2"/>
  <c r="I136" i="2"/>
  <c r="I371" i="2"/>
  <c r="I455" i="2"/>
  <c r="I539" i="2"/>
  <c r="I508" i="2"/>
  <c r="I25" i="2"/>
  <c r="I137" i="2"/>
  <c r="I339" i="2"/>
  <c r="I569" i="2"/>
  <c r="I82" i="2"/>
  <c r="I419" i="2"/>
  <c r="I420" i="2"/>
  <c r="I83" i="2"/>
  <c r="I717" i="2"/>
  <c r="I661" i="2"/>
  <c r="I421" i="2"/>
  <c r="I372" i="2"/>
  <c r="I662" i="2"/>
  <c r="I456" i="2"/>
  <c r="I203" i="2"/>
  <c r="I121" i="2"/>
  <c r="I231" i="2"/>
  <c r="I173" i="2"/>
  <c r="I307" i="2"/>
  <c r="I84" i="2"/>
  <c r="I477" i="2"/>
  <c r="I741" i="2"/>
  <c r="I509" i="2"/>
  <c r="I53" i="2"/>
  <c r="I138" i="2"/>
  <c r="I478" i="2"/>
  <c r="I122" i="2"/>
  <c r="I479" i="2"/>
  <c r="I174" i="2"/>
  <c r="I85" i="2"/>
  <c r="I570" i="2"/>
  <c r="I628" i="2"/>
  <c r="I232" i="2"/>
  <c r="I281" i="2"/>
  <c r="I401" i="2"/>
  <c r="I629" i="2"/>
  <c r="I258" i="2"/>
  <c r="I510" i="2"/>
  <c r="I540" i="2"/>
  <c r="I259" i="2"/>
  <c r="I630" i="2"/>
  <c r="I86" i="2"/>
  <c r="I26" i="2"/>
  <c r="I87" i="2"/>
  <c r="I693" i="2"/>
  <c r="I742" i="2"/>
  <c r="I88" i="2"/>
  <c r="I175" i="2"/>
  <c r="I176" i="2"/>
  <c r="I457" i="2"/>
  <c r="I402" i="2"/>
  <c r="I260" i="2"/>
  <c r="I663" i="2"/>
  <c r="I718" i="2"/>
  <c r="I373" i="2"/>
  <c r="I719" i="2"/>
  <c r="I374" i="2"/>
  <c r="I541" i="2"/>
  <c r="I89" i="2"/>
  <c r="I282" i="2"/>
  <c r="I283" i="2"/>
  <c r="I204" i="2"/>
  <c r="I602" i="2"/>
  <c r="I284" i="2"/>
  <c r="I177" i="2"/>
  <c r="I422" i="2"/>
  <c r="I308" i="2"/>
  <c r="I123" i="2"/>
  <c r="I261" i="2"/>
  <c r="I54" i="2"/>
  <c r="I55" i="2"/>
  <c r="I139" i="2"/>
  <c r="I603" i="2"/>
  <c r="I743" i="2"/>
  <c r="I375" i="2"/>
  <c r="I309" i="2"/>
  <c r="I694" i="2"/>
  <c r="I480" i="2"/>
  <c r="I458" i="2"/>
  <c r="I27" i="2"/>
  <c r="I56" i="2"/>
  <c r="I511" i="2"/>
  <c r="I631" i="2"/>
  <c r="I512" i="2"/>
  <c r="I423" i="2"/>
  <c r="I340" i="2"/>
  <c r="I140" i="2"/>
  <c r="I664" i="2"/>
  <c r="I632" i="2"/>
  <c r="I285" i="2"/>
  <c r="I262" i="2"/>
  <c r="I542" i="2"/>
  <c r="I481" i="2"/>
  <c r="I604" i="2"/>
  <c r="I286" i="2"/>
  <c r="I376" i="2"/>
  <c r="I605" i="2"/>
  <c r="I124" i="2"/>
  <c r="I28" i="2"/>
  <c r="I424" i="2"/>
  <c r="I513" i="2"/>
  <c r="I720" i="2"/>
  <c r="I403" i="2"/>
  <c r="I90" i="2"/>
  <c r="I341" i="2"/>
  <c r="I57" i="2"/>
  <c r="I665" i="2"/>
  <c r="I310" i="2"/>
  <c r="I311" i="2"/>
  <c r="I606" i="2"/>
  <c r="I377" i="2"/>
  <c r="I607" i="2"/>
  <c r="I543" i="2"/>
  <c r="I482" i="2"/>
  <c r="I29" i="2"/>
  <c r="I544" i="2"/>
  <c r="I312" i="2"/>
  <c r="I141" i="2"/>
  <c r="I178" i="2"/>
  <c r="I91" i="2"/>
  <c r="I287" i="2"/>
  <c r="I571" i="2"/>
  <c r="I288" i="2"/>
  <c r="I289" i="2"/>
  <c r="I744" i="2"/>
  <c r="I695" i="2"/>
  <c r="I142" i="2"/>
  <c r="I745" i="2"/>
  <c r="I404" i="2"/>
  <c r="I233" i="2"/>
  <c r="I746" i="2"/>
  <c r="I545" i="2"/>
  <c r="I514" i="2"/>
  <c r="I747" i="2"/>
  <c r="I378" i="2"/>
  <c r="I666" i="2"/>
  <c r="I58" i="2"/>
  <c r="I608" i="2"/>
  <c r="I721" i="2"/>
  <c r="I633" i="2"/>
  <c r="I634" i="2"/>
  <c r="I379" i="2"/>
  <c r="I696" i="2"/>
  <c r="I459" i="2"/>
  <c r="I30" i="2"/>
  <c r="I179" i="2"/>
  <c r="I92" i="2"/>
  <c r="I143" i="2"/>
  <c r="I572" i="2"/>
  <c r="I205" i="2"/>
  <c r="I125" i="2"/>
  <c r="I573" i="2"/>
  <c r="I290" i="2"/>
  <c r="I93" i="2"/>
  <c r="I635" i="2"/>
  <c r="I180" i="2"/>
  <c r="I546" i="2"/>
  <c r="I405" i="2"/>
  <c r="I181" i="2"/>
  <c r="I126" i="2"/>
  <c r="I234" i="2"/>
  <c r="I483" i="2"/>
  <c r="I313" i="2"/>
  <c r="I484" i="2"/>
  <c r="I94" i="2"/>
  <c r="I235" i="2"/>
  <c r="I342" i="2"/>
  <c r="I406" i="2"/>
  <c r="I380" i="2"/>
  <c r="I609" i="2"/>
  <c r="I144" i="2"/>
  <c r="I515" i="2"/>
  <c r="I574" i="2"/>
  <c r="I722" i="2"/>
  <c r="I485" i="2"/>
  <c r="I460" i="2"/>
  <c r="I381" i="2"/>
  <c r="I748" i="2"/>
  <c r="I95" i="2"/>
  <c r="I407" i="2"/>
  <c r="I263" i="2"/>
  <c r="I547" i="2"/>
  <c r="I127" i="2"/>
  <c r="I486" i="2"/>
  <c r="I206" i="2"/>
  <c r="I548" i="2"/>
  <c r="I575" i="2"/>
  <c r="I343" i="2"/>
  <c r="I344" i="2"/>
  <c r="I549" i="2"/>
  <c r="I425" i="2"/>
  <c r="I264" i="2"/>
  <c r="I382" i="2"/>
  <c r="I31" i="2"/>
  <c r="I314" i="2"/>
  <c r="I207" i="2"/>
  <c r="I723" i="2"/>
  <c r="I516" i="2"/>
  <c r="I426" i="2"/>
  <c r="I697" i="2"/>
  <c r="I576" i="2"/>
  <c r="I32" i="2"/>
  <c r="I577" i="2"/>
  <c r="I33" i="2"/>
  <c r="I128" i="2"/>
  <c r="I427" i="2"/>
  <c r="I550" i="2"/>
  <c r="I749" i="2"/>
  <c r="I610" i="2"/>
  <c r="I208" i="2"/>
  <c r="I750" i="2"/>
  <c r="I265" i="2"/>
  <c r="I129" i="2"/>
  <c r="I383" i="2"/>
  <c r="I636" i="2"/>
  <c r="I34" i="2"/>
  <c r="I724" i="2"/>
  <c r="I667" i="2"/>
  <c r="I96" i="2"/>
  <c r="I578" i="2"/>
  <c r="I291" i="2"/>
  <c r="I668" i="2"/>
  <c r="I698" i="2"/>
  <c r="I751" i="2"/>
  <c r="J637" i="2"/>
  <c r="J182" i="2"/>
  <c r="J725" i="2"/>
  <c r="J345" i="2"/>
  <c r="J611" i="2"/>
  <c r="J612" i="2"/>
  <c r="J236" i="2"/>
  <c r="J315" i="2"/>
  <c r="J613" i="2"/>
  <c r="J579" i="2"/>
  <c r="J209" i="2"/>
  <c r="J346" i="2"/>
  <c r="J638" i="2"/>
  <c r="J97" i="2"/>
  <c r="J669" i="2"/>
  <c r="J59" i="2"/>
  <c r="J237" i="2"/>
  <c r="J2" i="2"/>
  <c r="J292" i="2"/>
  <c r="J726" i="2"/>
  <c r="J60" i="2"/>
  <c r="J98" i="2"/>
  <c r="J183" i="2"/>
  <c r="J293" i="2"/>
  <c r="J145" i="2"/>
  <c r="J3" i="2"/>
  <c r="J347" i="2"/>
  <c r="J727" i="2"/>
  <c r="J487" i="2"/>
  <c r="J184" i="2"/>
  <c r="J146" i="2"/>
  <c r="J699" i="2"/>
  <c r="J35" i="2"/>
  <c r="J266" i="2"/>
  <c r="J316" i="2"/>
  <c r="J185" i="2"/>
  <c r="J580" i="2"/>
  <c r="J4" i="2"/>
  <c r="J428" i="2"/>
  <c r="J61" i="2"/>
  <c r="J36" i="2"/>
  <c r="J639" i="2"/>
  <c r="J461" i="2"/>
  <c r="J210" i="2"/>
  <c r="J384" i="2"/>
  <c r="J5" i="2"/>
  <c r="J186" i="2"/>
  <c r="J62" i="2"/>
  <c r="J211" i="2"/>
  <c r="J147" i="2"/>
  <c r="J429" i="2"/>
  <c r="J581" i="2"/>
  <c r="J614" i="2"/>
  <c r="J430" i="2"/>
  <c r="J148" i="2"/>
  <c r="J551" i="2"/>
  <c r="J552" i="2"/>
  <c r="J130" i="2"/>
  <c r="J6" i="2"/>
  <c r="J348" i="2"/>
  <c r="J63" i="2"/>
  <c r="J267" i="2"/>
  <c r="J7" i="2"/>
  <c r="J462" i="2"/>
  <c r="J582" i="2"/>
  <c r="J212" i="2"/>
  <c r="J700" i="2"/>
  <c r="J268" i="2"/>
  <c r="J517" i="2"/>
  <c r="J149" i="2"/>
  <c r="J64" i="2"/>
  <c r="J408" i="2"/>
  <c r="J65" i="2"/>
  <c r="J294" i="2"/>
  <c r="J349" i="2"/>
  <c r="J8" i="2"/>
  <c r="J431" i="2"/>
  <c r="J553" i="2"/>
  <c r="J615" i="2"/>
  <c r="J99" i="2"/>
  <c r="J640" i="2"/>
  <c r="J554" i="2"/>
  <c r="J616" i="2"/>
  <c r="J583" i="2"/>
  <c r="J9" i="2"/>
  <c r="J617" i="2"/>
  <c r="J37" i="2"/>
  <c r="J295" i="2"/>
  <c r="J584" i="2"/>
  <c r="J350" i="2"/>
  <c r="J585" i="2"/>
  <c r="J586" i="2"/>
  <c r="J187" i="2"/>
  <c r="J100" i="2"/>
  <c r="J432" i="2"/>
  <c r="J587" i="2"/>
  <c r="J701" i="2"/>
  <c r="J296" i="2"/>
  <c r="J317" i="2"/>
  <c r="J433" i="2"/>
  <c r="J670" i="2"/>
  <c r="J385" i="2"/>
  <c r="J188" i="2"/>
  <c r="J555" i="2"/>
  <c r="J671" i="2"/>
  <c r="J702" i="2"/>
  <c r="J641" i="2"/>
  <c r="J386" i="2"/>
  <c r="J556" i="2"/>
  <c r="J387" i="2"/>
  <c r="J189" i="2"/>
  <c r="J351" i="2"/>
  <c r="J434" i="2"/>
  <c r="J238" i="2"/>
  <c r="J213" i="2"/>
  <c r="J488" i="2"/>
  <c r="J557" i="2"/>
  <c r="J269" i="2"/>
  <c r="J10" i="2"/>
  <c r="J728" i="2"/>
  <c r="J618" i="2"/>
  <c r="J270" i="2"/>
  <c r="J101" i="2"/>
  <c r="J239" i="2"/>
  <c r="J318" i="2"/>
  <c r="J11" i="2"/>
  <c r="J102" i="2"/>
  <c r="J558" i="2"/>
  <c r="J729" i="2"/>
  <c r="J297" i="2"/>
  <c r="J240" i="2"/>
  <c r="J730" i="2"/>
  <c r="J66" i="2"/>
  <c r="J319" i="2"/>
  <c r="J214" i="2"/>
  <c r="J215" i="2"/>
  <c r="J672" i="2"/>
  <c r="J731" i="2"/>
  <c r="J103" i="2"/>
  <c r="J559" i="2"/>
  <c r="J518" i="2"/>
  <c r="J38" i="2"/>
  <c r="J216" i="2"/>
  <c r="J673" i="2"/>
  <c r="J388" i="2"/>
  <c r="J703" i="2"/>
  <c r="J435" i="2"/>
  <c r="J642" i="2"/>
  <c r="J67" i="2"/>
  <c r="J12" i="2"/>
  <c r="J643" i="2"/>
  <c r="J68" i="2"/>
  <c r="J39" i="2"/>
  <c r="J13" i="2"/>
  <c r="J519" i="2"/>
  <c r="J217" i="2"/>
  <c r="J436" i="2"/>
  <c r="J150" i="2"/>
  <c r="J69" i="2"/>
  <c r="J560" i="2"/>
  <c r="J70" i="2"/>
  <c r="J674" i="2"/>
  <c r="J463" i="2"/>
  <c r="J71" i="2"/>
  <c r="J732" i="2"/>
  <c r="J644" i="2"/>
  <c r="J298" i="2"/>
  <c r="J299" i="2"/>
  <c r="J645" i="2"/>
  <c r="J437" i="2"/>
  <c r="J675" i="2"/>
  <c r="J464" i="2"/>
  <c r="J438" i="2"/>
  <c r="J14" i="2"/>
  <c r="J520" i="2"/>
  <c r="J320" i="2"/>
  <c r="J619" i="2"/>
  <c r="J321" i="2"/>
  <c r="J389" i="2"/>
  <c r="J190" i="2"/>
  <c r="J439" i="2"/>
  <c r="J489" i="2"/>
  <c r="J72" i="2"/>
  <c r="J409" i="2"/>
  <c r="J704" i="2"/>
  <c r="J561" i="2"/>
  <c r="J352" i="2"/>
  <c r="J588" i="2"/>
  <c r="J218" i="2"/>
  <c r="J490" i="2"/>
  <c r="J219" i="2"/>
  <c r="J705" i="2"/>
  <c r="J40" i="2"/>
  <c r="J104" i="2"/>
  <c r="J151" i="2"/>
  <c r="J646" i="2"/>
  <c r="J241" i="2"/>
  <c r="J322" i="2"/>
  <c r="J220" i="2"/>
  <c r="J242" i="2"/>
  <c r="J676" i="2"/>
  <c r="J191" i="2"/>
  <c r="J243" i="2"/>
  <c r="J192" i="2"/>
  <c r="J390" i="2"/>
  <c r="J221" i="2"/>
  <c r="J706" i="2"/>
  <c r="J193" i="2"/>
  <c r="J491" i="2"/>
  <c r="J410" i="2"/>
  <c r="J105" i="2"/>
  <c r="J353" i="2"/>
  <c r="J41" i="2"/>
  <c r="J411" i="2"/>
  <c r="J677" i="2"/>
  <c r="J620" i="2"/>
  <c r="J521" i="2"/>
  <c r="J194" i="2"/>
  <c r="J562" i="2"/>
  <c r="J42" i="2"/>
  <c r="J131" i="2"/>
  <c r="J323" i="2"/>
  <c r="J647" i="2"/>
  <c r="J412" i="2"/>
  <c r="J589" i="2"/>
  <c r="J244" i="2"/>
  <c r="J152" i="2"/>
  <c r="J153" i="2"/>
  <c r="J522" i="2"/>
  <c r="J154" i="2"/>
  <c r="J733" i="2"/>
  <c r="J195" i="2"/>
  <c r="J106" i="2"/>
  <c r="J413" i="2"/>
  <c r="J465" i="2"/>
  <c r="J73" i="2"/>
  <c r="J734" i="2"/>
  <c r="J354" i="2"/>
  <c r="J590" i="2"/>
  <c r="J155" i="2"/>
  <c r="J107" i="2"/>
  <c r="J324" i="2"/>
  <c r="J523" i="2"/>
  <c r="J355" i="2"/>
  <c r="J391" i="2"/>
  <c r="J132" i="2"/>
  <c r="J678" i="2"/>
  <c r="J15" i="2"/>
  <c r="J648" i="2"/>
  <c r="J300" i="2"/>
  <c r="J16" i="2"/>
  <c r="J524" i="2"/>
  <c r="J156" i="2"/>
  <c r="J133" i="2"/>
  <c r="J649" i="2"/>
  <c r="J440" i="2"/>
  <c r="J679" i="2"/>
  <c r="J621" i="2"/>
  <c r="J650" i="2"/>
  <c r="J525" i="2"/>
  <c r="J466" i="2"/>
  <c r="J414" i="2"/>
  <c r="J526" i="2"/>
  <c r="J707" i="2"/>
  <c r="J157" i="2"/>
  <c r="J415" i="2"/>
  <c r="J43" i="2"/>
  <c r="J44" i="2"/>
  <c r="J196" i="2"/>
  <c r="J158" i="2"/>
  <c r="J159" i="2"/>
  <c r="J74" i="2"/>
  <c r="J441" i="2"/>
  <c r="J591" i="2"/>
  <c r="J108" i="2"/>
  <c r="J592" i="2"/>
  <c r="J222" i="2"/>
  <c r="J271" i="2"/>
  <c r="J45" i="2"/>
  <c r="J109" i="2"/>
  <c r="J442" i="2"/>
  <c r="J325" i="2"/>
  <c r="J443" i="2"/>
  <c r="J272" i="2"/>
  <c r="J527" i="2"/>
  <c r="J593" i="2"/>
  <c r="J134" i="2"/>
  <c r="J651" i="2"/>
  <c r="J416" i="2"/>
  <c r="J110" i="2"/>
  <c r="J392" i="2"/>
  <c r="J223" i="2"/>
  <c r="J708" i="2"/>
  <c r="J17" i="2"/>
  <c r="J18" i="2"/>
  <c r="J19" i="2"/>
  <c r="J111" i="2"/>
  <c r="J528" i="2"/>
  <c r="J326" i="2"/>
  <c r="J273" i="2"/>
  <c r="J112" i="2"/>
  <c r="J75" i="2"/>
  <c r="J467" i="2"/>
  <c r="J224" i="2"/>
  <c r="J492" i="2"/>
  <c r="J113" i="2"/>
  <c r="J114" i="2"/>
  <c r="J417" i="2"/>
  <c r="J444" i="2"/>
  <c r="J327" i="2"/>
  <c r="J393" i="2"/>
  <c r="J301" i="2"/>
  <c r="J20" i="2"/>
  <c r="J468" i="2"/>
  <c r="J328" i="2"/>
  <c r="J46" i="2"/>
  <c r="J115" i="2"/>
  <c r="J356" i="2"/>
  <c r="J469" i="2"/>
  <c r="J529" i="2"/>
  <c r="J563" i="2"/>
  <c r="J116" i="2"/>
  <c r="J564" i="2"/>
  <c r="J245" i="2"/>
  <c r="J329" i="2"/>
  <c r="J565" i="2"/>
  <c r="J594" i="2"/>
  <c r="J595" i="2"/>
  <c r="J680" i="2"/>
  <c r="J330" i="2"/>
  <c r="J622" i="2"/>
  <c r="J357" i="2"/>
  <c r="J566" i="2"/>
  <c r="J470" i="2"/>
  <c r="J530" i="2"/>
  <c r="J274" i="2"/>
  <c r="J76" i="2"/>
  <c r="J117" i="2"/>
  <c r="J493" i="2"/>
  <c r="J494" i="2"/>
  <c r="J681" i="2"/>
  <c r="J160" i="2"/>
  <c r="J358" i="2"/>
  <c r="J495" i="2"/>
  <c r="J77" i="2"/>
  <c r="J246" i="2"/>
  <c r="J247" i="2"/>
  <c r="J118" i="2"/>
  <c r="J652" i="2"/>
  <c r="J531" i="2"/>
  <c r="J496" i="2"/>
  <c r="J497" i="2"/>
  <c r="J47" i="2"/>
  <c r="J331" i="2"/>
  <c r="J197" i="2"/>
  <c r="J394" i="2"/>
  <c r="J275" i="2"/>
  <c r="J532" i="2"/>
  <c r="J359" i="2"/>
  <c r="J161" i="2"/>
  <c r="J567" i="2"/>
  <c r="J360" i="2"/>
  <c r="J162" i="2"/>
  <c r="J653" i="2"/>
  <c r="J332" i="2"/>
  <c r="J119" i="2"/>
  <c r="J471" i="2"/>
  <c r="J498" i="2"/>
  <c r="J78" i="2"/>
  <c r="J735" i="2"/>
  <c r="J623" i="2"/>
  <c r="J682" i="2"/>
  <c r="J225" i="2"/>
  <c r="J395" i="2"/>
  <c r="J163" i="2"/>
  <c r="J472" i="2"/>
  <c r="J333" i="2"/>
  <c r="J445" i="2"/>
  <c r="J396" i="2"/>
  <c r="J334" i="2"/>
  <c r="J499" i="2"/>
  <c r="J736" i="2"/>
  <c r="J446" i="2"/>
  <c r="J164" i="2"/>
  <c r="J500" i="2"/>
  <c r="J683" i="2"/>
  <c r="J684" i="2"/>
  <c r="J48" i="2"/>
  <c r="J248" i="2"/>
  <c r="J501" i="2"/>
  <c r="J533" i="2"/>
  <c r="J49" i="2"/>
  <c r="J534" i="2"/>
  <c r="J135" i="2"/>
  <c r="J397" i="2"/>
  <c r="J654" i="2"/>
  <c r="J198" i="2"/>
  <c r="J226" i="2"/>
  <c r="J737" i="2"/>
  <c r="J709" i="2"/>
  <c r="J302" i="2"/>
  <c r="J303" i="2"/>
  <c r="J502" i="2"/>
  <c r="J710" i="2"/>
  <c r="J249" i="2"/>
  <c r="J227" i="2"/>
  <c r="J21" i="2"/>
  <c r="J165" i="2"/>
  <c r="J250" i="2"/>
  <c r="J655" i="2"/>
  <c r="J447" i="2"/>
  <c r="J79" i="2"/>
  <c r="J535" i="2"/>
  <c r="J448" i="2"/>
  <c r="J166" i="2"/>
  <c r="J449" i="2"/>
  <c r="J251" i="2"/>
  <c r="J228" i="2"/>
  <c r="J361" i="2"/>
  <c r="J304" i="2"/>
  <c r="J167" i="2"/>
  <c r="J362" i="2"/>
  <c r="J398" i="2"/>
  <c r="J80" i="2"/>
  <c r="J503" i="2"/>
  <c r="J536" i="2"/>
  <c r="J504" i="2"/>
  <c r="J276" i="2"/>
  <c r="J399" i="2"/>
  <c r="J685" i="2"/>
  <c r="J335" i="2"/>
  <c r="J22" i="2"/>
  <c r="J199" i="2"/>
  <c r="J596" i="2"/>
  <c r="J738" i="2"/>
  <c r="J568" i="2"/>
  <c r="J168" i="2"/>
  <c r="J711" i="2"/>
  <c r="J473" i="2"/>
  <c r="J169" i="2"/>
  <c r="J712" i="2"/>
  <c r="J686" i="2"/>
  <c r="J687" i="2"/>
  <c r="J229" i="2"/>
  <c r="J688" i="2"/>
  <c r="J120" i="2"/>
  <c r="J363" i="2"/>
  <c r="J230" i="2"/>
  <c r="J252" i="2"/>
  <c r="J656" i="2"/>
  <c r="J364" i="2"/>
  <c r="J305" i="2"/>
  <c r="J624" i="2"/>
  <c r="J450" i="2"/>
  <c r="J253" i="2"/>
  <c r="J254" i="2"/>
  <c r="J537" i="2"/>
  <c r="J365" i="2"/>
  <c r="J200" i="2"/>
  <c r="J400" i="2"/>
  <c r="J366" i="2"/>
  <c r="J50" i="2"/>
  <c r="J505" i="2"/>
  <c r="J451" i="2"/>
  <c r="J739" i="2"/>
  <c r="J538" i="2"/>
  <c r="J277" i="2"/>
  <c r="J713" i="2"/>
  <c r="J367" i="2"/>
  <c r="J336" i="2"/>
  <c r="J255" i="2"/>
  <c r="J51" i="2"/>
  <c r="J714" i="2"/>
  <c r="J278" i="2"/>
  <c r="J597" i="2"/>
  <c r="J368" i="2"/>
  <c r="J689" i="2"/>
  <c r="J170" i="2"/>
  <c r="J201" i="2"/>
  <c r="J337" i="2"/>
  <c r="J625" i="2"/>
  <c r="J306" i="2"/>
  <c r="J256" i="2"/>
  <c r="J598" i="2"/>
  <c r="J599" i="2"/>
  <c r="J506" i="2"/>
  <c r="J452" i="2"/>
  <c r="J52" i="2"/>
  <c r="J23" i="2"/>
  <c r="J690" i="2"/>
  <c r="J657" i="2"/>
  <c r="J171" i="2"/>
  <c r="J626" i="2"/>
  <c r="J474" i="2"/>
  <c r="J172" i="2"/>
  <c r="J740" i="2"/>
  <c r="J279" i="2"/>
  <c r="J658" i="2"/>
  <c r="J369" i="2"/>
  <c r="J370" i="2"/>
  <c r="J715" i="2"/>
  <c r="J716" i="2"/>
  <c r="J81" i="2"/>
  <c r="J600" i="2"/>
  <c r="J338" i="2"/>
  <c r="J691" i="2"/>
  <c r="J280" i="2"/>
  <c r="J659" i="2"/>
  <c r="J418" i="2"/>
  <c r="J601" i="2"/>
  <c r="J692" i="2"/>
  <c r="J202" i="2"/>
  <c r="J627" i="2"/>
  <c r="J475" i="2"/>
  <c r="J476" i="2"/>
  <c r="J257" i="2"/>
  <c r="J453" i="2"/>
  <c r="J24" i="2"/>
  <c r="J660" i="2"/>
  <c r="J507" i="2"/>
  <c r="J454" i="2"/>
  <c r="J136" i="2"/>
  <c r="J371" i="2"/>
  <c r="J455" i="2"/>
  <c r="J539" i="2"/>
  <c r="J508" i="2"/>
  <c r="J25" i="2"/>
  <c r="J137" i="2"/>
  <c r="J339" i="2"/>
  <c r="J569" i="2"/>
  <c r="J82" i="2"/>
  <c r="J419" i="2"/>
  <c r="J420" i="2"/>
  <c r="J83" i="2"/>
  <c r="J717" i="2"/>
  <c r="J661" i="2"/>
  <c r="J421" i="2"/>
  <c r="J372" i="2"/>
  <c r="J662" i="2"/>
  <c r="J456" i="2"/>
  <c r="J203" i="2"/>
  <c r="J121" i="2"/>
  <c r="J231" i="2"/>
  <c r="J173" i="2"/>
  <c r="J307" i="2"/>
  <c r="J84" i="2"/>
  <c r="J477" i="2"/>
  <c r="J741" i="2"/>
  <c r="J509" i="2"/>
  <c r="J53" i="2"/>
  <c r="J138" i="2"/>
  <c r="J478" i="2"/>
  <c r="J122" i="2"/>
  <c r="J479" i="2"/>
  <c r="J174" i="2"/>
  <c r="J85" i="2"/>
  <c r="J570" i="2"/>
  <c r="J628" i="2"/>
  <c r="J232" i="2"/>
  <c r="J281" i="2"/>
  <c r="J401" i="2"/>
  <c r="J629" i="2"/>
  <c r="J258" i="2"/>
  <c r="J510" i="2"/>
  <c r="J540" i="2"/>
  <c r="J259" i="2"/>
  <c r="J630" i="2"/>
  <c r="J86" i="2"/>
  <c r="J26" i="2"/>
  <c r="J87" i="2"/>
  <c r="J693" i="2"/>
  <c r="J742" i="2"/>
  <c r="J88" i="2"/>
  <c r="J175" i="2"/>
  <c r="J176" i="2"/>
  <c r="J457" i="2"/>
  <c r="J402" i="2"/>
  <c r="J260" i="2"/>
  <c r="J663" i="2"/>
  <c r="J718" i="2"/>
  <c r="J373" i="2"/>
  <c r="J719" i="2"/>
  <c r="J374" i="2"/>
  <c r="J541" i="2"/>
  <c r="J89" i="2"/>
  <c r="J282" i="2"/>
  <c r="J283" i="2"/>
  <c r="J204" i="2"/>
  <c r="J602" i="2"/>
  <c r="J284" i="2"/>
  <c r="J177" i="2"/>
  <c r="J422" i="2"/>
  <c r="J308" i="2"/>
  <c r="J123" i="2"/>
  <c r="J261" i="2"/>
  <c r="J54" i="2"/>
  <c r="J55" i="2"/>
  <c r="J139" i="2"/>
  <c r="J603" i="2"/>
  <c r="J743" i="2"/>
  <c r="J375" i="2"/>
  <c r="J309" i="2"/>
  <c r="J694" i="2"/>
  <c r="J480" i="2"/>
  <c r="J458" i="2"/>
  <c r="J27" i="2"/>
  <c r="J56" i="2"/>
  <c r="J511" i="2"/>
  <c r="J631" i="2"/>
  <c r="J512" i="2"/>
  <c r="J423" i="2"/>
  <c r="J340" i="2"/>
  <c r="J140" i="2"/>
  <c r="J664" i="2"/>
  <c r="J632" i="2"/>
  <c r="J285" i="2"/>
  <c r="J262" i="2"/>
  <c r="J542" i="2"/>
  <c r="J481" i="2"/>
  <c r="J604" i="2"/>
  <c r="J286" i="2"/>
  <c r="J376" i="2"/>
  <c r="J605" i="2"/>
  <c r="J124" i="2"/>
  <c r="J28" i="2"/>
  <c r="J424" i="2"/>
  <c r="J513" i="2"/>
  <c r="J720" i="2"/>
  <c r="J403" i="2"/>
  <c r="J90" i="2"/>
  <c r="J341" i="2"/>
  <c r="J57" i="2"/>
  <c r="J665" i="2"/>
  <c r="J310" i="2"/>
  <c r="J311" i="2"/>
  <c r="J606" i="2"/>
  <c r="J377" i="2"/>
  <c r="J607" i="2"/>
  <c r="J543" i="2"/>
  <c r="J482" i="2"/>
  <c r="J29" i="2"/>
  <c r="J544" i="2"/>
  <c r="J312" i="2"/>
  <c r="J141" i="2"/>
  <c r="J178" i="2"/>
  <c r="J91" i="2"/>
  <c r="J287" i="2"/>
  <c r="J571" i="2"/>
  <c r="J288" i="2"/>
  <c r="J289" i="2"/>
  <c r="J744" i="2"/>
  <c r="J695" i="2"/>
  <c r="J142" i="2"/>
  <c r="J745" i="2"/>
  <c r="J404" i="2"/>
  <c r="J233" i="2"/>
  <c r="J746" i="2"/>
  <c r="J545" i="2"/>
  <c r="J514" i="2"/>
  <c r="J747" i="2"/>
  <c r="J378" i="2"/>
  <c r="J666" i="2"/>
  <c r="J58" i="2"/>
  <c r="J608" i="2"/>
  <c r="J721" i="2"/>
  <c r="J633" i="2"/>
  <c r="J634" i="2"/>
  <c r="J379" i="2"/>
  <c r="J696" i="2"/>
  <c r="J459" i="2"/>
  <c r="J30" i="2"/>
  <c r="J179" i="2"/>
  <c r="J92" i="2"/>
  <c r="J143" i="2"/>
  <c r="J572" i="2"/>
  <c r="J205" i="2"/>
  <c r="J125" i="2"/>
  <c r="J573" i="2"/>
  <c r="J290" i="2"/>
  <c r="J93" i="2"/>
  <c r="J635" i="2"/>
  <c r="J180" i="2"/>
  <c r="J546" i="2"/>
  <c r="J405" i="2"/>
  <c r="J181" i="2"/>
  <c r="J126" i="2"/>
  <c r="J234" i="2"/>
  <c r="J483" i="2"/>
  <c r="J313" i="2"/>
  <c r="J484" i="2"/>
  <c r="J94" i="2"/>
  <c r="J235" i="2"/>
  <c r="J342" i="2"/>
  <c r="J406" i="2"/>
  <c r="J380" i="2"/>
  <c r="J609" i="2"/>
  <c r="J144" i="2"/>
  <c r="J515" i="2"/>
  <c r="J574" i="2"/>
  <c r="J722" i="2"/>
  <c r="J485" i="2"/>
  <c r="J460" i="2"/>
  <c r="J381" i="2"/>
  <c r="J748" i="2"/>
  <c r="J95" i="2"/>
  <c r="J407" i="2"/>
  <c r="J263" i="2"/>
  <c r="J547" i="2"/>
  <c r="J127" i="2"/>
  <c r="J486" i="2"/>
  <c r="J206" i="2"/>
  <c r="J548" i="2"/>
  <c r="J575" i="2"/>
  <c r="J343" i="2"/>
  <c r="J344" i="2"/>
  <c r="J549" i="2"/>
  <c r="J425" i="2"/>
  <c r="J264" i="2"/>
  <c r="J382" i="2"/>
  <c r="J31" i="2"/>
  <c r="J314" i="2"/>
  <c r="J207" i="2"/>
  <c r="J723" i="2"/>
  <c r="J516" i="2"/>
  <c r="J426" i="2"/>
  <c r="J697" i="2"/>
  <c r="J576" i="2"/>
  <c r="J32" i="2"/>
  <c r="J577" i="2"/>
  <c r="J33" i="2"/>
  <c r="J128" i="2"/>
  <c r="J427" i="2"/>
  <c r="J550" i="2"/>
  <c r="J749" i="2"/>
  <c r="J610" i="2"/>
  <c r="J208" i="2"/>
  <c r="J750" i="2"/>
  <c r="J265" i="2"/>
  <c r="J129" i="2"/>
  <c r="J383" i="2"/>
  <c r="J636" i="2"/>
  <c r="J34" i="2"/>
  <c r="J724" i="2"/>
  <c r="J667" i="2"/>
  <c r="J96" i="2"/>
  <c r="J578" i="2"/>
  <c r="J291" i="2"/>
  <c r="J668" i="2"/>
  <c r="J698" i="2"/>
  <c r="J751" i="2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40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5CF74-3BDE-4D8E-8775-48B69ED2AAD8}" keepAlive="1" name="Requête - CLIENTS_CHURN (3)" description="Connexion à la requête « CLIENTS_CHURN (3) » dans le classeur." type="5" refreshedVersion="7" background="1" saveData="1">
    <dbPr connection="Provider=Microsoft.Mashup.OleDb.1;Data Source=$Workbook$;Location=&quot;CLIENTS_CHURN (3)&quot;;Extended Properties=&quot;&quot;" command="SELECT * FROM [CLIENTS_CHURN (3)]"/>
  </connection>
  <connection id="2" xr16:uid="{74220962-A806-472D-8EC1-CFD1650260A1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1C85088C-2FAD-452C-8A73-CED0018D119C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31F9D8EE-AFD4-42DE-9895-FE9C293AB363}" keepAlive="1" name="Requête - Exemple de fichier (4)" description="Connexion à la requête « Exemple de fichier (4) » dans le classeur." type="5" refreshedVersion="0" background="1">
    <dbPr connection="Provider=Microsoft.Mashup.OleDb.1;Data Source=$Workbook$;Location=&quot;Exemple de fichier (4)&quot;;Extended Properties=&quot;&quot;" command="SELECT * FROM [Exemple de fichier (4)]"/>
  </connection>
  <connection id="5" xr16:uid="{FB29EC7D-787D-4D59-99F7-6312AD96A6DA}" keepAlive="1" name="Requête - LOGS_RESEAU (4)" description="Connexion à la requête « LOGS_RESEAU (4) » dans le classeur." type="5" refreshedVersion="7" background="1" saveData="1">
    <dbPr connection="Provider=Microsoft.Mashup.OleDb.1;Data Source=$Workbook$;Location=&quot;LOGS_RESEAU (4)&quot;;Extended Properties=&quot;&quot;" command="SELECT * FROM [LOGS_RESEAU (4)]"/>
  </connection>
  <connection id="6" xr16:uid="{757D8ED9-2053-46D7-995B-C23BA580BB6D}" keepAlive="1" name="Requête - LOGS_RESEAU (5)" description="Connexion à la requête « LOGS_RESEAU (5) » dans le classeur." type="5" refreshedVersion="7" background="1" saveData="1">
    <dbPr connection="Provider=Microsoft.Mashup.OleDb.1;Data Source=$Workbook$;Location=&quot;LOGS_RESEAU (5)&quot;;Extended Properties=&quot;&quot;" command="SELECT * FROM [LOGS_RESEAU (5)]"/>
  </connection>
  <connection id="7" xr16:uid="{4DC6DBB8-6C3E-4F77-84A2-877F8FDDE91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8" xr16:uid="{29140FF4-FA0D-495F-B9F9-8B24147B9692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9" xr16:uid="{BF6CD330-CFDA-43C2-8827-180645F383CC}" keepAlive="1" name="Requête - Transformer le fichier (4)" description="Connexion à la requête « Transformer le fichier (4) » dans le classeur." type="5" refreshedVersion="0" background="1">
    <dbPr connection="Provider=Microsoft.Mashup.OleDb.1;Data Source=$Workbook$;Location=&quot;Transformer le fichier (4)&quot;;Extended Properties=&quot;&quot;" command="SELECT * FROM [Transformer le fichier (4)]"/>
  </connection>
  <connection id="10" xr16:uid="{5C783424-CAA9-472D-8C0A-9A3BBB5A05DC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0F6063F6-1032-44E5-A729-FC7C2A2CDFD5}" name="WorksheetConnection_Fusion_client et log_rep.xlsx!CLIENTS_CHURN34" type="102" refreshedVersion="7" minRefreshableVersion="5">
    <extLst>
      <ext xmlns:x15="http://schemas.microsoft.com/office/spreadsheetml/2010/11/main" uri="{DE250136-89BD-433C-8126-D09CA5730AF9}">
        <x15:connection id="CLIENTS_CHURN34">
          <x15:rangePr sourceName="_xlcn.WorksheetConnection_Fusion_clientetlog_rep.xlsxCLIENTS_CHURN341"/>
        </x15:connection>
      </ext>
    </extLst>
  </connection>
  <connection id="12" xr16:uid="{138FA3E4-E6C1-4180-9458-ECE140A8FC05}" name="WorksheetConnection_Fusion_client et log_rep.xlsx!Dim_prov" type="102" refreshedVersion="7" minRefreshableVersion="5">
    <extLst>
      <ext xmlns:x15="http://schemas.microsoft.com/office/spreadsheetml/2010/11/main" uri="{DE250136-89BD-433C-8126-D09CA5730AF9}">
        <x15:connection id="Dim_prov">
          <x15:rangePr sourceName="_xlcn.WorksheetConnection_Fusion_clientetlog_rep.xlsxDim_prov1"/>
        </x15:connection>
      </ext>
    </extLst>
  </connection>
  <connection id="13" xr16:uid="{2A2CAEF4-5EF6-4B99-9C17-10D4F507918A}" name="WorksheetConnection_Fusion_client et log_rep.xlsx!LOGS_RESEAU" type="102" refreshedVersion="7" minRefreshableVersion="5">
    <extLst>
      <ext xmlns:x15="http://schemas.microsoft.com/office/spreadsheetml/2010/11/main" uri="{DE250136-89BD-433C-8126-D09CA5730AF9}">
        <x15:connection id="LOGS_RESEAU">
          <x15:rangePr sourceName="_xlcn.WorksheetConnection_Fusion_clientetlog_rep.xlsxLOGS_RESEAU1"/>
        </x15:connection>
      </ext>
    </extLst>
  </connection>
  <connection id="14" xr16:uid="{D6EEC11C-8DF1-447A-A38C-4E746C4DF354}" name="WorksheetConnection_Fusion_client et log_rep.xlsx!LOGS_RESEAU345" type="102" refreshedVersion="7" minRefreshableVersion="5">
    <extLst>
      <ext xmlns:x15="http://schemas.microsoft.com/office/spreadsheetml/2010/11/main" uri="{DE250136-89BD-433C-8126-D09CA5730AF9}">
        <x15:connection id="LOGS_RESEAU345" autoDelete="1">
          <x15:rangePr sourceName="_xlcn.WorksheetConnection_Fusion_clientetlog_rep.xlsxLOGS_RESEAU3451"/>
        </x15:connection>
      </ext>
    </extLst>
  </connection>
</connections>
</file>

<file path=xl/sharedStrings.xml><?xml version="1.0" encoding="utf-8"?>
<sst xmlns="http://schemas.openxmlformats.org/spreadsheetml/2006/main" count="8313" uniqueCount="1541">
  <si>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</si>
  <si>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</si>
  <si>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</si>
  <si>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</si>
  <si>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</si>
  <si>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</si>
  <si>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</si>
  <si>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</si>
  <si>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Anciennete_Annee</t>
  </si>
  <si>
    <t>Duree_Cumulee_Panne_heur</t>
  </si>
  <si>
    <t>Clients_Churn_Part_12.xlsx</t>
  </si>
  <si>
    <t>CLI-00083</t>
  </si>
  <si>
    <t>Haut-Uele</t>
  </si>
  <si>
    <t>Premium 5G 150Go</t>
  </si>
  <si>
    <t>Clients_Churn_Part_07.xlsx</t>
  </si>
  <si>
    <t>CLI-01931</t>
  </si>
  <si>
    <t>Sud-Ubangi</t>
  </si>
  <si>
    <t>Illimité 50Go</t>
  </si>
  <si>
    <t>CLI-00299</t>
  </si>
  <si>
    <t>Mongala</t>
  </si>
  <si>
    <t>Pro Monde</t>
  </si>
  <si>
    <t>Clients_Churn_Part_08.xlsx</t>
  </si>
  <si>
    <t>CLI-01836</t>
  </si>
  <si>
    <t>CLI-00094</t>
  </si>
  <si>
    <t>Kwango</t>
  </si>
  <si>
    <t>Clients_Churn_Part_02.xlsx</t>
  </si>
  <si>
    <t>CLI-00219</t>
  </si>
  <si>
    <t>Sankuru</t>
  </si>
  <si>
    <t>Clients_Churn_Part_11.xlsx</t>
  </si>
  <si>
    <t>CLI-00269</t>
  </si>
  <si>
    <t>Kinshasa</t>
  </si>
  <si>
    <t>Bloqué 5Go</t>
  </si>
  <si>
    <t>Clients_Churn_Part_05.xlsx</t>
  </si>
  <si>
    <t>CLI-01506</t>
  </si>
  <si>
    <t>Kwilu</t>
  </si>
  <si>
    <t>Clients_Churn_Part_06.xlsx</t>
  </si>
  <si>
    <t>CLI-01380</t>
  </si>
  <si>
    <t>Haut-Lomami</t>
  </si>
  <si>
    <t>CLI-00022</t>
  </si>
  <si>
    <t>Clients_Churn_Part_04.xlsx</t>
  </si>
  <si>
    <t>CLI-00329</t>
  </si>
  <si>
    <t>Nord-Kivu</t>
  </si>
  <si>
    <t>CLI-00433</t>
  </si>
  <si>
    <t>Kasai</t>
  </si>
  <si>
    <t>CLI-01602</t>
  </si>
  <si>
    <t>Clients_Churn_Part_15.xlsx</t>
  </si>
  <si>
    <t>CLI-01697</t>
  </si>
  <si>
    <t>Bas-Uele</t>
  </si>
  <si>
    <t>CLI-00121</t>
  </si>
  <si>
    <t>CLI-00488</t>
  </si>
  <si>
    <t>Haut-Katanga</t>
  </si>
  <si>
    <t>Clients_Churn_Part_10.xlsx</t>
  </si>
  <si>
    <t>CLI-01709</t>
  </si>
  <si>
    <t>CLI-01966</t>
  </si>
  <si>
    <t>CLI-00805</t>
  </si>
  <si>
    <t>CLI-01488</t>
  </si>
  <si>
    <t>Kasai-Oriental</t>
  </si>
  <si>
    <t>CLI-00580</t>
  </si>
  <si>
    <t>Maniema</t>
  </si>
  <si>
    <t>CLI-01822</t>
  </si>
  <si>
    <t>Lomami</t>
  </si>
  <si>
    <t>Clients_Churn_Part_09.xlsx</t>
  </si>
  <si>
    <t>CLI-00905</t>
  </si>
  <si>
    <t>CLI-01783</t>
  </si>
  <si>
    <t>CLI-01839</t>
  </si>
  <si>
    <t>CLI-01170</t>
  </si>
  <si>
    <t>Nord-Ubangi</t>
  </si>
  <si>
    <t>CLI-01046</t>
  </si>
  <si>
    <t>Ituri</t>
  </si>
  <si>
    <t>Clients_Churn_Part_03.xlsx</t>
  </si>
  <si>
    <t>CLI-00632</t>
  </si>
  <si>
    <t>CLI-01034</t>
  </si>
  <si>
    <t>CLI-00476</t>
  </si>
  <si>
    <t>CLI-00338</t>
  </si>
  <si>
    <t>Clients_Churn_Part_13.xlsx</t>
  </si>
  <si>
    <t>CLI-00239</t>
  </si>
  <si>
    <t>CLI-01473</t>
  </si>
  <si>
    <t>CLI-00783</t>
  </si>
  <si>
    <t>CLI-01149</t>
  </si>
  <si>
    <t>CLI-01843</t>
  </si>
  <si>
    <t>CLI-01638</t>
  </si>
  <si>
    <t>CLI-01253</t>
  </si>
  <si>
    <t>Tshuapa</t>
  </si>
  <si>
    <t>CLI-00841</t>
  </si>
  <si>
    <t>Equateur</t>
  </si>
  <si>
    <t>Clients_Churn_Part_01.xlsx</t>
  </si>
  <si>
    <t>CLI-01746</t>
  </si>
  <si>
    <t>Kasai-Central</t>
  </si>
  <si>
    <t>CLI-01950</t>
  </si>
  <si>
    <t>CLI-00469</t>
  </si>
  <si>
    <t>CLI-00887</t>
  </si>
  <si>
    <t>CLI-00125</t>
  </si>
  <si>
    <t>Mai-Ndombe</t>
  </si>
  <si>
    <t>CLI-00530</t>
  </si>
  <si>
    <t>CLI-01309</t>
  </si>
  <si>
    <t>CLI-00855</t>
  </si>
  <si>
    <t>CLI-01847</t>
  </si>
  <si>
    <t>CLI-00809</t>
  </si>
  <si>
    <t>CLI-00048</t>
  </si>
  <si>
    <t>CLI-00636</t>
  </si>
  <si>
    <t>Clients_Churn_Part_14.xlsx</t>
  </si>
  <si>
    <t>CLI-01630</t>
  </si>
  <si>
    <t>CLI-00876</t>
  </si>
  <si>
    <t>CLI-01025</t>
  </si>
  <si>
    <t>Kongo-Central</t>
  </si>
  <si>
    <t>CLI-01128</t>
  </si>
  <si>
    <t>CLI-00886</t>
  </si>
  <si>
    <t>CLI-00168</t>
  </si>
  <si>
    <t>CLI-01668</t>
  </si>
  <si>
    <t>CLI-01845</t>
  </si>
  <si>
    <t>Sud-Kivu</t>
  </si>
  <si>
    <t>CLI-01221</t>
  </si>
  <si>
    <t>CLI-00450</t>
  </si>
  <si>
    <t>CLI-00114</t>
  </si>
  <si>
    <t>CLI-00865</t>
  </si>
  <si>
    <t>CLI-01916</t>
  </si>
  <si>
    <t>CLI-00731</t>
  </si>
  <si>
    <t>CLI-01814</t>
  </si>
  <si>
    <t>CLI-01270</t>
  </si>
  <si>
    <t>CLI-00893</t>
  </si>
  <si>
    <t>CLI-00481</t>
  </si>
  <si>
    <t>CLI-00257</t>
  </si>
  <si>
    <t>CLI-01082</t>
  </si>
  <si>
    <t>Tanganyika</t>
  </si>
  <si>
    <t>CLI-01354</t>
  </si>
  <si>
    <t>CLI-01988</t>
  </si>
  <si>
    <t>CLI-01591</t>
  </si>
  <si>
    <t>CLI-01485</t>
  </si>
  <si>
    <t>CLI-01144</t>
  </si>
  <si>
    <t>CLI-00158</t>
  </si>
  <si>
    <t>CLI-01166</t>
  </si>
  <si>
    <t>Lualaba</t>
  </si>
  <si>
    <t>CLI-01749</t>
  </si>
  <si>
    <t>CLI-01419</t>
  </si>
  <si>
    <t>CLI-01294</t>
  </si>
  <si>
    <t>CLI-01433</t>
  </si>
  <si>
    <t>CLI-01224</t>
  </si>
  <si>
    <t>CLI-01023</t>
  </si>
  <si>
    <t>CLI-01292</t>
  </si>
  <si>
    <t>CLI-00109</t>
  </si>
  <si>
    <t>CLI-00862</t>
  </si>
  <si>
    <t>CLI-00091</t>
  </si>
  <si>
    <t>CLI-01624</t>
  </si>
  <si>
    <t>CLI-01796</t>
  </si>
  <si>
    <t>Tshopo</t>
  </si>
  <si>
    <t>CLI-01949</t>
  </si>
  <si>
    <t>CLI-00788</t>
  </si>
  <si>
    <t>CLI-00085</t>
  </si>
  <si>
    <t>CLI-01339</t>
  </si>
  <si>
    <t>CLI-01549</t>
  </si>
  <si>
    <t>CLI-01566</t>
  </si>
  <si>
    <t>CLI-00808</t>
  </si>
  <si>
    <t>CLI-00247</t>
  </si>
  <si>
    <t>CLI-00240</t>
  </si>
  <si>
    <t>CLI-01505</t>
  </si>
  <si>
    <t>CLI-00569</t>
  </si>
  <si>
    <t>CLI-00716</t>
  </si>
  <si>
    <t>CLI-01818</t>
  </si>
  <si>
    <t>CLI-00912</t>
  </si>
  <si>
    <t>CLI-01977</t>
  </si>
  <si>
    <t>CLI-00525</t>
  </si>
  <si>
    <t>CLI-01287</t>
  </si>
  <si>
    <t>CLI-01923</t>
  </si>
  <si>
    <t>CLI-00766</t>
  </si>
  <si>
    <t>CLI-00407</t>
  </si>
  <si>
    <t>CLI-01957</t>
  </si>
  <si>
    <t>CLI-00298</t>
  </si>
  <si>
    <t>CLI-01134</t>
  </si>
  <si>
    <t>CLI-01802</t>
  </si>
  <si>
    <t>CLI-00435</t>
  </si>
  <si>
    <t>CLI-00682</t>
  </si>
  <si>
    <t>CLI-01405</t>
  </si>
  <si>
    <t>CLI-00647</t>
  </si>
  <si>
    <t>CLI-01773</t>
  </si>
  <si>
    <t>CLI-00649</t>
  </si>
  <si>
    <t>CLI-00172</t>
  </si>
  <si>
    <t>CLI-00165</t>
  </si>
  <si>
    <t>CLI-00090</t>
  </si>
  <si>
    <t>CLI-01322</t>
  </si>
  <si>
    <t>CLI-00834</t>
  </si>
  <si>
    <t>CLI-01917</t>
  </si>
  <si>
    <t>CLI-00815</t>
  </si>
  <si>
    <t>CLI-00262</t>
  </si>
  <si>
    <t>CLI-01702</t>
  </si>
  <si>
    <t>CLI-00711</t>
  </si>
  <si>
    <t>CLI-01136</t>
  </si>
  <si>
    <t>CLI-01662</t>
  </si>
  <si>
    <t>CLI-00781</t>
  </si>
  <si>
    <t>CLI-00496</t>
  </si>
  <si>
    <t>CLI-00837</t>
  </si>
  <si>
    <t>CLI-01824</t>
  </si>
  <si>
    <t>CLI-01578</t>
  </si>
  <si>
    <t>CLI-01472</t>
  </si>
  <si>
    <t>CLI-00100</t>
  </si>
  <si>
    <t>CLI-01169</t>
  </si>
  <si>
    <t>CLI-01000</t>
  </si>
  <si>
    <t>CLI-01685</t>
  </si>
  <si>
    <t>CLI-01701</t>
  </si>
  <si>
    <t>CLI-00736</t>
  </si>
  <si>
    <t>CLI-01698</t>
  </si>
  <si>
    <t>CLI-01017</t>
  </si>
  <si>
    <t>CLI-01695</t>
  </si>
  <si>
    <t>CLI-00806</t>
  </si>
  <si>
    <t>CLI-01450</t>
  </si>
  <si>
    <t>CLI-01982</t>
  </si>
  <si>
    <t>CLI-01868</t>
  </si>
  <si>
    <t>CLI-00663</t>
  </si>
  <si>
    <t>CLI-00280</t>
  </si>
  <si>
    <t>CLI-01080</t>
  </si>
  <si>
    <t>CLI-01167</t>
  </si>
  <si>
    <t>CLI-00196</t>
  </si>
  <si>
    <t>CLI-00705</t>
  </si>
  <si>
    <t>CLI-01851</t>
  </si>
  <si>
    <t>CLI-01765</t>
  </si>
  <si>
    <t>CLI-01682</t>
  </si>
  <si>
    <t>CLI-01629</t>
  </si>
  <si>
    <t>CLI-01438</t>
  </si>
  <si>
    <t>CLI-00288</t>
  </si>
  <si>
    <t>CLI-00485</t>
  </si>
  <si>
    <t>CLI-00601</t>
  </si>
  <si>
    <t>CLI-01571</t>
  </si>
  <si>
    <t>CLI-00965</t>
  </si>
  <si>
    <t>CLI-00559</t>
  </si>
  <si>
    <t>CLI-01729</t>
  </si>
  <si>
    <t>CLI-01139</t>
  </si>
  <si>
    <t>CLI-00211</t>
  </si>
  <si>
    <t>CLI-01960</t>
  </si>
  <si>
    <t>CLI-01735</t>
  </si>
  <si>
    <t>CLI-01719</t>
  </si>
  <si>
    <t>CLI-01873</t>
  </si>
  <si>
    <t>CLI-00310</t>
  </si>
  <si>
    <t>CLI-01890</t>
  </si>
  <si>
    <t>CLI-01200</t>
  </si>
  <si>
    <t>CLI-01855</t>
  </si>
  <si>
    <t>CLI-01974</t>
  </si>
  <si>
    <t>CLI-01431</t>
  </si>
  <si>
    <t>CLI-01059</t>
  </si>
  <si>
    <t>CLI-01536</t>
  </si>
  <si>
    <t>CLI-01275</t>
  </si>
  <si>
    <t>CLI-00221</t>
  </si>
  <si>
    <t>CLI-01407</t>
  </si>
  <si>
    <t>CLI-00921</t>
  </si>
  <si>
    <t>CLI-00550</t>
  </si>
  <si>
    <t>CLI-00939</t>
  </si>
  <si>
    <t>CLI-01242</t>
  </si>
  <si>
    <t>CLI-01319</t>
  </si>
  <si>
    <t>CLI-01325</t>
  </si>
  <si>
    <t>CLI-00291</t>
  </si>
  <si>
    <t>CLI-00671</t>
  </si>
  <si>
    <t>CLI-00590</t>
  </si>
  <si>
    <t>CLI-00044</t>
  </si>
  <si>
    <t>CLI-00105</t>
  </si>
  <si>
    <t>CLI-00520</t>
  </si>
  <si>
    <t>CLI-00439</t>
  </si>
  <si>
    <t>CLI-00029</t>
  </si>
  <si>
    <t>CLI-01461</t>
  </si>
  <si>
    <t>CLI-00429</t>
  </si>
  <si>
    <t>CLI-00584</t>
  </si>
  <si>
    <t>CLI-00243</t>
  </si>
  <si>
    <t>CLI-01196</t>
  </si>
  <si>
    <t>CLI-01622</t>
  </si>
  <si>
    <t>CLI-01141</t>
  </si>
  <si>
    <t>CLI-01118</t>
  </si>
  <si>
    <t>CLI-00786</t>
  </si>
  <si>
    <t>CLI-00755</t>
  </si>
  <si>
    <t>CLI-00410</t>
  </si>
  <si>
    <t>CLI-01550</t>
  </si>
  <si>
    <t>CLI-00377</t>
  </si>
  <si>
    <t>CLI-00273</t>
  </si>
  <si>
    <t>CLI-00431</t>
  </si>
  <si>
    <t>CLI-01233</t>
  </si>
  <si>
    <t>CLI-01683</t>
  </si>
  <si>
    <t>CLI-01768</t>
  </si>
  <si>
    <t>CLI-00037</t>
  </si>
  <si>
    <t>CLI-01970</t>
  </si>
  <si>
    <t>CLI-01998</t>
  </si>
  <si>
    <t>CLI-01972</t>
  </si>
  <si>
    <t>CLI-00857</t>
  </si>
  <si>
    <t>CLI-01344</t>
  </si>
  <si>
    <t>CLI-01603</t>
  </si>
  <si>
    <t>CLI-00304</t>
  </si>
  <si>
    <t>CLI-01014</t>
  </si>
  <si>
    <t>CLI-01850</t>
  </si>
  <si>
    <t>CLI-00145</t>
  </si>
  <si>
    <t>CLI-00537</t>
  </si>
  <si>
    <t>CLI-01533</t>
  </si>
  <si>
    <t>CLI-01408</t>
  </si>
  <si>
    <t>CLI-00382</t>
  </si>
  <si>
    <t>CLI-00595</t>
  </si>
  <si>
    <t>CLI-01284</t>
  </si>
  <si>
    <t>CLI-00868</t>
  </si>
  <si>
    <t>CLI-00183</t>
  </si>
  <si>
    <t>CLI-01837</t>
  </si>
  <si>
    <t>CLI-01180</t>
  </si>
  <si>
    <t>CLI-00974</t>
  </si>
  <si>
    <t>CLI-01600</t>
  </si>
  <si>
    <t>CLI-01757</t>
  </si>
  <si>
    <t>CLI-00643</t>
  </si>
  <si>
    <t>CLI-01386</t>
  </si>
  <si>
    <t>CLI-00898</t>
  </si>
  <si>
    <t>CLI-00970</t>
  </si>
  <si>
    <t>CLI-01320</t>
  </si>
  <si>
    <t>CLI-01374</t>
  </si>
  <si>
    <t>CLI-00890</t>
  </si>
  <si>
    <t>CLI-00596</t>
  </si>
  <si>
    <t>CLI-01704</t>
  </si>
  <si>
    <t>CLI-00534</t>
  </si>
  <si>
    <t>CLI-00962</t>
  </si>
  <si>
    <t>CLI-00232</t>
  </si>
  <si>
    <t>CLI-01330</t>
  </si>
  <si>
    <t>CLI-00176</t>
  </si>
  <si>
    <t>CLI-01189</t>
  </si>
  <si>
    <t>CLI-01616</t>
  </si>
  <si>
    <t>CLI-00853</t>
  </si>
  <si>
    <t>CLI-00341</t>
  </si>
  <si>
    <t>CLI-01507</t>
  </si>
  <si>
    <t>CLI-00519</t>
  </si>
  <si>
    <t>CLI-01938</t>
  </si>
  <si>
    <t>CLI-00541</t>
  </si>
  <si>
    <t>CLI-00359</t>
  </si>
  <si>
    <t>CLI-01515</t>
  </si>
  <si>
    <t>CLI-01588</t>
  </si>
  <si>
    <t>CLI-01775</t>
  </si>
  <si>
    <t>CLI-01885</t>
  </si>
  <si>
    <t>CLI-00803</t>
  </si>
  <si>
    <t>CLI-01740</t>
  </si>
  <si>
    <t>CLI-00997</t>
  </si>
  <si>
    <t>CLI-00009</t>
  </si>
  <si>
    <t>CLI-01933</t>
  </si>
  <si>
    <t>CLI-01435</t>
  </si>
  <si>
    <t>CLI-01256</t>
  </si>
  <si>
    <t>CLI-00655</t>
  </si>
  <si>
    <t>CLI-01858</t>
  </si>
  <si>
    <t>CLI-01258</t>
  </si>
  <si>
    <t>CLI-01093</t>
  </si>
  <si>
    <t>CLI-00966</t>
  </si>
  <si>
    <t>CLI-00549</t>
  </si>
  <si>
    <t>CLI-01234</t>
  </si>
  <si>
    <t>CLI-00076</t>
  </si>
  <si>
    <t>CLI-00296</t>
  </si>
  <si>
    <t>CLI-00675</t>
  </si>
  <si>
    <t>CLI-00376</t>
  </si>
  <si>
    <t>CLI-01204</t>
  </si>
  <si>
    <t>CLI-01686</t>
  </si>
  <si>
    <t>CLI-01780</t>
  </si>
  <si>
    <t>CLI-00819</t>
  </si>
  <si>
    <t>CLI-01327</t>
  </si>
  <si>
    <t>CLI-01360</t>
  </si>
  <si>
    <t>CLI-01761</t>
  </si>
  <si>
    <t>CLI-01927</t>
  </si>
  <si>
    <t>CLI-01720</t>
  </si>
  <si>
    <t>CLI-01217</t>
  </si>
  <si>
    <t>CLI-00896</t>
  </si>
  <si>
    <t>CLI-00418</t>
  </si>
  <si>
    <t>CLI-00374</t>
  </si>
  <si>
    <t>CLI-01351</t>
  </si>
  <si>
    <t>CLI-00361</t>
  </si>
  <si>
    <t>CLI-00726</t>
  </si>
  <si>
    <t>CLI-00620</t>
  </si>
  <si>
    <t>CLI-01959</t>
  </si>
  <si>
    <t>CLI-01852</t>
  </si>
  <si>
    <t>CLI-01015</t>
  </si>
  <si>
    <t>CLI-01283</t>
  </si>
  <si>
    <t>CLI-00979</t>
  </si>
  <si>
    <t>CLI-00072</t>
  </si>
  <si>
    <t>CLI-00562</t>
  </si>
  <si>
    <t>CLI-00368</t>
  </si>
  <si>
    <t>CLI-00388</t>
  </si>
  <si>
    <t>CLI-00621</t>
  </si>
  <si>
    <t>CLI-01821</t>
  </si>
  <si>
    <t>CLI-00616</t>
  </si>
  <si>
    <t>CLI-00684</t>
  </si>
  <si>
    <t>CLI-01496</t>
  </si>
  <si>
    <t>CLI-00516</t>
  </si>
  <si>
    <t>CLI-01812</t>
  </si>
  <si>
    <t>CLI-01728</t>
  </si>
  <si>
    <t>CLI-01565</t>
  </si>
  <si>
    <t>CLI-01563</t>
  </si>
  <si>
    <t>CLI-00695</t>
  </si>
  <si>
    <t>CLI-01181</t>
  </si>
  <si>
    <t>CLI-00241</t>
  </si>
  <si>
    <t>CLI-00950</t>
  </si>
  <si>
    <t>CLI-01510</t>
  </si>
  <si>
    <t>CLI-01975</t>
  </si>
  <si>
    <t>CLI-01967</t>
  </si>
  <si>
    <t>CLI-01830</t>
  </si>
  <si>
    <t>CLI-01741</t>
  </si>
  <si>
    <t>CLI-01162</t>
  </si>
  <si>
    <t>CLI-01731</t>
  </si>
  <si>
    <t>CLI-00795</t>
  </si>
  <si>
    <t>CLI-00442</t>
  </si>
  <si>
    <t>CLI-01617</t>
  </si>
  <si>
    <t>CLI-00610</t>
  </si>
  <si>
    <t>CLI-00552</t>
  </si>
  <si>
    <t>CLI-01990</t>
  </si>
  <si>
    <t>CLI-01007</t>
  </si>
  <si>
    <t>CLI-01508</t>
  </si>
  <si>
    <t>CLI-00642</t>
  </si>
  <si>
    <t>CLI-00846</t>
  </si>
  <si>
    <t>CLI-00952</t>
  </si>
  <si>
    <t>CLI-01329</t>
  </si>
  <si>
    <t>CLI-01104</t>
  </si>
  <si>
    <t>CLI-01619</t>
  </si>
  <si>
    <t>CLI-00279</t>
  </si>
  <si>
    <t>CLI-01823</t>
  </si>
  <si>
    <t>CLI-01241</t>
  </si>
  <si>
    <t>CLI-01739</t>
  </si>
  <si>
    <t>CLI-01861</t>
  </si>
  <si>
    <t>CLI-01920</t>
  </si>
  <si>
    <t>CLI-00996</t>
  </si>
  <si>
    <t>CLI-00907</t>
  </si>
  <si>
    <t>CLI-01926</t>
  </si>
  <si>
    <t>CLI-00611</t>
  </si>
  <si>
    <t>CLI-01254</t>
  </si>
  <si>
    <t>CLI-01238</t>
  </si>
  <si>
    <t>CLI-00136</t>
  </si>
  <si>
    <t>CLI-01623</t>
  </si>
  <si>
    <t>CLI-00384</t>
  </si>
  <si>
    <t>CLI-01373</t>
  </si>
  <si>
    <t>CLI-01403</t>
  </si>
  <si>
    <t>CLI-01607</t>
  </si>
  <si>
    <t>CLI-00206</t>
  </si>
  <si>
    <t>CLI-00546</t>
  </si>
  <si>
    <t>CLI-01010</t>
  </si>
  <si>
    <t>CLI-01598</t>
  </si>
  <si>
    <t>CLI-00028</t>
  </si>
  <si>
    <t>CLI-00885</t>
  </si>
  <si>
    <t>CLI-01096</t>
  </si>
  <si>
    <t>CLI-01003</t>
  </si>
  <si>
    <t>CLI-00334</t>
  </si>
  <si>
    <t>CLI-00394</t>
  </si>
  <si>
    <t>CLI-01210</t>
  </si>
  <si>
    <t>CLI-00535</t>
  </si>
  <si>
    <t>CLI-01462</t>
  </si>
  <si>
    <t>CLI-01326</t>
  </si>
  <si>
    <t>CLI-00768</t>
  </si>
  <si>
    <t>CLI-01651</t>
  </si>
  <si>
    <t>CLI-01705</t>
  </si>
  <si>
    <t>CLI-00745</t>
  </si>
  <si>
    <t>CLI-00524</t>
  </si>
  <si>
    <t>CLI-00523</t>
  </si>
  <si>
    <t>CLI-01844</t>
  </si>
  <si>
    <t>CLI-01480</t>
  </si>
  <si>
    <t>CLI-01876</t>
  </si>
  <si>
    <t>CLI-00894</t>
  </si>
  <si>
    <t>CLI-01793</t>
  </si>
  <si>
    <t>CLI-00543</t>
  </si>
  <si>
    <t>CLI-01194</t>
  </si>
  <si>
    <t>CLI-00650</t>
  </si>
  <si>
    <t>CLI-01621</t>
  </si>
  <si>
    <t>CLI-01726</t>
  </si>
  <si>
    <t>CLI-01694</t>
  </si>
  <si>
    <t>CLI-01964</t>
  </si>
  <si>
    <t>CLI-00505</t>
  </si>
  <si>
    <t>CLI-01759</t>
  </si>
  <si>
    <t>CLI-00959</t>
  </si>
  <si>
    <t>CLI-00582</t>
  </si>
  <si>
    <t>CLI-01266</t>
  </si>
  <si>
    <t>CLI-01835</t>
  </si>
  <si>
    <t>CLI-00230</t>
  </si>
  <si>
    <t>CLI-01420</t>
  </si>
  <si>
    <t>CLI-01666</t>
  </si>
  <si>
    <t>CLI-01267</t>
  </si>
  <si>
    <t>CLI-00184</t>
  </si>
  <si>
    <t>CLI-01154</t>
  </si>
  <si>
    <t>CLI-01520</t>
  </si>
  <si>
    <t>CLI-00169</t>
  </si>
  <si>
    <t>CLI-01146</t>
  </si>
  <si>
    <t>CLI-00194</t>
  </si>
  <si>
    <t>CLI-00510</t>
  </si>
  <si>
    <t>CLI-00057</t>
  </si>
  <si>
    <t>CLI-00424</t>
  </si>
  <si>
    <t>CLI-00932</t>
  </si>
  <si>
    <t>CLI-00250</t>
  </si>
  <si>
    <t>CLI-01880</t>
  </si>
  <si>
    <t>CLI-01432</t>
  </si>
  <si>
    <t>CLI-01050</t>
  </si>
  <si>
    <t>CLI-01479</t>
  </si>
  <si>
    <t>CLI-00700</t>
  </si>
  <si>
    <t>CLI-01618</t>
  </si>
  <si>
    <t>CLI-01052</t>
  </si>
  <si>
    <t>CLI-00306</t>
  </si>
  <si>
    <t>CLI-01236</t>
  </si>
  <si>
    <t>CLI-01723</t>
  </si>
  <si>
    <t>CLI-01087</t>
  </si>
  <si>
    <t>CLI-00370</t>
  </si>
  <si>
    <t>CLI-00754</t>
  </si>
  <si>
    <t>CLI-01442</t>
  </si>
  <si>
    <t>CLI-00012</t>
  </si>
  <si>
    <t>CLI-01186</t>
  </si>
  <si>
    <t>CLI-01484</t>
  </si>
  <si>
    <t>CLI-01543</t>
  </si>
  <si>
    <t>CLI-01199</t>
  </si>
  <si>
    <t>CLI-01724</t>
  </si>
  <si>
    <t>CLI-01211</t>
  </si>
  <si>
    <t>CLI-00098</t>
  </si>
  <si>
    <t>CLI-01561</t>
  </si>
  <si>
    <t>CLI-01653</t>
  </si>
  <si>
    <t>CLI-01291</t>
  </si>
  <si>
    <t>CLI-00060</t>
  </si>
  <si>
    <t>CLI-00866</t>
  </si>
  <si>
    <t>CLI-00327</t>
  </si>
  <si>
    <t>CLI-01005</t>
  </si>
  <si>
    <t>CLI-00902</t>
  </si>
  <si>
    <t>CLI-00185</t>
  </si>
  <si>
    <t>CLI-01573</t>
  </si>
  <si>
    <t>CLI-01736</t>
  </si>
  <si>
    <t>CLI-01782</t>
  </si>
  <si>
    <t>CLI-01722</t>
  </si>
  <si>
    <t>CLI-01363</t>
  </si>
  <si>
    <t>CLI-00492</t>
  </si>
  <si>
    <t>CLI-00305</t>
  </si>
  <si>
    <t>CLI-01503</t>
  </si>
  <si>
    <t>CLI-00102</t>
  </si>
  <si>
    <t>CLI-00277</t>
  </si>
  <si>
    <t>CLI-01999</t>
  </si>
  <si>
    <t>CLI-01595</t>
  </si>
  <si>
    <t>CLI-01349</t>
  </si>
  <si>
    <t>CLI-01453</t>
  </si>
  <si>
    <t>CLI-01969</t>
  </si>
  <si>
    <t>CLI-00532</t>
  </si>
  <si>
    <t>CLI-01463</t>
  </si>
  <si>
    <t>CLI-01555</t>
  </si>
  <si>
    <t>CLI-00938</t>
  </si>
  <si>
    <t>CLI-00471</t>
  </si>
  <si>
    <t>CLI-00251</t>
  </si>
  <si>
    <t>CLI-00447</t>
  </si>
  <si>
    <t>CLI-01820</t>
  </si>
  <si>
    <t>CLI-00234</t>
  </si>
  <si>
    <t>CLI-00930</t>
  </si>
  <si>
    <t>CLI-00171</t>
  </si>
  <si>
    <t>CLI-00852</t>
  </si>
  <si>
    <t>CLI-01304</t>
  </si>
  <si>
    <t>CLI-00043</t>
  </si>
  <si>
    <t>CLI-00484</t>
  </si>
  <si>
    <t>CLI-01340</t>
  </si>
  <si>
    <t>CLI-01404</t>
  </si>
  <si>
    <t>CLI-01290</t>
  </si>
  <si>
    <t>CLI-01979</t>
  </si>
  <si>
    <t>CLI-00980</t>
  </si>
  <si>
    <t>CLI-01788</t>
  </si>
  <si>
    <t>CLI-00901</t>
  </si>
  <si>
    <t>CLI-00150</t>
  </si>
  <si>
    <t>CLI-01877</t>
  </si>
  <si>
    <t>CLI-00017</t>
  </si>
  <si>
    <t>CLI-00522</t>
  </si>
  <si>
    <t>CLI-01361</t>
  </si>
  <si>
    <t>CLI-00957</t>
  </si>
  <si>
    <t>CLI-01908</t>
  </si>
  <si>
    <t>CLI-01832</t>
  </si>
  <si>
    <t>CLI-00349</t>
  </si>
  <si>
    <t>CLI-01524</t>
  </si>
  <si>
    <t>CLI-00070</t>
  </si>
  <si>
    <t>CLI-00670</t>
  </si>
  <si>
    <t>CLI-01860</t>
  </si>
  <si>
    <t>CLI-01891</t>
  </si>
  <si>
    <t>CLI-01375</t>
  </si>
  <si>
    <t>CLI-01721</t>
  </si>
  <si>
    <t>CLI-00157</t>
  </si>
  <si>
    <t>CLI-00387</t>
  </si>
  <si>
    <t>CLI-00007</t>
  </si>
  <si>
    <t>CLI-01560</t>
  </si>
  <si>
    <t>CLI-01058</t>
  </si>
  <si>
    <t>CLI-00606</t>
  </si>
  <si>
    <t>CLI-01669</t>
  </si>
  <si>
    <t>CLI-00825</t>
  </si>
  <si>
    <t>CLI-00929</t>
  </si>
  <si>
    <t>CLI-01313</t>
  </si>
  <si>
    <t>CLI-00922</t>
  </si>
  <si>
    <t>CLI-00173</t>
  </si>
  <si>
    <t>CLI-00192</t>
  </si>
  <si>
    <t>CLI-01037</t>
  </si>
  <si>
    <t>CLI-00833</t>
  </si>
  <si>
    <t>CLI-00739</t>
  </si>
  <si>
    <t>CLI-00041</t>
  </si>
  <si>
    <t>CLI-00999</t>
  </si>
  <si>
    <t>CLI-01069</t>
  </si>
  <si>
    <t>CLI-01016</t>
  </si>
  <si>
    <t>CLI-00753</t>
  </si>
  <si>
    <t>CLI-01347</t>
  </si>
  <si>
    <t>CLI-01981</t>
  </si>
  <si>
    <t>CLI-00634</t>
  </si>
  <si>
    <t>CLI-00352</t>
  </si>
  <si>
    <t>CLI-00460</t>
  </si>
  <si>
    <t>CLI-01971</t>
  </si>
  <si>
    <t>CLI-01357</t>
  </si>
  <si>
    <t>CLI-00978</t>
  </si>
  <si>
    <t>CLI-01680</t>
  </si>
  <si>
    <t>CLI-00849</t>
  </si>
  <si>
    <t>CLI-00796</t>
  </si>
  <si>
    <t>CLI-00034</t>
  </si>
  <si>
    <t>CLI-00881</t>
  </si>
  <si>
    <t>CLI-00316</t>
  </si>
  <si>
    <t>CLI-00315</t>
  </si>
  <si>
    <t>CLI-00773</t>
  </si>
  <si>
    <t>CLI-01816</t>
  </si>
  <si>
    <t>CLI-01688</t>
  </si>
  <si>
    <t>CLI-00830</t>
  </si>
  <si>
    <t>CLI-01121</t>
  </si>
  <si>
    <t>CLI-00760</t>
  </si>
  <si>
    <t>CLI-00961</t>
  </si>
  <si>
    <t>CLI-00107</t>
  </si>
  <si>
    <t>CLI-00964</t>
  </si>
  <si>
    <t>CLI-00925</t>
  </si>
  <si>
    <t>CLI-01706</t>
  </si>
  <si>
    <t>CLI-01437</t>
  </si>
  <si>
    <t>CLI-00197</t>
  </si>
  <si>
    <t>CLI-00318</t>
  </si>
  <si>
    <t>CLI-01893</t>
  </si>
  <si>
    <t>CLI-01604</t>
  </si>
  <si>
    <t>CLI-01278</t>
  </si>
  <si>
    <t>CLI-00899</t>
  </si>
  <si>
    <t>CLI-00218</t>
  </si>
  <si>
    <t>CLI-00084</t>
  </si>
  <si>
    <t>CLI-01530</t>
  </si>
  <si>
    <t>CLI-01846</t>
  </si>
  <si>
    <t>CLI-00087</t>
  </si>
  <si>
    <t>CLI-00782</t>
  </si>
  <si>
    <t>CLI-00674</t>
  </si>
  <si>
    <t>CLI-01122</t>
  </si>
  <si>
    <t>CLI-01995</t>
  </si>
  <si>
    <t>CLI-01129</t>
  </si>
  <si>
    <t>CLI-00994</t>
  </si>
  <si>
    <t>CLI-01940</t>
  </si>
  <si>
    <t>CLI-00960</t>
  </si>
  <si>
    <t>CLI-01264</t>
  </si>
  <si>
    <t>CLI-00386</t>
  </si>
  <si>
    <t>CLI-01888</t>
  </si>
  <si>
    <t>CLI-00871</t>
  </si>
  <si>
    <t>CLI-00115</t>
  </si>
  <si>
    <t>CLI-00879</t>
  </si>
  <si>
    <t>CLI-01075</t>
  </si>
  <si>
    <t>CLI-01911</t>
  </si>
  <si>
    <t>CLI-01511</t>
  </si>
  <si>
    <t>CLI-00576</t>
  </si>
  <si>
    <t>CLI-01535</t>
  </si>
  <si>
    <t>CLI-00509</t>
  </si>
  <si>
    <t>CLI-00191</t>
  </si>
  <si>
    <t>CLI-00074</t>
  </si>
  <si>
    <t>CLI-01072</t>
  </si>
  <si>
    <t>CLI-01455</t>
  </si>
  <si>
    <t>CLI-00728</t>
  </si>
  <si>
    <t>CLI-01637</t>
  </si>
  <si>
    <t>CLI-00948</t>
  </si>
  <si>
    <t>CLI-01658</t>
  </si>
  <si>
    <t>CLI-01424</t>
  </si>
  <si>
    <t>CLI-00045</t>
  </si>
  <si>
    <t>CLI-00112</t>
  </si>
  <si>
    <t>CLI-00267</t>
  </si>
  <si>
    <t>CLI-00563</t>
  </si>
  <si>
    <t>CLI-01077</t>
  </si>
  <si>
    <t>CLI-01466</t>
  </si>
  <si>
    <t>CLI-00884</t>
  </si>
  <si>
    <t>CLI-00391</t>
  </si>
  <si>
    <t>CLI-00313</t>
  </si>
  <si>
    <t>CLI-00274</t>
  </si>
  <si>
    <t>CLI-01006</t>
  </si>
  <si>
    <t>CLI-01451</t>
  </si>
  <si>
    <t>CLI-00813</t>
  </si>
  <si>
    <t>CLI-00822</t>
  </si>
  <si>
    <t>CLI-01848</t>
  </si>
  <si>
    <t>CLI-01470</t>
  </si>
  <si>
    <t>CLI-01203</t>
  </si>
  <si>
    <t>CLI-00093</t>
  </si>
  <si>
    <t>CLI-01804</t>
  </si>
  <si>
    <t>CLI-00365</t>
  </si>
  <si>
    <t>CLI-00346</t>
  </si>
  <si>
    <t>CLI-00054</t>
  </si>
  <si>
    <t>CLI-01396</t>
  </si>
  <si>
    <t>CLI-00271</t>
  </si>
  <si>
    <t>CLI-01078</t>
  </si>
  <si>
    <t>CLI-00190</t>
  </si>
  <si>
    <t>CLI-00324</t>
  </si>
  <si>
    <t>CLI-00491</t>
  </si>
  <si>
    <t>CLI-01197</t>
  </si>
  <si>
    <t>CLI-00821</t>
  </si>
  <si>
    <t>CLI-00533</t>
  </si>
  <si>
    <t>CLI-01929</t>
  </si>
  <si>
    <t>CLI-00413</t>
  </si>
  <si>
    <t>CLI-00039</t>
  </si>
  <si>
    <t>CLI-00373</t>
  </si>
  <si>
    <t>CLI-01436</t>
  </si>
  <si>
    <t>CLI-01906</t>
  </si>
  <si>
    <t>CLI-00612</t>
  </si>
  <si>
    <t>CLI-01714</t>
  </si>
  <si>
    <t>CLI-00177</t>
  </si>
  <si>
    <t>CLI-00666</t>
  </si>
  <si>
    <t>CLI-01359</t>
  </si>
  <si>
    <t>CLI-00161</t>
  </si>
  <si>
    <t>CLI-00248</t>
  </si>
  <si>
    <t>CLI-01475</t>
  </si>
  <si>
    <t>CLI-01032</t>
  </si>
  <si>
    <t>CLI-01489</t>
  </si>
  <si>
    <t>CLI-01095</t>
  </si>
  <si>
    <t>CLI-00335</t>
  </si>
  <si>
    <t>CLI-00227</t>
  </si>
  <si>
    <t>CLI-01226</t>
  </si>
  <si>
    <t>CLI-00417</t>
  </si>
  <si>
    <t>CLI-00238</t>
  </si>
  <si>
    <t>CLI-01568</t>
  </si>
  <si>
    <t>CLI-01932</t>
  </si>
  <si>
    <t>CLI-00924</t>
  </si>
  <si>
    <t>CLI-00873</t>
  </si>
  <si>
    <t>CLI-01165</t>
  </si>
  <si>
    <t>CLI-01871</t>
  </si>
  <si>
    <t>CLI-01732</t>
  </si>
  <si>
    <t>CLI-01021</t>
  </si>
  <si>
    <t>CLI-01494</t>
  </si>
  <si>
    <t>CLI-01355</t>
  </si>
  <si>
    <t>CLI-00799</t>
  </si>
  <si>
    <t>CLI-01854</t>
  </si>
  <si>
    <t>CLI-00265</t>
  </si>
  <si>
    <t>CLI-00163</t>
  </si>
  <si>
    <t>CLI-00867</t>
  </si>
  <si>
    <t>CLI-01542</t>
  </si>
  <si>
    <t>CLI-01314</t>
  </si>
  <si>
    <t>CLI-00909</t>
  </si>
  <si>
    <t>CLI-01415</t>
  </si>
  <si>
    <t>CLI-00483</t>
  </si>
  <si>
    <t>CLI-01394</t>
  </si>
  <si>
    <t>CLI-00928</t>
  </si>
  <si>
    <t>CLI-01654</t>
  </si>
  <si>
    <t>CLI-00973</t>
  </si>
  <si>
    <t>CLI-01606</t>
  </si>
  <si>
    <t>CLI-01013</t>
  </si>
  <si>
    <t>CLI-00986</t>
  </si>
  <si>
    <t>CLI-01406</t>
  </si>
  <si>
    <t>CLI-01687</t>
  </si>
  <si>
    <t>Cell_ID</t>
  </si>
  <si>
    <t>Date_Heure_Panne</t>
  </si>
  <si>
    <t>Duree_Panne_Min</t>
  </si>
  <si>
    <t>Statut_Resolution</t>
  </si>
  <si>
    <t>Duree_Panne_Heure</t>
  </si>
  <si>
    <t>Province_RDC</t>
  </si>
  <si>
    <t>Latitude</t>
  </si>
  <si>
    <t>Longitude</t>
  </si>
  <si>
    <t>Technologie</t>
  </si>
  <si>
    <t>Equipementier</t>
  </si>
  <si>
    <t>Logs_Reseau_Part_23.xlsx</t>
  </si>
  <si>
    <t>ANT-0001</t>
  </si>
  <si>
    <t>Résolu</t>
  </si>
  <si>
    <t>Logs_Reseau_Part_19.xlsx</t>
  </si>
  <si>
    <t>Non Résolu</t>
  </si>
  <si>
    <t>Logs_Reseau_Part_01.xlsx</t>
  </si>
  <si>
    <t>Logs_Reseau_Part_05.xlsx</t>
  </si>
  <si>
    <t>ANT-0002</t>
  </si>
  <si>
    <t>Logs_Reseau_Part_24.xlsx</t>
  </si>
  <si>
    <t>ANT-0006</t>
  </si>
  <si>
    <t>En Cours</t>
  </si>
  <si>
    <t>Logs_Reseau_Part_12.xlsx</t>
  </si>
  <si>
    <t>Logs_Reseau_Part_14.xlsx</t>
  </si>
  <si>
    <t>ANT-0007</t>
  </si>
  <si>
    <t>Logs_Reseau_Part_22.xlsx</t>
  </si>
  <si>
    <t>ANT-0010</t>
  </si>
  <si>
    <t>Logs_Reseau_Part_02.xlsx</t>
  </si>
  <si>
    <t>ANT-0029</t>
  </si>
  <si>
    <t>Logs_Reseau_Part_10.xlsx</t>
  </si>
  <si>
    <t>ANT-0032</t>
  </si>
  <si>
    <t>Logs_Reseau_Part_06.xlsx</t>
  </si>
  <si>
    <t>ANT-0035</t>
  </si>
  <si>
    <t>ANT-0042</t>
  </si>
  <si>
    <t>ANT-0044</t>
  </si>
  <si>
    <t>Logs_Reseau_Part_18.xlsx</t>
  </si>
  <si>
    <t>ANT-0045</t>
  </si>
  <si>
    <t>Logs_Reseau_Part_09.xlsx</t>
  </si>
  <si>
    <t>ANT-0054</t>
  </si>
  <si>
    <t>ANT-0056</t>
  </si>
  <si>
    <t>Logs_Reseau_Part_17.xlsx</t>
  </si>
  <si>
    <t>Logs_Reseau_Part_25.xlsx</t>
  </si>
  <si>
    <t>ANT-0058</t>
  </si>
  <si>
    <t>Logs_Reseau_Part_21.xlsx</t>
  </si>
  <si>
    <t>ANT-0066</t>
  </si>
  <si>
    <t>ANT-0070</t>
  </si>
  <si>
    <t>Logs_Reseau_Part_15.xlsx</t>
  </si>
  <si>
    <t>ANT-0071</t>
  </si>
  <si>
    <t>ANT-0078</t>
  </si>
  <si>
    <t>Logs_Reseau_Part_08.xlsx</t>
  </si>
  <si>
    <t>ANT-0079</t>
  </si>
  <si>
    <t>ANT-0081</t>
  </si>
  <si>
    <t>Logs_Reseau_Part_20.xlsx</t>
  </si>
  <si>
    <t>ANT-0086</t>
  </si>
  <si>
    <t>Logs_Reseau_Part_04.xlsx</t>
  </si>
  <si>
    <t>ANT-0088</t>
  </si>
  <si>
    <t>Logs_Reseau_Part_16.xlsx</t>
  </si>
  <si>
    <t>ANT-0090</t>
  </si>
  <si>
    <t>ANT-0091</t>
  </si>
  <si>
    <t>Logs_Reseau_Part_11.xlsx</t>
  </si>
  <si>
    <t>ANT-0093</t>
  </si>
  <si>
    <t>ANT-0094</t>
  </si>
  <si>
    <t>ANT-0099</t>
  </si>
  <si>
    <t>ANT-0103</t>
  </si>
  <si>
    <t>ANT-0106</t>
  </si>
  <si>
    <t>ANT-0110</t>
  </si>
  <si>
    <t>ANT-0121</t>
  </si>
  <si>
    <t>Logs_Reseau_Part_13.xlsx</t>
  </si>
  <si>
    <t>ANT-0122</t>
  </si>
  <si>
    <t>ANT-0123</t>
  </si>
  <si>
    <t>ANT-0131</t>
  </si>
  <si>
    <t>ANT-0132</t>
  </si>
  <si>
    <t>ANT-0134</t>
  </si>
  <si>
    <t>ANT-0142</t>
  </si>
  <si>
    <t>ANT-0143</t>
  </si>
  <si>
    <t>ANT-0147</t>
  </si>
  <si>
    <t>ANT-0153</t>
  </si>
  <si>
    <t>ANT-0154</t>
  </si>
  <si>
    <t>ANT-0159</t>
  </si>
  <si>
    <t>ANT-0162</t>
  </si>
  <si>
    <t>ANT-0164</t>
  </si>
  <si>
    <t>ANT-0165</t>
  </si>
  <si>
    <t>ANT-0180</t>
  </si>
  <si>
    <t>ANT-0183</t>
  </si>
  <si>
    <t>ANT-0184</t>
  </si>
  <si>
    <t>ANT-0185</t>
  </si>
  <si>
    <t>ANT-0205</t>
  </si>
  <si>
    <t>ANT-0209</t>
  </si>
  <si>
    <t>ANT-0211</t>
  </si>
  <si>
    <t>ANT-0212</t>
  </si>
  <si>
    <t>ANT-0225</t>
  </si>
  <si>
    <t>ANT-0226</t>
  </si>
  <si>
    <t>ANT-0229</t>
  </si>
  <si>
    <t>ANT-0236</t>
  </si>
  <si>
    <t>ANT-0238</t>
  </si>
  <si>
    <t>ANT-0248</t>
  </si>
  <si>
    <t>ANT-0250</t>
  </si>
  <si>
    <t>ANT-0255</t>
  </si>
  <si>
    <t>ANT-0257</t>
  </si>
  <si>
    <t>ANT-0258</t>
  </si>
  <si>
    <t>ANT-0268</t>
  </si>
  <si>
    <t>ANT-0270</t>
  </si>
  <si>
    <t>ANT-0276</t>
  </si>
  <si>
    <t>ANT-0277</t>
  </si>
  <si>
    <t>ANT-0283</t>
  </si>
  <si>
    <t>ANT-0284</t>
  </si>
  <si>
    <t>Logs_Reseau_Part_03.xlsx</t>
  </si>
  <si>
    <t>ANT-0287</t>
  </si>
  <si>
    <t>ANT-0288</t>
  </si>
  <si>
    <t>ANT-0292</t>
  </si>
  <si>
    <t>ANT-0293</t>
  </si>
  <si>
    <t>ANT-0294</t>
  </si>
  <si>
    <t>ANT-0298</t>
  </si>
  <si>
    <t>ANT-0302</t>
  </si>
  <si>
    <t>Logs_Reseau_Part_07.xlsx</t>
  </si>
  <si>
    <t>ANT-0315</t>
  </si>
  <si>
    <t>ANT-0332</t>
  </si>
  <si>
    <t>ANT-0339</t>
  </si>
  <si>
    <t>ANT-0348</t>
  </si>
  <si>
    <t>ANT-0357</t>
  </si>
  <si>
    <t>ANT-0362</t>
  </si>
  <si>
    <t>ANT-0368</t>
  </si>
  <si>
    <t>ANT-0370</t>
  </si>
  <si>
    <t>ANT-0371</t>
  </si>
  <si>
    <t>ANT-0379</t>
  </si>
  <si>
    <t>ANT-0381</t>
  </si>
  <si>
    <t>ANT-0386</t>
  </si>
  <si>
    <t>ANT-0391</t>
  </si>
  <si>
    <t>ANT-0402</t>
  </si>
  <si>
    <t>ANT-0407</t>
  </si>
  <si>
    <t>ANT-0411</t>
  </si>
  <si>
    <t>ANT-0416</t>
  </si>
  <si>
    <t>ANT-0419</t>
  </si>
  <si>
    <t>ANT-0424</t>
  </si>
  <si>
    <t>ANT-0430</t>
  </si>
  <si>
    <t>ANT-0431</t>
  </si>
  <si>
    <t>ANT-0434</t>
  </si>
  <si>
    <t>ANT-0436</t>
  </si>
  <si>
    <t>ANT-0437</t>
  </si>
  <si>
    <t>ANT-0441</t>
  </si>
  <si>
    <t>ANT-0446</t>
  </si>
  <si>
    <t>ANT-0450</t>
  </si>
  <si>
    <t>ANT-0454</t>
  </si>
  <si>
    <t>ANT-0457</t>
  </si>
  <si>
    <t>ANT-0465</t>
  </si>
  <si>
    <t>ANT-0466</t>
  </si>
  <si>
    <t>ANT-0472</t>
  </si>
  <si>
    <t>ANT-0481</t>
  </si>
  <si>
    <t>ANT-0484</t>
  </si>
  <si>
    <t>ANT-0488</t>
  </si>
  <si>
    <t>ANT-0489</t>
  </si>
  <si>
    <t>ANT-0494</t>
  </si>
  <si>
    <t>ANT-0499</t>
  </si>
  <si>
    <t>ANT-0503</t>
  </si>
  <si>
    <t>ANT-0505</t>
  </si>
  <si>
    <t>ANT-0507</t>
  </si>
  <si>
    <t>ANT-0511</t>
  </si>
  <si>
    <t>ANT-0515</t>
  </si>
  <si>
    <t>ANT-0520</t>
  </si>
  <si>
    <t>ANT-0521</t>
  </si>
  <si>
    <t>ANT-0523</t>
  </si>
  <si>
    <t>ANT-0524</t>
  </si>
  <si>
    <t>ANT-0526</t>
  </si>
  <si>
    <t>ANT-0527</t>
  </si>
  <si>
    <t>ANT-0529</t>
  </si>
  <si>
    <t>ANT-0530</t>
  </si>
  <si>
    <t>ANT-0531</t>
  </si>
  <si>
    <t>ANT-0533</t>
  </si>
  <si>
    <t>ANT-0536</t>
  </si>
  <si>
    <t>ANT-0543</t>
  </si>
  <si>
    <t>ANT-0545</t>
  </si>
  <si>
    <t>ANT-0549</t>
  </si>
  <si>
    <t>ANT-0551</t>
  </si>
  <si>
    <t>ANT-0553</t>
  </si>
  <si>
    <t>ANT-0557</t>
  </si>
  <si>
    <t>ANT-0558</t>
  </si>
  <si>
    <t>ANT-0563</t>
  </si>
  <si>
    <t>ANT-0564</t>
  </si>
  <si>
    <t>ANT-0569</t>
  </si>
  <si>
    <t>ANT-0571</t>
  </si>
  <si>
    <t>ANT-0578</t>
  </si>
  <si>
    <t>ANT-0579</t>
  </si>
  <si>
    <t>ANT-0580</t>
  </si>
  <si>
    <t>ANT-0582</t>
  </si>
  <si>
    <t>ANT-0587</t>
  </si>
  <si>
    <t>ANT-0588</t>
  </si>
  <si>
    <t>ANT-0596</t>
  </si>
  <si>
    <t>ANT-0597</t>
  </si>
  <si>
    <t>ANT-0600</t>
  </si>
  <si>
    <t>ANT-0604</t>
  </si>
  <si>
    <t>ANT-0607</t>
  </si>
  <si>
    <t>ANT-0611</t>
  </si>
  <si>
    <t>ANT-0612</t>
  </si>
  <si>
    <t>ANT-0614</t>
  </si>
  <si>
    <t>ANT-0617</t>
  </si>
  <si>
    <t>ANT-0619</t>
  </si>
  <si>
    <t>ANT-0620</t>
  </si>
  <si>
    <t>ANT-0621</t>
  </si>
  <si>
    <t>ANT-0639</t>
  </si>
  <si>
    <t>ANT-0641</t>
  </si>
  <si>
    <t>ANT-0642</t>
  </si>
  <si>
    <t>ANT-0649</t>
  </si>
  <si>
    <t>ANT-0653</t>
  </si>
  <si>
    <t>ANT-0662</t>
  </si>
  <si>
    <t>ANT-0663</t>
  </si>
  <si>
    <t>ANT-0668</t>
  </si>
  <si>
    <t>ANT-0671</t>
  </si>
  <si>
    <t>ANT-0674</t>
  </si>
  <si>
    <t>ANT-0677</t>
  </si>
  <si>
    <t>ANT-0678</t>
  </si>
  <si>
    <t>ANT-0679</t>
  </si>
  <si>
    <t>ANT-0680</t>
  </si>
  <si>
    <t>ANT-0685</t>
  </si>
  <si>
    <t>ANT-0691</t>
  </si>
  <si>
    <t>ANT-0695</t>
  </si>
  <si>
    <t>ANT-0696</t>
  </si>
  <si>
    <t>ANT-0701</t>
  </si>
  <si>
    <t>ANT-0708</t>
  </si>
  <si>
    <t>ANT-0715</t>
  </si>
  <si>
    <t>ANT-0716</t>
  </si>
  <si>
    <t>ANT-0718</t>
  </si>
  <si>
    <t>ANT-0719</t>
  </si>
  <si>
    <t>ANT-0721</t>
  </si>
  <si>
    <t>ANT-0735</t>
  </si>
  <si>
    <t>ANT-0737</t>
  </si>
  <si>
    <t>ANT-0745</t>
  </si>
  <si>
    <t>ANT-0754</t>
  </si>
  <si>
    <t>ANT-0760</t>
  </si>
  <si>
    <t>ANT-0770</t>
  </si>
  <si>
    <t>ANT-0775</t>
  </si>
  <si>
    <t>ANT-0786</t>
  </si>
  <si>
    <t>ANT-0790</t>
  </si>
  <si>
    <t>ANT-0794</t>
  </si>
  <si>
    <t>ANT-0804</t>
  </si>
  <si>
    <t>ANT-0809</t>
  </si>
  <si>
    <t>ANT-0812</t>
  </si>
  <si>
    <t>ANT-0813</t>
  </si>
  <si>
    <t>ANT-0826</t>
  </si>
  <si>
    <t>ANT-0829</t>
  </si>
  <si>
    <t>ANT-0837</t>
  </si>
  <si>
    <t>ANT-0839</t>
  </si>
  <si>
    <t>ANT-0843</t>
  </si>
  <si>
    <t>ANT-0845</t>
  </si>
  <si>
    <t>ANT-0846</t>
  </si>
  <si>
    <t>ANT-0855</t>
  </si>
  <si>
    <t>ANT-0856</t>
  </si>
  <si>
    <t>ANT-0862</t>
  </si>
  <si>
    <t>ANT-0865</t>
  </si>
  <si>
    <t>ANT-0870</t>
  </si>
  <si>
    <t>ANT-0872</t>
  </si>
  <si>
    <t>ANT-0875</t>
  </si>
  <si>
    <t>ANT-0882</t>
  </si>
  <si>
    <t>ANT-0883</t>
  </si>
  <si>
    <t>ANT-0894</t>
  </si>
  <si>
    <t>ANT-0900</t>
  </si>
  <si>
    <t>ANT-0902</t>
  </si>
  <si>
    <t>ANT-0913</t>
  </si>
  <si>
    <t>ANT-0914</t>
  </si>
  <si>
    <t>ANT-0918</t>
  </si>
  <si>
    <t>ANT-0925</t>
  </si>
  <si>
    <t>ANT-0926</t>
  </si>
  <si>
    <t>ANT-0928</t>
  </si>
  <si>
    <t>ANT-0929</t>
  </si>
  <si>
    <t>ANT-0935</t>
  </si>
  <si>
    <t>ANT-0936</t>
  </si>
  <si>
    <t>ANT-0942</t>
  </si>
  <si>
    <t>ANT-0945</t>
  </si>
  <si>
    <t>ANT-0950</t>
  </si>
  <si>
    <t>ANT-0952</t>
  </si>
  <si>
    <t>ANT-0964</t>
  </si>
  <si>
    <t>ANT-0966</t>
  </si>
  <si>
    <t>ANT-0975</t>
  </si>
  <si>
    <t>ANT-0985</t>
  </si>
  <si>
    <t>ANT-0989</t>
  </si>
  <si>
    <t>ANT-0991</t>
  </si>
  <si>
    <t>ANT-0994</t>
  </si>
  <si>
    <t>ANT-0995</t>
  </si>
  <si>
    <t>ANT-0997</t>
  </si>
  <si>
    <t>Étiquettes de lignes</t>
  </si>
  <si>
    <t>Total général</t>
  </si>
  <si>
    <t>4G</t>
  </si>
  <si>
    <t>ZTE</t>
  </si>
  <si>
    <t>Nokia</t>
  </si>
  <si>
    <t>5G</t>
  </si>
  <si>
    <t>Huawei</t>
  </si>
  <si>
    <t>3G</t>
  </si>
  <si>
    <t>Ericsson</t>
  </si>
  <si>
    <t>PROVINCE</t>
  </si>
  <si>
    <t>Durée Panne en heure</t>
  </si>
  <si>
    <t>TOTALE DES HEURES D'INDISPONIBILITÉ PAR RÉGION</t>
  </si>
  <si>
    <t>Étiquettes de colonnes</t>
  </si>
  <si>
    <t>NOMBRE D'ABONNÉS IMPACTÉS.</t>
  </si>
  <si>
    <t/>
  </si>
  <si>
    <t>Nombre de Statut_Resolution</t>
  </si>
  <si>
    <t>Plage de panne</t>
  </si>
  <si>
    <t>ANT-0004</t>
  </si>
  <si>
    <t>ANT-0977</t>
  </si>
  <si>
    <t>ANT-0740</t>
  </si>
  <si>
    <t>ANT-0897</t>
  </si>
  <si>
    <t>ANT-0996</t>
  </si>
  <si>
    <t>ANT-0513</t>
  </si>
  <si>
    <t>ANT-0781</t>
  </si>
  <si>
    <t>ANT-0109</t>
  </si>
  <si>
    <t>ANT-0892</t>
  </si>
  <si>
    <t>ANT-0306</t>
  </si>
  <si>
    <t>ANT-0655</t>
  </si>
  <si>
    <t>ANT-0624</t>
  </si>
  <si>
    <t>ANT-0204</t>
  </si>
  <si>
    <t>ANT-0157</t>
  </si>
  <si>
    <t>ANT-0383</t>
  </si>
  <si>
    <t>ANT-0166</t>
  </si>
  <si>
    <t>ANT-0798</t>
  </si>
  <si>
    <t>ANT-0544</t>
  </si>
  <si>
    <t>ANT-0941</t>
  </si>
  <si>
    <t>ANT-0501</t>
  </si>
  <si>
    <t>ANT-0020</t>
  </si>
  <si>
    <t>ANT-0115</t>
  </si>
  <si>
    <t>ANT-0372</t>
  </si>
  <si>
    <t>ANT-0852</t>
  </si>
  <si>
    <t>ANT-0246</t>
  </si>
  <si>
    <t>ANT-0060</t>
  </si>
  <si>
    <t>ANT-0247</t>
  </si>
  <si>
    <t>ANT-0581</t>
  </si>
  <si>
    <t>ANT-0970</t>
  </si>
  <si>
    <t>ANT-0650</t>
  </si>
  <si>
    <t>ANT-0874</t>
  </si>
  <si>
    <t>ANT-0271</t>
  </si>
  <si>
    <t>ANT-0518</t>
  </si>
  <si>
    <t>ANT-0930</t>
  </si>
  <si>
    <t>ANT-0867</t>
  </si>
  <si>
    <t>ANT-0053</t>
  </si>
  <si>
    <t>ANT-0095</t>
  </si>
  <si>
    <t>ANT-0850</t>
  </si>
  <si>
    <t>ANT-0046</t>
  </si>
  <si>
    <t>ANT-0342</t>
  </si>
  <si>
    <t>ANT-0269</t>
  </si>
  <si>
    <t>ANT-0453</t>
  </si>
  <si>
    <t>ANT-0565</t>
  </si>
  <si>
    <t>ANT-0723</t>
  </si>
  <si>
    <t>ANT-0438</t>
  </si>
  <si>
    <t>ANT-0575</t>
  </si>
  <si>
    <t>ANT-0968</t>
  </si>
  <si>
    <t>ANT-0905</t>
  </si>
  <si>
    <t>ANT-0559</t>
  </si>
  <si>
    <t>ANT-0037</t>
  </si>
  <si>
    <t>ANT-0566</t>
  </si>
  <si>
    <t>ANT-0152</t>
  </si>
  <si>
    <t>ANT-0043</t>
  </si>
  <si>
    <t>ANT-0316</t>
  </si>
  <si>
    <t>ANT-0573</t>
  </si>
  <si>
    <t>ANT-0610</t>
  </si>
  <si>
    <t>ANT-0325</t>
  </si>
  <si>
    <t>ANT-0973</t>
  </si>
  <si>
    <t>ANT-0774</t>
  </si>
  <si>
    <t>ANT-0628</t>
  </si>
  <si>
    <t>ANT-0835</t>
  </si>
  <si>
    <t>ANT-0517</t>
  </si>
  <si>
    <t>ANT-0851</t>
  </si>
  <si>
    <t>ANT-0562</t>
  </si>
  <si>
    <t>ANT-0919</t>
  </si>
  <si>
    <t>ANT-0163</t>
  </si>
  <si>
    <t>ANT-0762</t>
  </si>
  <si>
    <t>ANT-0487</t>
  </si>
  <si>
    <t>ANT-0461</t>
  </si>
  <si>
    <t>ANT-0266</t>
  </si>
  <si>
    <t>ANT-0254</t>
  </si>
  <si>
    <t>ANT-0861</t>
  </si>
  <si>
    <t>ANT-0785</t>
  </si>
  <si>
    <t>ANT-0797</t>
  </si>
  <si>
    <t>ANT-0534</t>
  </si>
  <si>
    <t>ANT-0497</t>
  </si>
  <si>
    <t>ANT-0245</t>
  </si>
  <si>
    <t>ANT-0282</t>
  </si>
  <si>
    <t>ANT-0451</t>
  </si>
  <si>
    <t>ANT-0080</t>
  </si>
  <si>
    <t>ANT-0731</t>
  </si>
  <si>
    <t>ANT-0570</t>
  </si>
  <si>
    <t>ANT-0011</t>
  </si>
  <si>
    <t>ANT-0971</t>
  </si>
  <si>
    <t>ANT-0196</t>
  </si>
  <si>
    <t>ANT-0738</t>
  </si>
  <si>
    <t>ANT-0417</t>
  </si>
  <si>
    <t>ANT-0777</t>
  </si>
  <si>
    <t>ANT-0729</t>
  </si>
  <si>
    <t>ANT-0459</t>
  </si>
  <si>
    <t>ANT-0018</t>
  </si>
  <si>
    <t>ANT-0096</t>
  </si>
  <si>
    <t>ANT-0227</t>
  </si>
  <si>
    <t>ANT-0415</t>
  </si>
  <si>
    <t>ANT-0709</t>
  </si>
  <si>
    <t>ANT-0314</t>
  </si>
  <si>
    <t>ANT-0378</t>
  </si>
  <si>
    <t>ANT-0485</t>
  </si>
  <si>
    <t>ANT-0567</t>
  </si>
  <si>
    <t>ANT-0353</t>
  </si>
  <si>
    <t>ANT-0764</t>
  </si>
  <si>
    <t>ANT-0259</t>
  </si>
  <si>
    <t>ANT-0119</t>
  </si>
  <si>
    <t>ANT-0792</t>
  </si>
  <si>
    <t>ANT-0414</t>
  </si>
  <si>
    <t>ANT-0886</t>
  </si>
  <si>
    <t>ANT-0891</t>
  </si>
  <si>
    <t>ANT-0556</t>
  </si>
  <si>
    <t>ANT-0474</t>
  </si>
  <si>
    <t>ANT-0193</t>
  </si>
  <si>
    <t>ANT-0638</t>
  </si>
  <si>
    <t>ANT-0779</t>
  </si>
  <si>
    <t>ANT-0274</t>
  </si>
  <si>
    <t>ANT-0135</t>
  </si>
  <si>
    <t>ANT-0295</t>
  </si>
  <si>
    <t>ANT-0449</t>
  </si>
  <si>
    <t>ANT-0125</t>
  </si>
  <si>
    <t>ANT-0030</t>
  </si>
  <si>
    <t>ANT-0646</t>
  </si>
  <si>
    <t>ANT-0819</t>
  </si>
  <si>
    <t>ANT-0727</t>
  </si>
  <si>
    <t>ANT-0739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</si>
  <si>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</si>
  <si>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</si>
  <si>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</si>
  <si>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</si>
  <si>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</si>
  <si>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</si>
  <si>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</si>
  <si>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</si>
  <si>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</si>
  <si>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</si>
  <si>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ANT-0594</t>
  </si>
  <si>
    <t>ANT-0374</t>
  </si>
  <si>
    <t>ANT-0750</t>
  </si>
  <si>
    <t>ANT-0932</t>
  </si>
  <si>
    <t>ANT-0303</t>
  </si>
  <si>
    <t>ANT-0335</t>
  </si>
  <si>
    <t>ANT-0766</t>
  </si>
  <si>
    <t>ANT-0426</t>
  </si>
  <si>
    <t>ANT-0206</t>
  </si>
  <si>
    <t>ANT-0136</t>
  </si>
  <si>
    <t>ANT-0806</t>
  </si>
  <si>
    <t>ANT-0898</t>
  </si>
  <si>
    <t>ANT-0375</t>
  </si>
  <si>
    <t>ANT-0514</t>
  </si>
  <si>
    <t>ANT-0280</t>
  </si>
  <si>
    <t>ANT-0169</t>
  </si>
  <si>
    <t>ANT-0264</t>
  </si>
  <si>
    <t>ANT-0967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</si>
  <si>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</si>
  <si>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</si>
  <si>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</si>
  <si>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</si>
  <si>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</si>
  <si>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</si>
  <si>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</si>
  <si>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</si>
  <si>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</si>
  <si>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</si>
  <si>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</si>
  <si>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ANT-0333</t>
  </si>
  <si>
    <t>ANT-0102</t>
  </si>
  <si>
    <t>ANT-0118</t>
  </si>
  <si>
    <t>ANT-0656</t>
  </si>
  <si>
    <t>ANT-0428</t>
  </si>
  <si>
    <t>ANT-0022</t>
  </si>
  <si>
    <t>ANT-0990</t>
  </si>
  <si>
    <t>ANT-0176</t>
  </si>
  <si>
    <t>ANT-0821</t>
  </si>
  <si>
    <t>ANT-0633</t>
  </si>
  <si>
    <t>ANT-0707</t>
  </si>
  <si>
    <t>ANT-0448</t>
  </si>
  <si>
    <t>ANT-0447</t>
  </si>
  <si>
    <t>ANT-0537</t>
  </si>
  <si>
    <t>ANT-0406</t>
  </si>
  <si>
    <t>22/10/2023 02:17</t>
  </si>
  <si>
    <t>ANT-0318</t>
  </si>
  <si>
    <t>ANT-0173</t>
  </si>
  <si>
    <t>ANT-0199</t>
  </si>
  <si>
    <t>ANT-0377</t>
  </si>
  <si>
    <t>ANT-0585</t>
  </si>
  <si>
    <t>ANT-0473</t>
  </si>
  <si>
    <t>ANT-0788</t>
  </si>
  <si>
    <t>ANT-0289</t>
  </si>
  <si>
    <t>ANT-0392</t>
  </si>
  <si>
    <t>ANT-0541</t>
  </si>
  <si>
    <t>ANT-0429</t>
  </si>
  <si>
    <t>ANT-0657</t>
  </si>
  <si>
    <t>ANT-0493</t>
  </si>
  <si>
    <t>ANT-0896</t>
  </si>
  <si>
    <t>ANT-0568</t>
  </si>
  <si>
    <t>ANT-0957</t>
  </si>
  <si>
    <t>ANT-0128</t>
  </si>
  <si>
    <t>ANT-0360</t>
  </si>
  <si>
    <t>ANT-0458</t>
  </si>
  <si>
    <t>ant-0745</t>
  </si>
  <si>
    <t>ANT-0934</t>
  </si>
  <si>
    <t>ANT-0630</t>
  </si>
  <si>
    <t>ANT-0811</t>
  </si>
  <si>
    <t>ANT-0059</t>
  </si>
  <si>
    <t>ANT-0077</t>
  </si>
  <si>
    <t>ANT-0688</t>
  </si>
  <si>
    <t>ANT-0373</t>
  </si>
  <si>
    <t>ANT-0768</t>
  </si>
  <si>
    <t>ANT-0976</t>
  </si>
  <si>
    <t>ANT-0801</t>
  </si>
  <si>
    <t>ANT-0036</t>
  </si>
  <si>
    <t>ANT-0069</t>
  </si>
  <si>
    <t>ANT-0242</t>
  </si>
  <si>
    <t>ANT-0661</t>
  </si>
  <si>
    <t>ANT-0126</t>
  </si>
  <si>
    <t>ANT-0145</t>
  </si>
  <si>
    <t>ANT-0052</t>
  </si>
  <si>
    <t>ANT-0969</t>
  </si>
  <si>
    <t>ANT-0394</t>
  </si>
  <si>
    <t>ANT-0885</t>
  </si>
  <si>
    <t>ANT-0631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</si>
  <si>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</si>
  <si>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</si>
  <si>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</si>
  <si>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</si>
  <si>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</si>
  <si>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</si>
  <si>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</si>
  <si>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</si>
  <si>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</si>
  <si>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</si>
  <si>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</si>
  <si>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</si>
  <si>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</si>
  <si>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</si>
  <si>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</si>
  <si>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</si>
  <si>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</si>
  <si>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</si>
  <si>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</si>
  <si>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ANT-0686</t>
  </si>
  <si>
    <t>ANT-0927</t>
  </si>
  <si>
    <t>ANT-0232</t>
  </si>
  <si>
    <t>ANT-0654</t>
  </si>
  <si>
    <t>ANT-0239</t>
  </si>
  <si>
    <t>ANT-0988</t>
  </si>
  <si>
    <t>ANT-0669</t>
  </si>
  <si>
    <t>ANT-0958</t>
  </si>
  <si>
    <t>ANT-0667</t>
  </si>
  <si>
    <t>ANT-0329</t>
  </si>
  <si>
    <t>ANT-0061</t>
  </si>
  <si>
    <t>ANT-0092</t>
  </si>
  <si>
    <t>ANT-0548</t>
  </si>
  <si>
    <t>ANT-0757</t>
  </si>
  <si>
    <t>ANT-0670</t>
  </si>
  <si>
    <t>ANT-0881</t>
  </si>
  <si>
    <t>ANT-0542</t>
  </si>
  <si>
    <t>ANT-0746</t>
  </si>
  <si>
    <t>ANT-0475</t>
  </si>
  <si>
    <t>ANT-0690</t>
  </si>
  <si>
    <t>ANT-0435</t>
  </si>
  <si>
    <t>ANT-0389</t>
  </si>
  <si>
    <t>ANT-0844</t>
  </si>
  <si>
    <t>ANT-0355</t>
  </si>
  <si>
    <t>ANT-0194</t>
  </si>
  <si>
    <t>ANT-0960</t>
  </si>
  <si>
    <t>ANT-0743</t>
  </si>
  <si>
    <t>ANT-0784</t>
  </si>
  <si>
    <t>ANT-0116</t>
  </si>
  <si>
    <t>ANT-0033</t>
  </si>
  <si>
    <t>ANT-0422</t>
  </si>
  <si>
    <t>ANT-0013</t>
  </si>
  <si>
    <t>ANT-0833</t>
  </si>
  <si>
    <t>ANT-0963</t>
  </si>
  <si>
    <t>ANT-0197</t>
  </si>
  <si>
    <t>ANT-0635</t>
  </si>
  <si>
    <t>ANT-0540</t>
  </si>
  <si>
    <t>ANT-0363</t>
  </si>
  <si>
    <t>ANT-0815</t>
  </si>
  <si>
    <t>ANT-0983</t>
  </si>
  <si>
    <t>ANT-0471</t>
  </si>
  <si>
    <t>ANT-0714</t>
  </si>
  <si>
    <t>ANT-0308</t>
  </si>
  <si>
    <t>ANT-0848</t>
  </si>
  <si>
    <t>ANT-0869</t>
  </si>
  <si>
    <t>ANT-0334</t>
  </si>
  <si>
    <t>ANT-0805</t>
  </si>
  <si>
    <t>ANT-0117</t>
  </si>
  <si>
    <t>ANT-0955</t>
  </si>
  <si>
    <t>ANT-0699</t>
  </si>
  <si>
    <t>ANT-0787</t>
  </si>
  <si>
    <t>ANT-0028</t>
  </si>
  <si>
    <t>ANT-0726</t>
  </si>
  <si>
    <t>ANT-0215</t>
  </si>
  <si>
    <t>ANT-0817</t>
  </si>
  <si>
    <t>ANT-0299</t>
  </si>
  <si>
    <t>ANT-0710</t>
  </si>
  <si>
    <t>ANT-0512</t>
  </si>
  <si>
    <t>ANT-0311</t>
  </si>
  <si>
    <t>ANT-0231</t>
  </si>
  <si>
    <t>ANT-0296</t>
  </si>
  <si>
    <t>ANT-0800</t>
  </si>
  <si>
    <t>ANT-0761</t>
  </si>
  <si>
    <t>ANT-0508</t>
  </si>
  <si>
    <t>ANT-0275</t>
  </si>
  <si>
    <t>ANT-0376</t>
  </si>
  <si>
    <t>ANT-0560</t>
  </si>
  <si>
    <t>ANT-0224</t>
  </si>
  <si>
    <t>ANT-0105</t>
  </si>
  <si>
    <t>ANT-0305</t>
  </si>
  <si>
    <t>ANT-0034</t>
  </si>
  <si>
    <t>ANT-0868</t>
  </si>
  <si>
    <t>ANT-0675</t>
  </si>
  <si>
    <t>ANT-0309</t>
  </si>
  <si>
    <t>ANT-0622</t>
  </si>
  <si>
    <t>ANT-0522</t>
  </si>
  <si>
    <t>ANT-0803</t>
  </si>
  <si>
    <t>ANT-0920</t>
  </si>
  <si>
    <t>ANT-0978</t>
  </si>
  <si>
    <t>ANT-0396</t>
  </si>
  <si>
    <t>ANT-0609</t>
  </si>
  <si>
    <t>ANT-0073</t>
  </si>
  <si>
    <t>ANT-0911</t>
  </si>
  <si>
    <t>ANT-0397</t>
  </si>
  <si>
    <t>ANT-0244</t>
  </si>
  <si>
    <t>ANT-0504</t>
  </si>
  <si>
    <t>ANT-0062</t>
  </si>
  <si>
    <t>ANT-0146</t>
  </si>
  <si>
    <t>ANT-0944</t>
  </si>
  <si>
    <t>ANT-0866</t>
  </si>
  <si>
    <t>ANT-0423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</si>
  <si>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</si>
  <si>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</si>
  <si>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</si>
  <si>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</si>
  <si>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</si>
  <si>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</si>
  <si>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</si>
  <si>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</si>
  <si>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</si>
  <si>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ANT-0064</t>
  </si>
  <si>
    <t>ANT-0243</t>
  </si>
  <si>
    <t>ANT-0326</t>
  </si>
  <si>
    <t>ANT-0756</t>
  </si>
  <si>
    <t>ANT-0606</t>
  </si>
  <si>
    <t>ANT-0361</t>
  </si>
  <si>
    <t>ANT-0577</t>
  </si>
  <si>
    <t>ANT-0972</t>
  </si>
  <si>
    <t>ANT-0857</t>
  </si>
  <si>
    <t>ANT-0830</t>
  </si>
  <si>
    <t>ANT-0903</t>
  </si>
  <si>
    <t>ANT-0039</t>
  </si>
  <si>
    <t>ANT-0021</t>
  </si>
  <si>
    <t>ANT-0490</t>
  </si>
  <si>
    <t>ANT-0155</t>
  </si>
  <si>
    <t>ANT-0771</t>
  </si>
  <si>
    <t>ANT-0684</t>
  </si>
  <si>
    <t>ANT-0828</t>
  </si>
  <si>
    <t>ANT-0555</t>
  </si>
  <si>
    <t>ANT-0233</t>
  </si>
  <si>
    <t>ANT-0063</t>
  </si>
  <si>
    <t>ANT-0704</t>
  </si>
  <si>
    <t>ANT-0888</t>
  </si>
  <si>
    <t>ANT-0959</t>
  </si>
  <si>
    <t>ANT-0307</t>
  </si>
  <si>
    <t>ANT-0405</t>
  </si>
  <si>
    <t>ANT-0732</t>
  </si>
  <si>
    <t>ANT-0923</t>
  </si>
  <si>
    <t>ANT-0820</t>
  </si>
  <si>
    <t>ANT-0586</t>
  </si>
  <si>
    <t>ANT-0599</t>
  </si>
  <si>
    <t>ANT-0008</t>
  </si>
  <si>
    <t>ANT-0864</t>
  </si>
  <si>
    <t>ANT-0860</t>
  </si>
  <si>
    <t>ANT-0384</t>
  </si>
  <si>
    <t>ANT-0290</t>
  </si>
  <si>
    <t>ANT-0345</t>
  </si>
  <si>
    <t>ANT-0672</t>
  </si>
  <si>
    <t>ANT-0922</t>
  </si>
  <si>
    <t>ANT-0825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</si>
  <si>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</si>
  <si>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</si>
  <si>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</si>
  <si>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</si>
  <si>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</si>
  <si>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</si>
  <si>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</si>
  <si>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</si>
  <si>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</si>
  <si>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ANT-0104</t>
  </si>
  <si>
    <t>ANT-0108</t>
  </si>
  <si>
    <t>ANT-0019</t>
  </si>
  <si>
    <t>ANT-0987</t>
  </si>
  <si>
    <t>ANT-0634</t>
  </si>
  <si>
    <t>ANT-0312</t>
  </si>
  <si>
    <t>ANT-0912</t>
  </si>
  <si>
    <t>ANT-0576</t>
  </si>
  <si>
    <t>ANT-0468</t>
  </si>
  <si>
    <t>ANT-0974</t>
  </si>
  <si>
    <t>ANT-0350</t>
  </si>
  <si>
    <t>ANT-0340</t>
  </si>
  <si>
    <t>ANT-0574</t>
  </si>
  <si>
    <t>ANT-0615</t>
  </si>
  <si>
    <t>ANT-0753</t>
  </si>
  <si>
    <t>ANT-0387</t>
  </si>
  <si>
    <t>ANT-0439</t>
  </si>
  <si>
    <t>17/10/2023 05:44</t>
  </si>
  <si>
    <t>ANT-0286</t>
  </si>
  <si>
    <t>ANT-0262</t>
  </si>
  <si>
    <t>ANT-0478</t>
  </si>
  <si>
    <t>ANT-0158</t>
  </si>
  <si>
    <t>ANT-0951</t>
  </si>
  <si>
    <t>ANT-0331</t>
  </si>
  <si>
    <t>ANT-0793</t>
  </si>
  <si>
    <t>ant-0309</t>
  </si>
  <si>
    <t>ANT-0367</t>
  </si>
  <si>
    <t>ANT-0075</t>
  </si>
  <si>
    <t>ANT-0725</t>
  </si>
  <si>
    <t>ANT-0539</t>
  </si>
  <si>
    <t>ANT-0980</t>
  </si>
  <si>
    <t>ANT-0189</t>
  </si>
  <si>
    <t>ANT-0186</t>
  </si>
  <si>
    <t>ANT-0873</t>
  </si>
  <si>
    <t>ANT-0101</t>
  </si>
  <si>
    <t>ANT-0203</t>
  </si>
  <si>
    <t>ANT-0744</t>
  </si>
  <si>
    <t>ANT-0366</t>
  </si>
  <si>
    <t>ANT-0241</t>
  </si>
  <si>
    <t>Cell_ID2</t>
  </si>
  <si>
    <t>CLI-01776</t>
  </si>
  <si>
    <t>CLI-01646</t>
  </si>
  <si>
    <t>CLI-01376</t>
  </si>
  <si>
    <t>CLI-01147</t>
  </si>
  <si>
    <t>CLI-00414</t>
  </si>
  <si>
    <t>CLI-00131</t>
  </si>
  <si>
    <t>CLI-00521</t>
  </si>
  <si>
    <t>CLI-01076</t>
  </si>
  <si>
    <t>CLI-01208</t>
  </si>
  <si>
    <t>CLI-01229</t>
  </si>
  <si>
    <t>CLI-01584</t>
  </si>
  <si>
    <t>CLI-00297</t>
  </si>
  <si>
    <t>CLI-00744</t>
  </si>
  <si>
    <t>CLI-01132</t>
  </si>
  <si>
    <t>CLI-01399</t>
  </si>
  <si>
    <t>CLI-01664</t>
  </si>
  <si>
    <t>CLI-01986</t>
  </si>
  <si>
    <t>CLI-00617</t>
  </si>
  <si>
    <t>CLI-00721</t>
  </si>
  <si>
    <t>CLI-01597</t>
  </si>
  <si>
    <t>CLI-01689</t>
  </si>
  <si>
    <t>CLI-01973</t>
  </si>
  <si>
    <t>CLI-00356</t>
  </si>
  <si>
    <t>CLI-00512</t>
  </si>
  <si>
    <t>CLI-00626</t>
  </si>
  <si>
    <t>CLI-01215</t>
  </si>
  <si>
    <t>CLI-00578</t>
  </si>
  <si>
    <t>CLI-00892</t>
  </si>
  <si>
    <t>CLI-01230</t>
  </si>
  <si>
    <t>CLI-01710</t>
  </si>
  <si>
    <t>CLI-00059</t>
  </si>
  <si>
    <t>CLI-00758</t>
  </si>
  <si>
    <t>CLI-01387</t>
  </si>
  <si>
    <t>CLI-01402</t>
  </si>
  <si>
    <t>CLI-01529</t>
  </si>
  <si>
    <t>CLI-00011</t>
  </si>
  <si>
    <t>CLI-00348</t>
  </si>
  <si>
    <t>CLI-01454</t>
  </si>
  <si>
    <t>CLI-01532</t>
  </si>
  <si>
    <t>76,95€</t>
  </si>
  <si>
    <t>CLI-01626</t>
  </si>
  <si>
    <t>CLI-01794</t>
  </si>
  <si>
    <t>CLI-00231</t>
  </si>
  <si>
    <t>CLI-00254</t>
  </si>
  <si>
    <t>CLI-00540</t>
  </si>
  <si>
    <t>97,5€</t>
  </si>
  <si>
    <t>CLI-01446</t>
  </si>
  <si>
    <t>CLI-00167</t>
  </si>
  <si>
    <t>CLI-00345</t>
  </si>
  <si>
    <t>CLI-00583</t>
  </si>
  <si>
    <t>CLI-00943</t>
  </si>
  <si>
    <t>CLI-00983</t>
  </si>
  <si>
    <t>CLI-01042</t>
  </si>
  <si>
    <t>CLI-01348</t>
  </si>
  <si>
    <t>58,74€</t>
  </si>
  <si>
    <t>CLI-01766</t>
  </si>
  <si>
    <t>CLI-01992</t>
  </si>
  <si>
    <t>CLI-00427</t>
  </si>
  <si>
    <t>CLI-00662</t>
  </si>
  <si>
    <t>CLI-00817</t>
  </si>
  <si>
    <t>CLI-00913</t>
  </si>
  <si>
    <t>CLI-00976</t>
  </si>
  <si>
    <t>CLI-01499</t>
  </si>
  <si>
    <t>CLI-01544</t>
  </si>
  <si>
    <t>CLI-00380</t>
  </si>
  <si>
    <t>CLI-00889</t>
  </si>
  <si>
    <t>90,99€</t>
  </si>
  <si>
    <t>CLI-01410</t>
  </si>
  <si>
    <t>CLI-00033</t>
  </si>
  <si>
    <t>CLI-00055</t>
  </si>
  <si>
    <t>CLI-00180</t>
  </si>
  <si>
    <t>CLI-00497</t>
  </si>
  <si>
    <t>CLI-00604</t>
  </si>
  <si>
    <t>CLI-00971</t>
  </si>
  <si>
    <t>CLI-00331</t>
  </si>
  <si>
    <t>CLI-00475</t>
  </si>
  <si>
    <t>CLI-00800</t>
  </si>
  <si>
    <t>CLI-00919</t>
  </si>
  <si>
    <t>CLI-01040</t>
  </si>
  <si>
    <t>CLI-01589</t>
  </si>
  <si>
    <t>CLI-01797</t>
  </si>
  <si>
    <t>2h ou plus</t>
  </si>
  <si>
    <t>Moins d'1h</t>
  </si>
  <si>
    <t>Plus d'1h et moins de 2 h</t>
  </si>
  <si>
    <t>Impact</t>
  </si>
  <si>
    <t>clients</t>
  </si>
  <si>
    <t>taux de panne</t>
  </si>
  <si>
    <t>Province</t>
  </si>
  <si>
    <t>Statut Panne</t>
  </si>
  <si>
    <t>Nombre d'Antenne</t>
  </si>
  <si>
    <t>Nombre de Client</t>
  </si>
  <si>
    <t>Statut panne</t>
  </si>
  <si>
    <t>Durée panne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</si>
</sst>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2D3B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4" fillId="0" borderId="0" xfId="0" applyFont="1" applyAlignment="1">
      <alignment horizontal="left" vertical="center" wrapText="1" indent="2"/>
    </xf>
    <xf numFmtId="0" fontId="0" fillId="0" borderId="0" xfId="0" applyAlignment="1">
      <alignment horizontal="left" indent="1"/>
    </xf>
    <xf numFmtId="9" fontId="0" fillId="0" borderId="0" xfId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2">
    <cellStyle name="Normal" xfId="0" builtinId="0"/>
    <cellStyle name="Pourcentage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338281828706" backgroundQuery="1" createdVersion="7" refreshedVersion="7" minRefreshableVersion="3" recordCount="0" supportSubquery="1" supportAdvancedDrill="1" xr:uid="{1E014F73-5344-4070-9B5D-8658C2D9F934}">
  <cacheSource type="external" connectionId="10"/>
  <cacheFields count="3">
    <cacheField name="[LOGS_RESEAU].[Plage de panne].[Plage de panne]" caption="Plage de panne" numFmtId="0" hierarchy="22" level="1">
      <sharedItems count="3">
        <s v="2h ou plus"/>
        <s v="Moins d'1h"/>
        <s v="Plus d'1h et moins de 2 h"/>
      </sharedItems>
    </cacheField>
    <cacheField name="[LOGS_RESEAU].[Technologie].[Technologie]" caption="Technologie" numFmtId="0" hierarchy="20" level="1">
      <sharedItems count="3">
        <s v="3G"/>
        <s v="4G"/>
        <s v="5G"/>
      </sharedItems>
    </cacheField>
    <cacheField name="[Measures].[Nombre de Technologie]" caption="Nombre de Technologie" numFmtId="0" hierarchy="47" level="32767"/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0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0" memberValueDatatype="130" unbalanced="0"/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0" memberValueDatatype="130" unbalanced="0"/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2" memberValueDatatype="130" unbalanced="0">
      <fieldsUsage count="2">
        <fieldUsage x="-1"/>
        <fieldUsage x="1"/>
      </fieldsUsage>
    </cacheHierarchy>
    <cacheHierarchy uniqueName="[LOGS_RESEAU].[Equipementier]" caption="Equipementier" attribute="1" defaultMemberUniqueName="[LOGS_RESEAU].[Equipementier].[All]" allUniqueName="[LOGS_RESEAU].[Equipementier].[All]" dimensionUniqueName="[LOGS_RESEAU]" displayFolder="" count="0" memberValueDatatype="130" unbalanced="0"/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2" memberValueDatatype="130" unbalanced="0">
      <fieldsUsage count="2">
        <fieldUsage x="-1"/>
        <fieldUsage x="0"/>
      </fieldsUsage>
    </cacheHierarchy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0" memberValueDatatype="130" unbalanced="0"/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0" memberValueDatatype="130" unbalanced="0"/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0" memberValueDatatype="130" unbalanced="0"/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332746874999" backgroundQuery="1" createdVersion="7" refreshedVersion="7" minRefreshableVersion="3" recordCount="0" supportSubquery="1" supportAdvancedDrill="1" xr:uid="{24B6FE78-EB95-4800-BBB8-BD5A13E6AFB0}">
  <cacheSource type="external" connectionId="10"/>
  <cacheFields count="3">
    <cacheField name="[LOGS_RESEAU345].[Statut_Resolution].[Statut_Resolution]" caption="Statut_Resolution" numFmtId="0" hierarchy="27" level="1">
      <sharedItems count="3">
        <s v="En Cours"/>
        <s v="Non Résolu"/>
        <s v="Résolu"/>
      </sharedItems>
    </cacheField>
    <cacheField name="[LOGS_RESEAU345].[Technologie].[Technologie]" caption="Technologie" numFmtId="0" hierarchy="32" level="1">
      <sharedItems count="3">
        <s v="3G"/>
        <s v="4G"/>
        <s v="5G"/>
      </sharedItems>
    </cacheField>
    <cacheField name="[Measures].[Nombre de Technologie 2]" caption="Nombre de Technologie 2" numFmtId="0" hierarchy="48" level="32767"/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0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0" memberValueDatatype="130" unbalanced="0"/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0" memberValueDatatype="130" unbalanced="0"/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0" memberValueDatatype="130" unbalanced="0"/>
    <cacheHierarchy uniqueName="[LOGS_RESEAU].[Equipementier]" caption="Equipementier" attribute="1" defaultMemberUniqueName="[LOGS_RESEAU].[Equipementier].[All]" allUniqueName="[LOGS_RESEAU].[Equipementier].[All]" dimensionUniqueName="[LOGS_RESEAU]" displayFolder="" count="0" memberValueDatatype="130" unbalanced="0"/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0" memberValueDatatype="130" unbalanced="0"/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2" memberValueDatatype="130" unbalanced="0">
      <fieldsUsage count="2">
        <fieldUsage x="-1"/>
        <fieldUsage x="0"/>
      </fieldsUsage>
    </cacheHierarchy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2" memberValueDatatype="130" unbalanced="0">
      <fieldsUsage count="2">
        <fieldUsage x="-1"/>
        <fieldUsage x="1"/>
      </fieldsUsage>
    </cacheHierarchy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0" memberValueDatatype="130" unbalanced="0"/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337743171294" backgroundQuery="1" createdVersion="7" refreshedVersion="7" minRefreshableVersion="3" recordCount="0" supportSubquery="1" supportAdvancedDrill="1" xr:uid="{D25D30FE-68FC-497B-A54A-83DB8FC7492F}">
  <cacheSource type="external" connectionId="10"/>
  <cacheFields count="3">
    <cacheField name="[LOGS_RESEAU].[Equipementier].[Equipementier]" caption="Equipementier" numFmtId="0" hierarchy="21" level="1">
      <sharedItems count="4">
        <s v="Ericsson"/>
        <s v="Huawei"/>
        <s v="Nokia"/>
        <s v="ZTE"/>
      </sharedItems>
    </cacheField>
    <cacheField name="[LOGS_RESEAU].[Technologie].[Technologie]" caption="Technologie" numFmtId="0" hierarchy="20" level="1">
      <sharedItems count="3">
        <s v="3G"/>
        <s v="4G"/>
        <s v="5G"/>
      </sharedItems>
    </cacheField>
    <cacheField name="[Measures].[Nombre de Technologie]" caption="Nombre de Technologie" numFmtId="0" hierarchy="47" level="32767"/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0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0" memberValueDatatype="130" unbalanced="0"/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0" memberValueDatatype="130" unbalanced="0"/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2" memberValueDatatype="130" unbalanced="0">
      <fieldsUsage count="2">
        <fieldUsage x="-1"/>
        <fieldUsage x="1"/>
      </fieldsUsage>
    </cacheHierarchy>
    <cacheHierarchy uniqueName="[LOGS_RESEAU].[Equipementier]" caption="Equipementier" attribute="1" defaultMemberUniqueName="[LOGS_RESEAU].[Equipementier].[All]" allUniqueName="[LOGS_RESEAU].[Equipementier].[All]" dimensionUniqueName="[LOGS_RESEAU]" displayFolder="" count="2" memberValueDatatype="130" unbalanced="0">
      <fieldsUsage count="2">
        <fieldUsage x="-1"/>
        <fieldUsage x="0"/>
      </fieldsUsage>
    </cacheHierarchy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0" memberValueDatatype="130" unbalanced="0"/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0" memberValueDatatype="130" unbalanced="0"/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0" memberValueDatatype="130" unbalanced="0"/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0" memberValueDatatype="130" unbalanced="0"/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337737731483" backgroundQuery="1" createdVersion="7" refreshedVersion="7" minRefreshableVersion="3" recordCount="0" supportSubquery="1" supportAdvancedDrill="1" xr:uid="{7EE8CF3C-EB85-43CE-AA48-8EFF046C8401}">
  <cacheSource type="external" connectionId="10"/>
  <cacheFields count="2">
    <cacheField name="[Dim_prov].[Province_RDC].[Province_RDC]" caption="Province_RDC" numFmtId="0" hierarchy="10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Measures].[Somme de Duree_Panne_Heure 2]" caption="Somme de Duree_Panne_Heure 2" numFmtId="0" hierarchy="44" level="32767"/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0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2" memberValueDatatype="130" unbalanced="0">
      <fieldsUsage count="2">
        <fieldUsage x="-1"/>
        <fieldUsage x="0"/>
      </fieldsUsage>
    </cacheHierarchy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0" memberValueDatatype="130" unbalanced="0"/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0" memberValueDatatype="130" unbalanced="0"/>
    <cacheHierarchy uniqueName="[LOGS_RESEAU].[Equipementier]" caption="Equipementier" attribute="1" defaultMemberUniqueName="[LOGS_RESEAU].[Equipementier].[All]" allUniqueName="[LOGS_RESEAU].[Equipementier].[All]" dimensionUniqueName="[LOGS_RESEAU]" displayFolder="" count="0" memberValueDatatype="130" unbalanced="0"/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0" memberValueDatatype="130" unbalanced="0"/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0" memberValueDatatype="130" unbalanced="0"/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0" memberValueDatatype="130" unbalanced="0"/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0" memberValueDatatype="130" unbalanced="0"/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342078935188" backgroundQuery="1" createdVersion="7" refreshedVersion="7" minRefreshableVersion="3" recordCount="0" supportSubquery="1" supportAdvancedDrill="1" xr:uid="{53866809-1AA5-40FE-A193-D7FF230753DA}">
  <cacheSource type="external" connectionId="10"/>
  <cacheFields count="3">
    <cacheField name="[Dim_prov].[Province_RDC].[Province_RDC]" caption="Province_RDC" numFmtId="0" hierarchy="10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LOGS_RESEAU].[Statut_Resolution].[Statut_Resolution]" caption="Statut_Resolution" numFmtId="0" hierarchy="15" level="1">
      <sharedItems count="2">
        <s v="En Cours"/>
        <s v="Non Résolu"/>
      </sharedItems>
    </cacheField>
    <cacheField name="[Measures].[Nombre de Statut_Resolution 2]" caption="Nombre de Statut_Resolution 2" numFmtId="0" hierarchy="53" level="32767"/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0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2" memberValueDatatype="130" unbalanced="0">
      <fieldsUsage count="2">
        <fieldUsage x="-1"/>
        <fieldUsage x="0"/>
      </fieldsUsage>
    </cacheHierarchy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2" memberValueDatatype="130" unbalanced="0">
      <fieldsUsage count="2">
        <fieldUsage x="-1"/>
        <fieldUsage x="1"/>
      </fieldsUsage>
    </cacheHierarchy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0" memberValueDatatype="130" unbalanced="0"/>
    <cacheHierarchy uniqueName="[LOGS_RESEAU].[Equipementier]" caption="Equipementier" attribute="1" defaultMemberUniqueName="[LOGS_RESEAU].[Equipementier].[All]" allUniqueName="[LOGS_RESEAU].[Equipementier].[All]" dimensionUniqueName="[LOGS_RESEAU]" displayFolder="" count="0" memberValueDatatype="130" unbalanced="0"/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0" memberValueDatatype="130" unbalanced="0"/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0" memberValueDatatype="130" unbalanced="0"/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0" memberValueDatatype="130" unbalanced="0"/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0" memberValueDatatype="130" unbalanced="0"/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347021296293" backgroundQuery="1" createdVersion="7" refreshedVersion="7" minRefreshableVersion="3" recordCount="0" supportSubquery="1" supportAdvancedDrill="1" xr:uid="{2BEE2B3E-23AF-480C-970D-346A2EE2ADAB}">
  <cacheSource type="external" connectionId="10"/>
  <cacheFields count="4">
    <cacheField name="[LOGS_RESEAU].[Technologie].[Technologie]" caption="Technologie" numFmtId="0" hierarchy="20" level="1">
      <sharedItems count="3">
        <s v="3G"/>
        <s v="4G"/>
        <s v="5G"/>
      </sharedItems>
    </cacheField>
    <cacheField name="[LOGS_RESEAU].[Equipementier].[Equipementier]" caption="Equipementier" numFmtId="0" hierarchy="21" level="1">
      <sharedItems count="4">
        <s v="Ericsson"/>
        <s v="Huawei"/>
        <s v="Nokia"/>
        <s v="ZTE"/>
      </sharedItems>
    </cacheField>
    <cacheField name="[LOGS_RESEAU].[Statut_Resolution].[Statut_Resolution]" caption="Statut_Resolution" numFmtId="0" hierarchy="15" level="1">
      <sharedItems count="3">
        <s v="En Cours"/>
        <s v="Non Résolu"/>
        <s v="Résolu"/>
      </sharedItems>
    </cacheField>
    <cacheField name="[Measures].[Nombre de Technologie]" caption="Nombre de Technologie" numFmtId="0" hierarchy="47" level="32767"/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2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0" memberValueDatatype="130" unbalanced="0"/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2" memberValueDatatype="130" unbalanced="0">
      <fieldsUsage count="2">
        <fieldUsage x="-1"/>
        <fieldUsage x="2"/>
      </fieldsUsage>
    </cacheHierarchy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2" memberValueDatatype="130" unbalanced="0">
      <fieldsUsage count="2">
        <fieldUsage x="-1"/>
        <fieldUsage x="0"/>
      </fieldsUsage>
    </cacheHierarchy>
    <cacheHierarchy uniqueName="[LOGS_RESEAU].[Equipementier]" caption="Equipementier" attribute="1" defaultMemberUniqueName="[LOGS_RESEAU].[Equipementier].[All]" allUniqueName="[LOGS_RESEAU].[Equipementier].[All]" dimensionUniqueName="[LOGS_RESEAU]" displayFolder="" count="2" memberValueDatatype="130" unbalanced="0">
      <fieldsUsage count="2">
        <fieldUsage x="-1"/>
        <fieldUsage x="1"/>
      </fieldsUsage>
    </cacheHierarchy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0" memberValueDatatype="130" unbalanced="0"/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0" memberValueDatatype="130" unbalanced="0"/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0" memberValueDatatype="130" unbalanced="0"/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0" memberValueDatatype="130" unbalanced="0"/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350644328704" backgroundQuery="1" createdVersion="7" refreshedVersion="7" minRefreshableVersion="3" recordCount="0" supportSubquery="1" supportAdvancedDrill="1" xr:uid="{511E6EFD-3BF8-49AE-B302-3A32EB478B69}">
  <cacheSource type="external" connectionId="10"/>
  <cacheFields count="4">
    <cacheField name="[Measures].[Nombre de Technologie]" caption="Nombre de Technologie" numFmtId="0" hierarchy="47" level="32767"/>
    <cacheField name="[LOGS_RESEAU].[Equipementier].[Equipementier]" caption="Equipementier" numFmtId="0" hierarchy="21" level="1">
      <sharedItems count="4">
        <s v="Ericsson"/>
        <s v="Huawei"/>
        <s v="Nokia"/>
        <s v="ZTE"/>
      </sharedItems>
    </cacheField>
    <cacheField name="[Dim_prov].[Province_RDC].[Province_RDC]" caption="Province_RDC" numFmtId="0" hierarchy="10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LOGS_RESEAU].[Technologie].[Technologie]" caption="Technologie" numFmtId="0" hierarchy="20" level="1">
      <sharedItems count="3">
        <s v="3G"/>
        <s v="4G"/>
        <s v="5G"/>
      </sharedItems>
    </cacheField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0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2" memberValueDatatype="130" unbalanced="0">
      <fieldsUsage count="2">
        <fieldUsage x="-1"/>
        <fieldUsage x="2"/>
      </fieldsUsage>
    </cacheHierarchy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0" memberValueDatatype="130" unbalanced="0"/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2" memberValueDatatype="130" unbalanced="0">
      <fieldsUsage count="2">
        <fieldUsage x="-1"/>
        <fieldUsage x="3"/>
      </fieldsUsage>
    </cacheHierarchy>
    <cacheHierarchy uniqueName="[LOGS_RESEAU].[Equipementier]" caption="Equipementier" attribute="1" defaultMemberUniqueName="[LOGS_RESEAU].[Equipementier].[All]" allUniqueName="[LOGS_RESEAU].[Equipementier].[All]" dimensionUniqueName="[LOGS_RESEAU]" displayFolder="" count="2" memberValueDatatype="130" unbalanced="0">
      <fieldsUsage count="2">
        <fieldUsage x="-1"/>
        <fieldUsage x="1"/>
      </fieldsUsage>
    </cacheHierarchy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0" memberValueDatatype="130" unbalanced="0"/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0" memberValueDatatype="130" unbalanced="0"/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2" memberValueDatatype="130" unbalanced="0"/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2" memberValueDatatype="130" unbalanced="0"/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621034953707" backgroundQuery="1" createdVersion="7" refreshedVersion="7" minRefreshableVersion="3" recordCount="0" supportSubquery="1" supportAdvancedDrill="1" xr:uid="{C35B7C3C-33F1-4DAA-A895-0208491C9A1A}">
  <cacheSource type="external" connectionId="10"/>
  <cacheFields count="3">
    <cacheField name="[Dim_prov].[Province_RDC].[Province_RDC]" caption="Province_RDC" numFmtId="0" hierarchy="10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Measures].[Nombre de Statut_Resolution 2]" caption="Nombre de Statut_Resolution 2" numFmtId="0" hierarchy="53" level="32767"/>
    <cacheField name="[Measures].[Nombre de ID_Client]" caption="Nombre de ID_Client" numFmtId="0" hierarchy="39" level="32767"/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0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2" memberValueDatatype="130" unbalanced="0">
      <fieldsUsage count="2">
        <fieldUsage x="-1"/>
        <fieldUsage x="0"/>
      </fieldsUsage>
    </cacheHierarchy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0" memberValueDatatype="130" unbalanced="0"/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0" memberValueDatatype="130" unbalanced="0"/>
    <cacheHierarchy uniqueName="[LOGS_RESEAU].[Equipementier]" caption="Equipementier" attribute="1" defaultMemberUniqueName="[LOGS_RESEAU].[Equipementier].[All]" allUniqueName="[LOGS_RESEAU].[Equipementier].[All]" dimensionUniqueName="[LOGS_RESEAU]" displayFolder="" count="0" memberValueDatatype="130" unbalanced="0"/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0" memberValueDatatype="130" unbalanced="0"/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0" memberValueDatatype="130" unbalanced="0"/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0" memberValueDatatype="130" unbalanced="0"/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0" memberValueDatatype="130" unbalanced="0"/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TC-PC" refreshedDate="46111.669258796297" backgroundQuery="1" createdVersion="7" refreshedVersion="7" minRefreshableVersion="3" recordCount="0" supportSubquery="1" supportAdvancedDrill="1" xr:uid="{9F4F5EF6-408B-470B-BC29-87A89F85FEC7}">
  <cacheSource type="external" connectionId="10"/>
  <cacheFields count="4">
    <cacheField name="[LOGS_RESEAU345].[Equipementier].[Equipementier]" caption="Equipementier" numFmtId="0" hierarchy="33" level="1">
      <sharedItems containsSemiMixedTypes="0" containsNonDate="0" containsString="0"/>
    </cacheField>
    <cacheField name="[Dim_prov].[Province_RDC].[Province_RDC]" caption="Province_RDC" numFmtId="0" hierarchy="10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LOGS_RESEAU].[Technologie].[Technologie]" caption="Technologie" numFmtId="0" hierarchy="20" level="1">
      <sharedItems count="3">
        <s v="3G"/>
        <s v="4G"/>
        <s v="5G"/>
      </sharedItems>
    </cacheField>
    <cacheField name="[Measures].[Nombre de Technologie]" caption="Nombre de Technologie" numFmtId="0" hierarchy="47" level="32767"/>
  </cacheFields>
  <cacheHierarchies count="54">
    <cacheHierarchy uniqueName="[CLIENTS_CHURN34].[Source.Name]" caption="Source.Name" attribute="1" defaultMemberUniqueName="[CLIENTS_CHURN34].[Source.Name].[All]" allUniqueName="[CLIENTS_CHURN34].[Source.Name].[All]" dimensionUniqueName="[CLIENTS_CHURN34]" displayFolder="" count="0" memberValueDatatype="130" unbalanced="0"/>
    <cacheHierarchy uniqueName="[CLIENTS_CHURN34].[ID_Client]" caption="ID_Client" attribute="1" defaultMemberUniqueName="[CLIENTS_CHURN34].[ID_Client].[All]" allUniqueName="[CLIENTS_CHURN34].[ID_Client].[All]" dimensionUniqueName="[CLIENTS_CHURN34]" displayFolder="" count="0" memberValueDatatype="130" unbalanced="0"/>
    <cacheHierarchy uniqueName="[CLIENTS_CHURN34].[Province_RDC]" caption="Province_RDC" attribute="1" defaultMemberUniqueName="[CLIENTS_CHURN34].[Province_RDC].[All]" allUniqueName="[CLIENTS_CHURN34].[Province_RDC].[All]" dimensionUniqueName="[CLIENTS_CHURN34]" displayFolder="" count="0" memberValueDatatype="130" unbalanced="0"/>
    <cacheHierarchy uniqueName="[CLIENTS_CHURN34].[Anciennete_Mois]" caption="Anciennete_Mois" attribute="1" defaultMemberUniqueName="[CLIENTS_CHURN34].[Anciennete_Mois].[All]" allUniqueName="[CLIENTS_CHURN34].[Anciennete_Mois].[All]" dimensionUniqueName="[CLIENTS_CHURN34]" displayFolder="" count="0" memberValueDatatype="20" unbalanced="0"/>
    <cacheHierarchy uniqueName="[CLIENTS_CHURN34].[Type_Forfait]" caption="Type_Forfait" attribute="1" defaultMemberUniqueName="[CLIENTS_CHURN34].[Type_Forfait].[All]" allUniqueName="[CLIENTS_CHURN34].[Type_Forfait].[All]" dimensionUniqueName="[CLIENTS_CHURN34]" displayFolder="" count="0" memberValueDatatype="130" unbalanced="0"/>
    <cacheHierarchy uniqueName="[CLIENTS_CHURN34].[Duree_Cumulee_Panne_Min]" caption="Duree_Cumulee_Panne_Min" attribute="1" defaultMemberUniqueName="[CLIENTS_CHURN34].[Duree_Cumulee_Panne_Min].[All]" allUniqueName="[CLIENTS_CHURN34].[Duree_Cumulee_Panne_Min].[All]" dimensionUniqueName="[CLIENTS_CHURN34]" displayFolder="" count="0" memberValueDatatype="20" unbalanced="0"/>
    <cacheHierarchy uniqueName="[CLIENTS_CHURN34].[Facture_Mensuelle]" caption="Facture_Mensuelle" attribute="1" defaultMemberUniqueName="[CLIENTS_CHURN34].[Facture_Mensuelle].[All]" allUniqueName="[CLIENTS_CHURN34].[Facture_Mensuelle].[All]" dimensionUniqueName="[CLIENTS_CHURN34]" displayFolder="" count="0" memberValueDatatype="5" unbalanced="0"/>
    <cacheHierarchy uniqueName="[CLIENTS_CHURN34].[Plaintes_Service_Client]" caption="Plaintes_Service_Client" attribute="1" defaultMemberUniqueName="[CLIENTS_CHURN34].[Plaintes_Service_Client].[All]" allUniqueName="[CLIENTS_CHURN34].[Plaintes_Service_Client].[All]" dimensionUniqueName="[CLIENTS_CHURN34]" displayFolder="" count="0" memberValueDatatype="20" unbalanced="0"/>
    <cacheHierarchy uniqueName="[CLIENTS_CHURN34].[Anciennete_Annee]" caption="Anciennete_Annee" attribute="1" defaultMemberUniqueName="[CLIENTS_CHURN34].[Anciennete_Annee].[All]" allUniqueName="[CLIENTS_CHURN34].[Anciennete_Annee].[All]" dimensionUniqueName="[CLIENTS_CHURN34]" displayFolder="" count="0" memberValueDatatype="5" unbalanced="0"/>
    <cacheHierarchy uniqueName="[CLIENTS_CHURN34].[Duree_Cumulee_Panne_heur]" caption="Duree_Cumulee_Panne_heur" attribute="1" defaultMemberUniqueName="[CLIENTS_CHURN34].[Duree_Cumulee_Panne_heur].[All]" allUniqueName="[CLIENTS_CHURN34].[Duree_Cumulee_Panne_heur].[All]" dimensionUniqueName="[CLIENTS_CHURN34]" displayFolder="" count="0" memberValueDatatype="5" unbalanced="0"/>
    <cacheHierarchy uniqueName="[Dim_prov].[Province_RDC]" caption="Province_RDC" attribute="1" defaultMemberUniqueName="[Dim_prov].[Province_RDC].[All]" allUniqueName="[Dim_prov].[Province_RDC].[All]" dimensionUniqueName="[Dim_prov]" displayFolder="" count="2" memberValueDatatype="130" unbalanced="0">
      <fieldsUsage count="2">
        <fieldUsage x="-1"/>
        <fieldUsage x="1"/>
      </fieldsUsage>
    </cacheHierarchy>
    <cacheHierarchy uniqueName="[LOGS_RESEAU].[Source.Name]" caption="Source.Name" attribute="1" defaultMemberUniqueName="[LOGS_RESEAU].[Source.Name].[All]" allUniqueName="[LOGS_RESEAU].[Source.Name].[All]" dimensionUniqueName="[LOGS_RESEAU]" displayFolder="" count="0" memberValueDatatype="130" unbalanced="0"/>
    <cacheHierarchy uniqueName="[LOGS_RESEAU].[Cell_ID]" caption="Cell_ID" attribute="1" defaultMemberUniqueName="[LOGS_RESEAU].[Cell_ID].[All]" allUniqueName="[LOGS_RESEAU].[Cell_ID].[All]" dimensionUniqueName="[LOGS_RESEAU]" displayFolder="" count="0" memberValueDatatype="130" unbalanced="0"/>
    <cacheHierarchy uniqueName="[LOGS_RESEAU].[Date_Heure_Panne]" caption="Date_Heure_Panne" attribute="1" defaultMemberUniqueName="[LOGS_RESEAU].[Date_Heure_Panne].[All]" allUniqueName="[LOGS_RESEAU].[Date_Heure_Panne].[All]" dimensionUniqueName="[LOGS_RESEAU]" displayFolder="" count="0" memberValueDatatype="5" unbalanced="0"/>
    <cacheHierarchy uniqueName="[LOGS_RESEAU].[Duree_Panne_Min]" caption="Duree_Panne_Min" attribute="1" defaultMemberUniqueName="[LOGS_RESEAU].[Duree_Panne_Min].[All]" allUniqueName="[LOGS_RESEAU].[Duree_Panne_Min].[All]" dimensionUniqueName="[LOGS_RESEAU]" displayFolder="" count="0" memberValueDatatype="20" unbalanced="0"/>
    <cacheHierarchy uniqueName="[LOGS_RESEAU].[Statut_Resolution]" caption="Statut_Resolution" attribute="1" defaultMemberUniqueName="[LOGS_RESEAU].[Statut_Resolution].[All]" allUniqueName="[LOGS_RESEAU].[Statut_Resolution].[All]" dimensionUniqueName="[LOGS_RESEAU]" displayFolder="" count="0" memberValueDatatype="130" unbalanced="0"/>
    <cacheHierarchy uniqueName="[LOGS_RESEAU].[Duree_Panne_Heure]" caption="Duree_Panne_Heure" attribute="1" defaultMemberUniqueName="[LOGS_RESEAU].[Duree_Panne_Heure].[All]" allUniqueName="[LOGS_RESEAU].[Duree_Panne_Heure].[All]" dimensionUniqueName="[LOGS_RESEAU]" displayFolder="" count="0" memberValueDatatype="5" unbalanced="0"/>
    <cacheHierarchy uniqueName="[LOGS_RESEAU].[Province_RDC]" caption="Province_RDC" attribute="1" defaultMemberUniqueName="[LOGS_RESEAU].[Province_RDC].[All]" allUniqueName="[LOGS_RESEAU].[Province_RDC].[All]" dimensionUniqueName="[LOGS_RESEAU]" displayFolder="" count="0" memberValueDatatype="130" unbalanced="0"/>
    <cacheHierarchy uniqueName="[LOGS_RESEAU].[Latitude]" caption="Latitude" attribute="1" defaultMemberUniqueName="[LOGS_RESEAU].[Latitude].[All]" allUniqueName="[LOGS_RESEAU].[Latitude].[All]" dimensionUniqueName="[LOGS_RESEAU]" displayFolder="" count="0" memberValueDatatype="5" unbalanced="0"/>
    <cacheHierarchy uniqueName="[LOGS_RESEAU].[Longitude]" caption="Longitude" attribute="1" defaultMemberUniqueName="[LOGS_RESEAU].[Longitude].[All]" allUniqueName="[LOGS_RESEAU].[Longitude].[All]" dimensionUniqueName="[LOGS_RESEAU]" displayFolder="" count="0" memberValueDatatype="5" unbalanced="0"/>
    <cacheHierarchy uniqueName="[LOGS_RESEAU].[Technologie]" caption="Technologie" attribute="1" defaultMemberUniqueName="[LOGS_RESEAU].[Technologie].[All]" allUniqueName="[LOGS_RESEAU].[Technologie].[All]" dimensionUniqueName="[LOGS_RESEAU]" displayFolder="" count="2" memberValueDatatype="130" unbalanced="0">
      <fieldsUsage count="2">
        <fieldUsage x="-1"/>
        <fieldUsage x="2"/>
      </fieldsUsage>
    </cacheHierarchy>
    <cacheHierarchy uniqueName="[LOGS_RESEAU].[Equipementier]" caption="Equipementier" attribute="1" defaultMemberUniqueName="[LOGS_RESEAU].[Equipementier].[All]" allUniqueName="[LOGS_RESEAU].[Equipementier].[All]" dimensionUniqueName="[LOGS_RESEAU]" displayFolder="" count="0" memberValueDatatype="130" unbalanced="0"/>
    <cacheHierarchy uniqueName="[LOGS_RESEAU].[Plage de panne]" caption="Plage de panne" attribute="1" defaultMemberUniqueName="[LOGS_RESEAU].[Plage de panne].[All]" allUniqueName="[LOGS_RESEAU].[Plage de panne].[All]" dimensionUniqueName="[LOGS_RESEAU]" displayFolder="" count="0" memberValueDatatype="130" unbalanced="0"/>
    <cacheHierarchy uniqueName="[LOGS_RESEAU345].[Source.Name]" caption="Source.Name" attribute="1" defaultMemberUniqueName="[LOGS_RESEAU345].[Source.Name].[All]" allUniqueName="[LOGS_RESEAU345].[Source.Name].[All]" dimensionUniqueName="[LOGS_RESEAU345]" displayFolder="" count="0" memberValueDatatype="130" unbalanced="0"/>
    <cacheHierarchy uniqueName="[LOGS_RESEAU345].[Cell_ID]" caption="Cell_ID" attribute="1" defaultMemberUniqueName="[LOGS_RESEAU345].[Cell_ID].[All]" allUniqueName="[LOGS_RESEAU345].[Cell_ID].[All]" dimensionUniqueName="[LOGS_RESEAU345]" displayFolder="" count="0" memberValueDatatype="130" unbalanced="0"/>
    <cacheHierarchy uniqueName="[LOGS_RESEAU345].[Date_Heure_Panne]" caption="Date_Heure_Panne" attribute="1" defaultMemberUniqueName="[LOGS_RESEAU345].[Date_Heure_Panne].[All]" allUniqueName="[LOGS_RESEAU345].[Date_Heure_Panne].[All]" dimensionUniqueName="[LOGS_RESEAU345]" displayFolder="" count="0" memberValueDatatype="5" unbalanced="0"/>
    <cacheHierarchy uniqueName="[LOGS_RESEAU345].[Duree_Panne_Min]" caption="Duree_Panne_Min" attribute="1" defaultMemberUniqueName="[LOGS_RESEAU345].[Duree_Panne_Min].[All]" allUniqueName="[LOGS_RESEAU345].[Duree_Panne_Min].[All]" dimensionUniqueName="[LOGS_RESEAU345]" displayFolder="" count="0" memberValueDatatype="20" unbalanced="0"/>
    <cacheHierarchy uniqueName="[LOGS_RESEAU345].[Statut_Resolution]" caption="Statut_Resolution" attribute="1" defaultMemberUniqueName="[LOGS_RESEAU345].[Statut_Resolution].[All]" allUniqueName="[LOGS_RESEAU345].[Statut_Resolution].[All]" dimensionUniqueName="[LOGS_RESEAU345]" displayFolder="" count="0" memberValueDatatype="130" unbalanced="0"/>
    <cacheHierarchy uniqueName="[LOGS_RESEAU345].[Duree_Panne_Heure]" caption="Duree_Panne_Heure" attribute="1" defaultMemberUniqueName="[LOGS_RESEAU345].[Duree_Panne_Heure].[All]" allUniqueName="[LOGS_RESEAU345].[Duree_Panne_Heure].[All]" dimensionUniqueName="[LOGS_RESEAU345]" displayFolder="" count="0" memberValueDatatype="5" unbalanced="0"/>
    <cacheHierarchy uniqueName="[LOGS_RESEAU345].[Province_RDC]" caption="Province_RDC" attribute="1" defaultMemberUniqueName="[LOGS_RESEAU345].[Province_RDC].[All]" allUniqueName="[LOGS_RESEAU345].[Province_RDC].[All]" dimensionUniqueName="[LOGS_RESEAU345]" displayFolder="" count="0" memberValueDatatype="130" unbalanced="0"/>
    <cacheHierarchy uniqueName="[LOGS_RESEAU345].[Latitude]" caption="Latitude" attribute="1" defaultMemberUniqueName="[LOGS_RESEAU345].[Latitude].[All]" allUniqueName="[LOGS_RESEAU345].[Latitude].[All]" dimensionUniqueName="[LOGS_RESEAU345]" displayFolder="" count="0" memberValueDatatype="5" unbalanced="0"/>
    <cacheHierarchy uniqueName="[LOGS_RESEAU345].[Longitude]" caption="Longitude" attribute="1" defaultMemberUniqueName="[LOGS_RESEAU345].[Longitude].[All]" allUniqueName="[LOGS_RESEAU345].[Longitude].[All]" dimensionUniqueName="[LOGS_RESEAU345]" displayFolder="" count="0" memberValueDatatype="5" unbalanced="0"/>
    <cacheHierarchy uniqueName="[LOGS_RESEAU345].[Technologie]" caption="Technologie" attribute="1" defaultMemberUniqueName="[LOGS_RESEAU345].[Technologie].[All]" allUniqueName="[LOGS_RESEAU345].[Technologie].[All]" dimensionUniqueName="[LOGS_RESEAU345]" displayFolder="" count="2" memberValueDatatype="130" unbalanced="0"/>
    <cacheHierarchy uniqueName="[LOGS_RESEAU345].[Equipementier]" caption="Equipementier" attribute="1" defaultMemberUniqueName="[LOGS_RESEAU345].[Equipementier].[All]" allUniqueName="[LOGS_RESEAU345].[Equipementier].[All]" dimensionUniqueName="[LOGS_RESEAU345]" displayFolder="" count="2" memberValueDatatype="130" unbalanced="0">
      <fieldsUsage count="2">
        <fieldUsage x="-1"/>
        <fieldUsage x="0"/>
      </fieldsUsage>
    </cacheHierarchy>
    <cacheHierarchy uniqueName="[Measures].[__XL_Count Dim_prov]" caption="__XL_Count Dim_prov" measure="1" displayFolder="" measureGroup="Dim_prov" count="0" hidden="1"/>
    <cacheHierarchy uniqueName="[Measures].[__XL_Count LOGS_RESEAU345]" caption="__XL_Count LOGS_RESEAU345" measure="1" displayFolder="" measureGroup="LOGS_RESEAU345" count="0" hidden="1"/>
    <cacheHierarchy uniqueName="[Measures].[__XL_Count CLIENTS_CHURN34]" caption="__XL_Count CLIENTS_CHURN34" measure="1" displayFolder="" measureGroup="CLIENTS_CHURN34" count="0" hidden="1"/>
    <cacheHierarchy uniqueName="[Measures].[__XL_Count LOGS_RESEAU]" caption="__XL_Count LOGS_RESEAU" measure="1" displayFolder="" measureGroup="LOGS_RESEAU" count="0" hidden="1"/>
    <cacheHierarchy uniqueName="[Measures].[__No measures defined]" caption="__No measures defined" measure="1" displayFolder="" count="0" hidden="1"/>
    <cacheHierarchy uniqueName="[Measures].[Nombre de ID_Client]" caption="Nombre de ID_Clien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Cell_ID]" caption="Nombre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distinct de Cell_ID]" caption="Total distinct de Cell_ID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Duree_Panne_Heure]" caption="Somme de Duree_Panne_Heure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Duree_Cumulee_Panne_Min]" caption="Somme de Duree_Cumulee_Panne_Min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e de Duree_Panne_Heure 2]" caption="Somme de Duree_Panne_Heure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Duree_Cumulee_Panne_heur]" caption="Somme de Duree_Cumulee_Panne_heur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Nombre de Cell_ID 2]" caption="Nombre de Cell_ID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Nombre de Technologie]" caption="Nombre de Technologie" measure="1" displayFolder="" measureGroup="LOGS_RESEAU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Technologie 2]" caption="Nombre de Technologie 2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Nombre de Statut_Resolution]" caption="Nombre de Statut_Resolution" measure="1" displayFolder="" measureGroup="LOGS_RESEAU34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Nombre de Plage de panne]" caption="Nombre de Plage de panne" measure="1" displayFolder="" measureGroup="LOGS_RESEAU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ombre de Type_Forfait]" caption="Nombre de Type_Forfait" measure="1" displayFolder="" measureGroup="CLIENTS_CHURN3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Province_RDC]" caption="Nombre de Province_RDC" measure="1" displayFolder="" measureGroup="Dim_prov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Statut_Resolution 2]" caption="Nombre de Statut_Resolution 2" measure="1" displayFolder="" measureGroup="LOGS_RESEAU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LIENTS_CHURN34" uniqueName="[CLIENTS_CHURN34]" caption="CLIENTS_CHURN34"/>
    <dimension name="Dim_prov" uniqueName="[Dim_prov]" caption="Dim_prov"/>
    <dimension name="LOGS_RESEAU" uniqueName="[LOGS_RESEAU]" caption="LOGS_RESEAU"/>
    <dimension name="LOGS_RESEAU345" uniqueName="[LOGS_RESEAU345]" caption="LOGS_RESEAU345"/>
    <dimension measure="1" name="Measures" uniqueName="[Measures]" caption="Measures"/>
  </dimensions>
  <measureGroups count="4">
    <measureGroup name="CLIENTS_CHURN34" caption="CLIENTS_CHURN34"/>
    <measureGroup name="Dim_prov" caption="Dim_prov"/>
    <measureGroup name="LOGS_RESEAU" caption="LOGS_RESEAU"/>
    <measureGroup name="LOGS_RESEAU345" caption="LOGS_RESEAU345"/>
  </measureGroups>
  <maps count="6">
    <map measureGroup="0" dimension="0"/>
    <map measureGroup="0" dimension="1"/>
    <map measureGroup="1" dimension="1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C4F69-23EE-4CCC-BDB9-6DD8D91896EF}" name="Tableau croisé dynamique11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Statut panne">
  <location ref="U13:Y1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echnologie" fld="2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GS_RESEAU3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28EAC-A3FB-4DF2-84D6-576E5402BB98}" name="Tableau croisé dynamique10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Equipementier">
  <location ref="U4:Y10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echnologie" fld="2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echnologi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GS_RESEA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5D76D-3508-49E6-A3F3-F4D97EA61B7B}" name="Tableau croisé dynamique14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Equipementier" colHeaderCaption="Technologie">
  <location ref="U29:Y46" firstHeaderRow="1" firstDataRow="2" firstDataCol="1"/>
  <pivotFields count="4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2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tatut panne" fld="3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atut pann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21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S_CHURN34]"/>
        <x15:activeTabTopLevelEntity name="[LOGS_RESEAU]"/>
        <x15:activeTabTopLevelEntity name="[Dim_pro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DFEDE-5A91-4117-B703-024CE317BC7B}" name="Tableau croisé dynamique7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vince" colHeaderCaption="">
  <location ref="E4:H32" firstHeaderRow="1" firstDataRow="2" firstDataCol="1"/>
  <pivotFields count="3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tatut Panne" fld="2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v]"/>
        <x15:activeTabTopLevelEntity name="[CLIENTS_CHURN34]"/>
        <x15:activeTabTopLevelEntity name="[LOGS_RESEA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19FB3-EBB7-4C1D-9BBB-316D400946B5}" name="Tableau croisé dynamique16" cacheId="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vince">
  <location ref="J5:L32" firstHeaderRow="0" firstDataRow="1" firstDataCol="1"/>
  <pivotFields count="3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'Antenne" fld="1" subtotal="count" baseField="0" baseItem="0"/>
    <dataField name="Nombre de Client" fld="2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ombre de Clie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v]"/>
        <x15:activeTabTopLevelEntity name="[LOGS_RESEAU]"/>
        <x15:activeTabTopLevelEntity name="[CLIENTS_CHURN3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05F47-0D5B-49E3-A219-1F4B777C3BBA}" name="Tableau croisé dynamique6" cacheId="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ROVINCE">
  <location ref="A4:B31" firstHeaderRow="1" firstDataRow="1" firstDataCol="1"/>
  <pivotFields count="2"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Durée Panne en heure" fld="1" baseField="0" baseItem="0"/>
  </dataFields>
  <formats count="2">
    <format dxfId="16">
      <pivotArea collapsedLevelsAreSubtotals="1" fieldPosition="0">
        <references count="1">
          <reference field="0" count="1">
            <x v="10"/>
          </reference>
        </references>
      </pivotArea>
    </format>
    <format dxfId="15">
      <pivotArea dataOnly="0" labelOnly="1" fieldPosition="0">
        <references count="1">
          <reference field="0" count="1">
            <x v="10"/>
          </reference>
        </references>
      </pivotArea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v]"/>
        <x15:activeTabTopLevelEntity name="[LOGS_RESEA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6E726-286E-4AE2-9FDC-94AE4FAFC834}" name="Tableau croisé dynamique15" cacheId="6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Equipementier">
  <location ref="AA4:AE130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2"/>
    <field x="1"/>
  </rowFields>
  <rowItems count="12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>
      <x v="6"/>
    </i>
    <i r="1">
      <x/>
    </i>
    <i r="1">
      <x v="1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1"/>
    </i>
    <i r="1">
      <x v="2"/>
    </i>
    <i r="1">
      <x v="3"/>
    </i>
    <i>
      <x v="15"/>
    </i>
    <i r="1">
      <x v="1"/>
    </i>
    <i r="1">
      <x v="2"/>
    </i>
    <i r="1">
      <x v="3"/>
    </i>
    <i>
      <x v="16"/>
    </i>
    <i r="1">
      <x/>
    </i>
    <i r="1">
      <x v="1"/>
    </i>
    <i r="1">
      <x v="2"/>
    </i>
    <i r="1">
      <x v="3"/>
    </i>
    <i>
      <x v="17"/>
    </i>
    <i r="1">
      <x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 r="1">
      <x v="3"/>
    </i>
    <i>
      <x v="19"/>
    </i>
    <i r="1">
      <x/>
    </i>
    <i r="1">
      <x v="1"/>
    </i>
    <i r="1">
      <x v="2"/>
    </i>
    <i r="1">
      <x v="3"/>
    </i>
    <i>
      <x v="20"/>
    </i>
    <i r="1">
      <x/>
    </i>
    <i r="1">
      <x v="1"/>
    </i>
    <i r="1">
      <x v="2"/>
    </i>
    <i r="1">
      <x v="3"/>
    </i>
    <i>
      <x v="21"/>
    </i>
    <i r="1">
      <x/>
    </i>
    <i r="1">
      <x v="1"/>
    </i>
    <i r="1">
      <x v="2"/>
    </i>
    <i r="1">
      <x v="3"/>
    </i>
    <i>
      <x v="22"/>
    </i>
    <i r="1">
      <x/>
    </i>
    <i r="1">
      <x v="1"/>
    </i>
    <i r="1">
      <x v="2"/>
    </i>
    <i r="1">
      <x v="3"/>
    </i>
    <i>
      <x v="23"/>
    </i>
    <i r="1">
      <x/>
    </i>
    <i r="1">
      <x v="1"/>
    </i>
    <i r="1">
      <x v="2"/>
    </i>
    <i r="1">
      <x v="3"/>
    </i>
    <i>
      <x v="24"/>
    </i>
    <i r="1">
      <x/>
    </i>
    <i r="1">
      <x v="1"/>
    </i>
    <i r="1">
      <x v="3"/>
    </i>
    <i>
      <x v="25"/>
    </i>
    <i r="1">
      <x/>
    </i>
    <i r="1">
      <x v="1"/>
    </i>
    <i r="1">
      <x v="2"/>
    </i>
    <i r="1"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Province" fld="0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vinc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21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v]"/>
        <x15:activeTabTopLevelEntity name="[LOGS_RESEAU345]"/>
        <x15:activeTabTopLevelEntity name="[LOGS_RESEA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28D46-C49C-4BB9-B1CF-5C68A7EDC0FC}" name="Tableau croisé dynamique8" cacheId="8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 rowHeaderCaption="Province" colHeaderCaption="">
  <location ref="O4:S32" firstHeaderRow="1" firstDataRow="2" firstDataCol="1"/>
  <pivotFields count="4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Technologie" fld="3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OGS_RESEAU345].[Equipementier].&amp;[Ericsson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echnologi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v]"/>
        <x15:activeTabTopLevelEntity name="[LOGS_RESEAU]"/>
        <x15:activeTabTopLevelEntity name="[LOGS_RESEAU3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77DBF-CC65-4C54-8DD8-20ABDAFFB6E4}" name="Tableau croisé dynamique1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urée panne">
  <location ref="U21:Y26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echnologie" fld="2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echnologi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GS_RESEA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36CF57F9-BC22-481B-BA4F-33904957742E}" autoFormatId="16" applyNumberFormats="0" applyBorderFormats="0" applyFontFormats="0" applyPatternFormats="0" applyAlignmentFormats="0" applyWidthHeightFormats="0">
  <queryTableRefresh nextId="19" unboundColumnsRight="7">
    <queryTableFields count="13">
      <queryTableField id="1" name="Source.Name" tableColumnId="1"/>
      <queryTableField id="8" dataBound="0" tableColumnId="8"/>
      <queryTableField id="2" name="Date_Heure_Panne" tableColumnId="2"/>
      <queryTableField id="17" name="Cell_ID" tableColumnId="13"/>
      <queryTableField id="4" name="Duree_Panne_Min" tableColumnId="4"/>
      <queryTableField id="5" name="Statut_Resolution" tableColumnId="5"/>
      <queryTableField id="7" dataBound="0" tableColumnId="7"/>
      <queryTableField id="10" dataBound="0" tableColumnId="6"/>
      <queryTableField id="11" dataBound="0" tableColumnId="9"/>
      <queryTableField id="12" dataBound="0" tableColumnId="10"/>
      <queryTableField id="13" dataBound="0" tableColumnId="11"/>
      <queryTableField id="14" dataBound="0" tableColumnId="12"/>
      <queryTableField id="16" dataBound="0" tableColumnId="3"/>
    </queryTableFields>
    <queryTableDeletedFields count="1">
      <deletedField name="Cell_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2679A8A-C2E7-4EA9-8C42-93D1F4A565E7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C23F2E-F981-4E6D-A274-ABBC7C5E783F}" name="LOGS_RESEAU" displayName="LOGS_RESEAU" ref="A1:M1085" tableType="queryTable" totalsRowShown="0">
  <autoFilter ref="A1:M1085" xr:uid="{BC72C2BB-B4D0-43A7-832F-C4DBBD13EBDD}"/>
  <sortState xmlns:xlrd2="http://schemas.microsoft.com/office/spreadsheetml/2017/richdata2" ref="A2:M1085">
    <sortCondition ref="H1:H1085"/>
  </sortState>
  <tableColumns count="13">
    <tableColumn id="1" xr3:uid="{7E66A2A7-0E1F-4DE2-98D6-83C8A48B86C8}" uniqueName="1" name="Source.Name" queryTableFieldId="1" dataDxfId="14"/>
    <tableColumn id="8" xr3:uid="{C3DC83F4-10AC-4F89-A0DF-5479DD2C697B}" uniqueName="8" name="Cell_ID" queryTableFieldId="8" dataDxfId="13"/>
    <tableColumn id="2" xr3:uid="{3F59D161-7F67-4FAF-AA5D-C992E0821E67}" uniqueName="2" name="Date_Heure_Panne" queryTableFieldId="2"/>
    <tableColumn id="13" xr3:uid="{BA6CF098-C111-4669-ADBF-4BB4620B7340}" uniqueName="13" name="Cell_ID2" queryTableFieldId="17"/>
    <tableColumn id="4" xr3:uid="{4451031F-BBA0-4FD1-92C0-326648CD7ACE}" uniqueName="4" name="Duree_Panne_Min" queryTableFieldId="4"/>
    <tableColumn id="5" xr3:uid="{36CACF55-11AD-46DE-8812-EC7EA41990E0}" uniqueName="5" name="Statut_Resolution" queryTableFieldId="5"/>
    <tableColumn id="7" xr3:uid="{7F35B272-0974-4574-BA22-BED0BDCC1A36}" uniqueName="7" name="Duree_Panne_Heure" queryTableFieldId="7" dataDxfId="12"/>
    <tableColumn id="6" xr3:uid="{79B2C471-1B91-499A-A192-AA2E52CF64D3}" uniqueName="6" name="Province_RDC" queryTableFieldId="10" dataDxfId="11"/>
    <tableColumn id="9" xr3:uid="{1EAAC9D0-04E0-4F44-AF1D-59501EA30940}" uniqueName="9" name="Latitude" queryTableFieldId="11" dataDxfId="10"/>
    <tableColumn id="10" xr3:uid="{BD2C410B-3CD3-4873-84F8-0D31067F509A}" uniqueName="10" name="Longitude" queryTableFieldId="12" dataDxfId="9"/>
    <tableColumn id="11" xr3:uid="{2B384A12-064A-4CCD-BB47-7F2A7A662E21}" uniqueName="11" name="Technologie" queryTableFieldId="13" dataDxfId="8"/>
    <tableColumn id="12" xr3:uid="{DA2E3BAE-FBD0-49F6-946A-6254C6D5F79D}" uniqueName="12" name="Equipementier" queryTableFieldId="14" dataDxfId="7"/>
    <tableColumn id="3" xr3:uid="{21E24A2E-C557-4C74-992A-824F2D8657B9}" uniqueName="3" name="Plage de panne" queryTableFieldId="16" dataDxfId="6">
      <calculatedColumnFormula>IF(LOGS_RESEAU[[#This Row],[Duree_Panne_Heure]]&lt;1,"Moins d'1h",IF(LOGS_RESEAU[[#This Row],[Duree_Panne_Heure]]&lt;2,"Plus d'1h et moins de 2 h",IF(LOGS_RESEAU[[#This Row],[Duree_Panne_Heure]]&gt;=2,"2h ou plus","Pas de panne")))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B7D767-CE37-4637-A2D3-EF73687ED2A0}" name="Dim_prov" displayName="Dim_prov" ref="A1:A27" totalsRowShown="0" headerRowDxfId="5" headerRowBorderDxfId="4" tableBorderDxfId="3">
  <autoFilter ref="A1:A27" xr:uid="{F9B7D767-CE37-4637-A2D3-EF73687ED2A0}"/>
  <tableColumns count="1">
    <tableColumn id="1" xr3:uid="{A2BEC018-6C08-416D-9E7F-FA0F11F171F5}" name="Province_RD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B7079-23F0-47B9-AC5D-71736A94B4EF}" name="CLIENTS_CHURN" displayName="CLIENTS_CHURN" ref="A1:J751" tableType="queryTable" totalsRowShown="0">
  <autoFilter ref="A1:J751" xr:uid="{CA6369C1-E1A7-4054-9E60-96634E203040}"/>
  <sortState xmlns:xlrd2="http://schemas.microsoft.com/office/spreadsheetml/2017/richdata2" ref="A2:J751">
    <sortCondition ref="C1:C751"/>
  </sortState>
  <tableColumns count="10">
    <tableColumn id="1" xr3:uid="{2C0E1324-7F1D-4F58-8A6C-A25009724113}" uniqueName="1" name="Source.Name" queryTableFieldId="1" dataDxfId="2"/>
    <tableColumn id="2" xr3:uid="{7CBDFF35-DA88-4B61-B1C8-6654BB308F16}" uniqueName="2" name="ID_Client" queryTableFieldId="2"/>
    <tableColumn id="3" xr3:uid="{424EE5BB-82A2-45C9-8666-640C08AAA4FF}" uniqueName="3" name="Province_Client" queryTableFieldId="3"/>
    <tableColumn id="4" xr3:uid="{4AA62BFE-6AAA-4D2D-9287-4DF169FC7CD3}" uniqueName="4" name="Anciennete_Mois" queryTableFieldId="4"/>
    <tableColumn id="5" xr3:uid="{3E0B5F4C-EACA-453D-92F3-7562886D31C8}" uniqueName="5" name="Type_Forfait" queryTableFieldId="5"/>
    <tableColumn id="6" xr3:uid="{AE1E79DB-DD08-4B83-B614-9C3F3871A628}" uniqueName="6" name="Duree_Cumulee_Panne_Min" queryTableFieldId="6"/>
    <tableColumn id="7" xr3:uid="{4474BD4A-85DB-4378-A4EB-40C6411C69F2}" uniqueName="7" name="Facture_Mensuelle" queryTableFieldId="7"/>
    <tableColumn id="8" xr3:uid="{1E1C99B9-45C5-4402-9086-5285B68B9B9C}" uniqueName="8" name="Plaintes_Service_Client" queryTableFieldId="8"/>
    <tableColumn id="10" xr3:uid="{65733896-F0B8-4EB6-82ED-DC8A5DDE37AB}" uniqueName="10" name="Anciennete_Annee" queryTableFieldId="10" dataDxfId="1">
      <calculatedColumnFormula>CLIENTS_CHURN[[#This Row],[Anciennete_Mois]]/12</calculatedColumnFormula>
    </tableColumn>
    <tableColumn id="11" xr3:uid="{DA1E5D10-9F19-497F-89D3-D0809EF604A9}" uniqueName="11" name="Duree_Cumulee_Panne_heur" queryTableFieldId="11" dataDxfId="0">
      <calculatedColumnFormula>CLIENTS_CHURN[[#This Row],[Duree_Cumulee_Panne_Min]]/60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EE51-E883-4AE1-A726-DA4707C8D9B6}">
  <dimension ref="A2:AT130"/>
  <sheetViews>
    <sheetView tabSelected="1" topLeftCell="AF1" zoomScale="71" zoomScaleNormal="71" workbookViewId="0">
      <selection activeCell="O10" sqref="O10:S10"/>
      <pivotSelection pane="bottomRight" showHeader="1" extendable="1" axis="axisRow" start="4" max="27" activeRow="9" activeCol="14" previousRow="9" previousCol="14" click="1" r:id="rId8">
        <pivotArea dataOnly="0" fieldPosition="0">
          <references count="1">
            <reference field="1" count="1">
              <x v="4"/>
            </reference>
          </references>
        </pivotArea>
      </pivotSelection>
    </sheetView>
  </sheetViews>
  <sheetFormatPr baseColWidth="10" defaultRowHeight="14.5" x14ac:dyDescent="0.35"/>
  <cols>
    <col min="1" max="1" width="14.36328125" bestFit="1" customWidth="1"/>
    <col min="2" max="2" width="20.54296875" bestFit="1" customWidth="1"/>
    <col min="5" max="5" width="26" bestFit="1" customWidth="1"/>
    <col min="6" max="6" width="24.1796875" bestFit="1" customWidth="1"/>
    <col min="7" max="7" width="10.54296875" bestFit="1" customWidth="1"/>
    <col min="8" max="8" width="12" bestFit="1" customWidth="1"/>
    <col min="10" max="10" width="21.81640625" bestFit="1" customWidth="1"/>
    <col min="11" max="11" width="26" bestFit="1" customWidth="1"/>
    <col min="12" max="12" width="18.6328125" bestFit="1" customWidth="1"/>
    <col min="15" max="15" width="21" bestFit="1" customWidth="1"/>
    <col min="16" max="18" width="4.08984375" bestFit="1" customWidth="1"/>
    <col min="19" max="19" width="12" bestFit="1" customWidth="1"/>
    <col min="21" max="21" width="21.81640625" bestFit="1" customWidth="1"/>
    <col min="22" max="22" width="24.1796875" bestFit="1" customWidth="1"/>
    <col min="23" max="24" width="4.08984375" bestFit="1" customWidth="1"/>
    <col min="25" max="25" width="12" bestFit="1" customWidth="1"/>
    <col min="26" max="26" width="26" bestFit="1" customWidth="1"/>
    <col min="27" max="27" width="21.81640625" bestFit="1" customWidth="1"/>
    <col min="28" max="28" width="24.1796875" bestFit="1" customWidth="1"/>
    <col min="29" max="30" width="4.08984375" bestFit="1" customWidth="1"/>
    <col min="31" max="31" width="12" bestFit="1" customWidth="1"/>
  </cols>
  <sheetData>
    <row r="2" spans="1:46" ht="15.5" x14ac:dyDescent="0.35">
      <c r="A2" s="10" t="s">
        <v>1016</v>
      </c>
      <c r="B2" s="10"/>
      <c r="E2" s="11" t="s">
        <v>1018</v>
      </c>
      <c r="F2" s="11"/>
      <c r="G2" s="11"/>
      <c r="H2" s="11"/>
    </row>
    <row r="3" spans="1:46" x14ac:dyDescent="0.35">
      <c r="F3" s="7"/>
    </row>
    <row r="4" spans="1:46" x14ac:dyDescent="0.35">
      <c r="A4" s="1" t="s">
        <v>1014</v>
      </c>
      <c r="B4" t="s">
        <v>1015</v>
      </c>
      <c r="E4" s="1" t="s">
        <v>1536</v>
      </c>
      <c r="F4" s="1" t="s">
        <v>1019</v>
      </c>
      <c r="O4" s="1" t="s">
        <v>736</v>
      </c>
      <c r="P4" s="1" t="s">
        <v>1019</v>
      </c>
      <c r="U4" s="1" t="s">
        <v>736</v>
      </c>
      <c r="V4" s="1" t="s">
        <v>1017</v>
      </c>
      <c r="AA4" s="1" t="s">
        <v>1535</v>
      </c>
      <c r="AB4" s="1" t="s">
        <v>1017</v>
      </c>
      <c r="AH4" t="s">
        <v>1020</v>
      </c>
      <c r="AI4" t="s">
        <v>1017</v>
      </c>
    </row>
    <row r="5" spans="1:46" x14ac:dyDescent="0.35">
      <c r="A5" s="2" t="s">
        <v>47</v>
      </c>
      <c r="B5" s="3">
        <v>23.116666666666671</v>
      </c>
      <c r="E5" s="1" t="s">
        <v>1535</v>
      </c>
      <c r="F5" t="s">
        <v>748</v>
      </c>
      <c r="G5" t="s">
        <v>742</v>
      </c>
      <c r="H5" t="s">
        <v>1006</v>
      </c>
      <c r="J5" s="1" t="s">
        <v>1535</v>
      </c>
      <c r="K5" t="s">
        <v>1537</v>
      </c>
      <c r="L5" t="s">
        <v>1538</v>
      </c>
      <c r="O5" s="1" t="s">
        <v>1535</v>
      </c>
      <c r="P5" t="s">
        <v>1012</v>
      </c>
      <c r="Q5" t="s">
        <v>1007</v>
      </c>
      <c r="R5" t="s">
        <v>1010</v>
      </c>
      <c r="S5" t="s">
        <v>1006</v>
      </c>
      <c r="U5" s="1" t="s">
        <v>737</v>
      </c>
      <c r="V5" t="s">
        <v>1012</v>
      </c>
      <c r="W5" t="s">
        <v>1007</v>
      </c>
      <c r="X5" t="s">
        <v>1010</v>
      </c>
      <c r="Y5" t="s">
        <v>1006</v>
      </c>
      <c r="AA5" s="1" t="s">
        <v>737</v>
      </c>
      <c r="AB5" t="s">
        <v>1012</v>
      </c>
      <c r="AC5" t="s">
        <v>1007</v>
      </c>
      <c r="AD5" t="s">
        <v>1010</v>
      </c>
      <c r="AE5" t="s">
        <v>1006</v>
      </c>
      <c r="AH5" t="s">
        <v>1005</v>
      </c>
      <c r="AI5" t="s">
        <v>748</v>
      </c>
      <c r="AJ5" t="s">
        <v>742</v>
      </c>
      <c r="AK5" t="s">
        <v>1006</v>
      </c>
      <c r="AM5" t="s">
        <v>1005</v>
      </c>
      <c r="AN5" t="s">
        <v>1020</v>
      </c>
      <c r="AP5" t="s">
        <v>1534</v>
      </c>
      <c r="AQ5" t="s">
        <v>1533</v>
      </c>
      <c r="AR5" t="s">
        <v>1532</v>
      </c>
    </row>
    <row r="6" spans="1:46" x14ac:dyDescent="0.35">
      <c r="A6" s="2" t="s">
        <v>84</v>
      </c>
      <c r="B6" s="3">
        <v>12.499999999999998</v>
      </c>
      <c r="E6" s="2" t="s">
        <v>47</v>
      </c>
      <c r="F6" s="3">
        <v>12</v>
      </c>
      <c r="G6" s="3">
        <v>3</v>
      </c>
      <c r="H6" s="3">
        <v>15</v>
      </c>
      <c r="J6" s="2" t="s">
        <v>47</v>
      </c>
      <c r="K6" s="3">
        <v>22</v>
      </c>
      <c r="L6" s="3">
        <v>26</v>
      </c>
      <c r="O6" s="2" t="s">
        <v>47</v>
      </c>
      <c r="P6" s="3">
        <v>9</v>
      </c>
      <c r="Q6" s="3">
        <v>5</v>
      </c>
      <c r="R6" s="3">
        <v>8</v>
      </c>
      <c r="S6" s="3">
        <v>22</v>
      </c>
      <c r="U6" s="2" t="s">
        <v>1013</v>
      </c>
      <c r="V6" s="3">
        <v>33</v>
      </c>
      <c r="W6" s="3">
        <v>51</v>
      </c>
      <c r="X6" s="3">
        <v>38</v>
      </c>
      <c r="Y6" s="3">
        <v>122</v>
      </c>
      <c r="AA6" s="2" t="s">
        <v>47</v>
      </c>
      <c r="AB6" s="3"/>
      <c r="AC6" s="3"/>
      <c r="AD6" s="3"/>
      <c r="AE6" s="3"/>
      <c r="AH6" t="s">
        <v>47</v>
      </c>
      <c r="AI6">
        <v>12</v>
      </c>
      <c r="AJ6">
        <v>3</v>
      </c>
      <c r="AK6">
        <v>15</v>
      </c>
      <c r="AM6" t="s">
        <v>47</v>
      </c>
      <c r="AN6">
        <v>22</v>
      </c>
      <c r="AP6">
        <f>(AK6/AN6)</f>
        <v>0.68181818181818177</v>
      </c>
      <c r="AQ6" s="3">
        <v>26</v>
      </c>
      <c r="AR6">
        <f>ROUNDUP((AP6*AQ6),0)</f>
        <v>18</v>
      </c>
      <c r="AT6" s="9">
        <f>AVERAGE(AP6:AP31)</f>
        <v>0.69390369251166872</v>
      </c>
    </row>
    <row r="7" spans="1:46" x14ac:dyDescent="0.35">
      <c r="A7" s="2" t="s">
        <v>50</v>
      </c>
      <c r="B7" s="3">
        <v>24.133333333333329</v>
      </c>
      <c r="E7" s="2" t="s">
        <v>84</v>
      </c>
      <c r="F7" s="3">
        <v>6</v>
      </c>
      <c r="G7" s="3">
        <v>4</v>
      </c>
      <c r="H7" s="3">
        <v>10</v>
      </c>
      <c r="J7" s="2" t="s">
        <v>84</v>
      </c>
      <c r="K7" s="3">
        <v>13</v>
      </c>
      <c r="L7" s="3">
        <v>21</v>
      </c>
      <c r="O7" s="2" t="s">
        <v>84</v>
      </c>
      <c r="P7" s="3">
        <v>4</v>
      </c>
      <c r="Q7" s="3">
        <v>2</v>
      </c>
      <c r="R7" s="3">
        <v>7</v>
      </c>
      <c r="S7" s="3">
        <v>13</v>
      </c>
      <c r="U7" s="2" t="s">
        <v>1011</v>
      </c>
      <c r="V7" s="3">
        <v>27</v>
      </c>
      <c r="W7" s="3">
        <v>53</v>
      </c>
      <c r="X7" s="3">
        <v>26</v>
      </c>
      <c r="Y7" s="3">
        <v>106</v>
      </c>
      <c r="AA7" s="8" t="s">
        <v>1013</v>
      </c>
      <c r="AB7" s="3">
        <v>3</v>
      </c>
      <c r="AC7" s="3"/>
      <c r="AD7" s="3">
        <v>1</v>
      </c>
      <c r="AE7" s="3">
        <v>4</v>
      </c>
      <c r="AH7" t="s">
        <v>84</v>
      </c>
      <c r="AI7">
        <v>6</v>
      </c>
      <c r="AJ7">
        <v>4</v>
      </c>
      <c r="AK7">
        <v>10</v>
      </c>
      <c r="AM7" t="s">
        <v>84</v>
      </c>
      <c r="AN7">
        <v>13</v>
      </c>
      <c r="AP7">
        <f t="shared" ref="AP7:AP32" si="0">(AK7/AN7)</f>
        <v>0.76923076923076927</v>
      </c>
      <c r="AQ7" s="3">
        <v>21</v>
      </c>
      <c r="AR7">
        <f t="shared" ref="AR7:AR31" si="1">ROUNDUP((AP7*AQ7),0)</f>
        <v>17</v>
      </c>
    </row>
    <row r="8" spans="1:46" x14ac:dyDescent="0.35">
      <c r="A8" s="2" t="s">
        <v>37</v>
      </c>
      <c r="B8" s="3">
        <v>16.450000000000003</v>
      </c>
      <c r="E8" s="2" t="s">
        <v>50</v>
      </c>
      <c r="F8" s="3">
        <v>4</v>
      </c>
      <c r="G8" s="3">
        <v>8</v>
      </c>
      <c r="H8" s="3">
        <v>12</v>
      </c>
      <c r="J8" s="2" t="s">
        <v>50</v>
      </c>
      <c r="K8" s="3">
        <v>19</v>
      </c>
      <c r="L8" s="3">
        <v>34</v>
      </c>
      <c r="O8" s="2" t="s">
        <v>50</v>
      </c>
      <c r="P8" s="3">
        <v>5</v>
      </c>
      <c r="Q8" s="3">
        <v>10</v>
      </c>
      <c r="R8" s="3">
        <v>4</v>
      </c>
      <c r="S8" s="3">
        <v>19</v>
      </c>
      <c r="U8" s="2" t="s">
        <v>1009</v>
      </c>
      <c r="V8" s="3">
        <v>31</v>
      </c>
      <c r="W8" s="3">
        <v>19</v>
      </c>
      <c r="X8" s="3">
        <v>32</v>
      </c>
      <c r="Y8" s="3">
        <v>82</v>
      </c>
      <c r="AA8" s="8" t="s">
        <v>1011</v>
      </c>
      <c r="AB8" s="3">
        <v>5</v>
      </c>
      <c r="AC8" s="3">
        <v>5</v>
      </c>
      <c r="AD8" s="3">
        <v>2</v>
      </c>
      <c r="AE8" s="3">
        <v>12</v>
      </c>
      <c r="AH8" t="s">
        <v>50</v>
      </c>
      <c r="AI8">
        <v>4</v>
      </c>
      <c r="AJ8">
        <v>8</v>
      </c>
      <c r="AK8">
        <v>12</v>
      </c>
      <c r="AM8" t="s">
        <v>50</v>
      </c>
      <c r="AN8">
        <v>19</v>
      </c>
      <c r="AP8">
        <f t="shared" si="0"/>
        <v>0.63157894736842102</v>
      </c>
      <c r="AQ8" s="3">
        <v>34</v>
      </c>
      <c r="AR8">
        <f t="shared" si="1"/>
        <v>22</v>
      </c>
    </row>
    <row r="9" spans="1:46" x14ac:dyDescent="0.35">
      <c r="A9" s="2" t="s">
        <v>12</v>
      </c>
      <c r="B9" s="3">
        <v>15.950000000000005</v>
      </c>
      <c r="E9" s="2" t="s">
        <v>37</v>
      </c>
      <c r="F9" s="3">
        <v>7</v>
      </c>
      <c r="G9" s="3">
        <v>5</v>
      </c>
      <c r="H9" s="3">
        <v>12</v>
      </c>
      <c r="J9" s="2" t="s">
        <v>37</v>
      </c>
      <c r="K9" s="3">
        <v>15</v>
      </c>
      <c r="L9" s="3">
        <v>32</v>
      </c>
      <c r="O9" s="2" t="s">
        <v>37</v>
      </c>
      <c r="P9" s="3">
        <v>3</v>
      </c>
      <c r="Q9" s="3">
        <v>11</v>
      </c>
      <c r="R9" s="3">
        <v>1</v>
      </c>
      <c r="S9" s="3">
        <v>15</v>
      </c>
      <c r="U9" s="2" t="s">
        <v>1008</v>
      </c>
      <c r="V9" s="3">
        <v>33</v>
      </c>
      <c r="W9" s="3">
        <v>23</v>
      </c>
      <c r="X9" s="3">
        <v>41</v>
      </c>
      <c r="Y9" s="3">
        <v>97</v>
      </c>
      <c r="AA9" s="8" t="s">
        <v>1009</v>
      </c>
      <c r="AB9" s="3">
        <v>1</v>
      </c>
      <c r="AC9" s="3"/>
      <c r="AD9" s="3">
        <v>1</v>
      </c>
      <c r="AE9" s="3">
        <v>2</v>
      </c>
      <c r="AH9" t="s">
        <v>37</v>
      </c>
      <c r="AI9">
        <v>7</v>
      </c>
      <c r="AJ9">
        <v>5</v>
      </c>
      <c r="AK9">
        <v>12</v>
      </c>
      <c r="AM9" t="s">
        <v>37</v>
      </c>
      <c r="AN9">
        <v>15</v>
      </c>
      <c r="AP9">
        <f t="shared" si="0"/>
        <v>0.8</v>
      </c>
      <c r="AQ9" s="3">
        <v>32</v>
      </c>
      <c r="AR9">
        <f t="shared" si="1"/>
        <v>26</v>
      </c>
    </row>
    <row r="10" spans="1:46" x14ac:dyDescent="0.35">
      <c r="A10" s="2" t="s">
        <v>68</v>
      </c>
      <c r="B10" s="3">
        <v>8.7166666666666668</v>
      </c>
      <c r="E10" s="2" t="s">
        <v>12</v>
      </c>
      <c r="F10" s="3">
        <v>2</v>
      </c>
      <c r="G10" s="3">
        <v>6</v>
      </c>
      <c r="H10" s="3">
        <v>8</v>
      </c>
      <c r="J10" s="2" t="s">
        <v>12</v>
      </c>
      <c r="K10" s="3">
        <v>15</v>
      </c>
      <c r="L10" s="3">
        <v>13</v>
      </c>
      <c r="O10" s="2" t="s">
        <v>12</v>
      </c>
      <c r="P10" s="3">
        <v>6</v>
      </c>
      <c r="Q10" s="3">
        <v>5</v>
      </c>
      <c r="R10" s="3">
        <v>4</v>
      </c>
      <c r="S10" s="3">
        <v>15</v>
      </c>
      <c r="U10" s="2" t="s">
        <v>1006</v>
      </c>
      <c r="V10" s="3">
        <v>124</v>
      </c>
      <c r="W10" s="3">
        <v>146</v>
      </c>
      <c r="X10" s="3">
        <v>137</v>
      </c>
      <c r="Y10" s="3">
        <v>407</v>
      </c>
      <c r="AA10" s="8" t="s">
        <v>1008</v>
      </c>
      <c r="AB10" s="3"/>
      <c r="AC10" s="3"/>
      <c r="AD10" s="3">
        <v>4</v>
      </c>
      <c r="AE10" s="3">
        <v>4</v>
      </c>
      <c r="AH10" t="s">
        <v>12</v>
      </c>
      <c r="AI10">
        <v>2</v>
      </c>
      <c r="AJ10">
        <v>6</v>
      </c>
      <c r="AK10">
        <v>8</v>
      </c>
      <c r="AM10" t="s">
        <v>12</v>
      </c>
      <c r="AN10">
        <v>15</v>
      </c>
      <c r="AP10">
        <f t="shared" si="0"/>
        <v>0.53333333333333333</v>
      </c>
      <c r="AQ10" s="3">
        <v>13</v>
      </c>
      <c r="AR10">
        <f t="shared" si="1"/>
        <v>7</v>
      </c>
    </row>
    <row r="11" spans="1:46" x14ac:dyDescent="0.35">
      <c r="A11" s="2" t="s">
        <v>43</v>
      </c>
      <c r="B11" s="3">
        <v>8.0499999999999989</v>
      </c>
      <c r="E11" s="2" t="s">
        <v>68</v>
      </c>
      <c r="F11" s="3">
        <v>4</v>
      </c>
      <c r="G11" s="3">
        <v>2</v>
      </c>
      <c r="H11" s="3">
        <v>6</v>
      </c>
      <c r="J11" s="2" t="s">
        <v>68</v>
      </c>
      <c r="K11" s="3">
        <v>6</v>
      </c>
      <c r="L11" s="3">
        <v>32</v>
      </c>
      <c r="O11" s="2" t="s">
        <v>68</v>
      </c>
      <c r="P11" s="3">
        <v>3</v>
      </c>
      <c r="Q11" s="3">
        <v>2</v>
      </c>
      <c r="R11" s="3">
        <v>1</v>
      </c>
      <c r="S11" s="3">
        <v>6</v>
      </c>
      <c r="AA11" s="2" t="s">
        <v>84</v>
      </c>
      <c r="AB11" s="3"/>
      <c r="AC11" s="3"/>
      <c r="AD11" s="3"/>
      <c r="AE11" s="3"/>
      <c r="AH11" t="s">
        <v>68</v>
      </c>
      <c r="AI11">
        <v>4</v>
      </c>
      <c r="AJ11">
        <v>2</v>
      </c>
      <c r="AK11">
        <v>6</v>
      </c>
      <c r="AM11" t="s">
        <v>68</v>
      </c>
      <c r="AN11">
        <v>6</v>
      </c>
      <c r="AP11">
        <f t="shared" si="0"/>
        <v>1</v>
      </c>
      <c r="AQ11" s="3">
        <v>32</v>
      </c>
      <c r="AR11">
        <f t="shared" si="1"/>
        <v>32</v>
      </c>
    </row>
    <row r="12" spans="1:46" x14ac:dyDescent="0.35">
      <c r="A12" s="2" t="s">
        <v>87</v>
      </c>
      <c r="B12" s="3">
        <v>16.916666666666668</v>
      </c>
      <c r="E12" s="2" t="s">
        <v>43</v>
      </c>
      <c r="F12" s="3">
        <v>4</v>
      </c>
      <c r="G12" s="3">
        <v>3</v>
      </c>
      <c r="H12" s="3">
        <v>7</v>
      </c>
      <c r="J12" s="2" t="s">
        <v>43</v>
      </c>
      <c r="K12" s="3">
        <v>9</v>
      </c>
      <c r="L12" s="3">
        <v>26</v>
      </c>
      <c r="O12" s="2" t="s">
        <v>43</v>
      </c>
      <c r="P12" s="3">
        <v>3</v>
      </c>
      <c r="Q12" s="3">
        <v>2</v>
      </c>
      <c r="R12" s="3">
        <v>4</v>
      </c>
      <c r="S12" s="3">
        <v>9</v>
      </c>
      <c r="AA12" s="8" t="s">
        <v>1013</v>
      </c>
      <c r="AB12" s="3">
        <v>1</v>
      </c>
      <c r="AC12" s="3"/>
      <c r="AD12" s="3"/>
      <c r="AE12" s="3">
        <v>1</v>
      </c>
      <c r="AH12" t="s">
        <v>43</v>
      </c>
      <c r="AI12">
        <v>4</v>
      </c>
      <c r="AJ12">
        <v>3</v>
      </c>
      <c r="AK12">
        <v>7</v>
      </c>
      <c r="AM12" t="s">
        <v>43</v>
      </c>
      <c r="AN12">
        <v>9</v>
      </c>
      <c r="AP12">
        <f t="shared" si="0"/>
        <v>0.77777777777777779</v>
      </c>
      <c r="AQ12" s="3">
        <v>26</v>
      </c>
      <c r="AR12">
        <f t="shared" si="1"/>
        <v>21</v>
      </c>
    </row>
    <row r="13" spans="1:46" x14ac:dyDescent="0.35">
      <c r="A13" s="2" t="s">
        <v>56</v>
      </c>
      <c r="B13" s="3">
        <v>5.9666666666666668</v>
      </c>
      <c r="E13" s="2" t="s">
        <v>87</v>
      </c>
      <c r="F13" s="3">
        <v>5</v>
      </c>
      <c r="G13" s="3">
        <v>5</v>
      </c>
      <c r="H13" s="3">
        <v>10</v>
      </c>
      <c r="J13" s="2" t="s">
        <v>87</v>
      </c>
      <c r="K13" s="3">
        <v>18</v>
      </c>
      <c r="L13" s="3">
        <v>22</v>
      </c>
      <c r="O13" s="2" t="s">
        <v>87</v>
      </c>
      <c r="P13" s="3">
        <v>7</v>
      </c>
      <c r="Q13" s="3">
        <v>9</v>
      </c>
      <c r="R13" s="3">
        <v>2</v>
      </c>
      <c r="S13" s="3">
        <v>18</v>
      </c>
      <c r="U13" s="1" t="s">
        <v>736</v>
      </c>
      <c r="V13" s="1" t="s">
        <v>1017</v>
      </c>
      <c r="AA13" s="8" t="s">
        <v>1011</v>
      </c>
      <c r="AB13" s="3">
        <v>2</v>
      </c>
      <c r="AC13" s="3">
        <v>1</v>
      </c>
      <c r="AD13" s="3">
        <v>3</v>
      </c>
      <c r="AE13" s="3">
        <v>6</v>
      </c>
      <c r="AH13" t="s">
        <v>87</v>
      </c>
      <c r="AI13">
        <v>5</v>
      </c>
      <c r="AJ13">
        <v>5</v>
      </c>
      <c r="AK13">
        <v>10</v>
      </c>
      <c r="AM13" t="s">
        <v>87</v>
      </c>
      <c r="AN13">
        <v>18</v>
      </c>
      <c r="AP13">
        <f t="shared" si="0"/>
        <v>0.55555555555555558</v>
      </c>
      <c r="AQ13" s="3">
        <v>22</v>
      </c>
      <c r="AR13">
        <f t="shared" si="1"/>
        <v>13</v>
      </c>
    </row>
    <row r="14" spans="1:46" x14ac:dyDescent="0.35">
      <c r="A14" s="2" t="s">
        <v>30</v>
      </c>
      <c r="B14" s="3">
        <v>14.049999999999999</v>
      </c>
      <c r="E14" s="2" t="s">
        <v>56</v>
      </c>
      <c r="F14" s="3">
        <v>4</v>
      </c>
      <c r="G14" s="3">
        <v>3</v>
      </c>
      <c r="H14" s="3">
        <v>7</v>
      </c>
      <c r="J14" s="2" t="s">
        <v>56</v>
      </c>
      <c r="K14" s="3">
        <v>8</v>
      </c>
      <c r="L14" s="3">
        <v>26</v>
      </c>
      <c r="O14" s="2" t="s">
        <v>56</v>
      </c>
      <c r="P14" s="3">
        <v>2</v>
      </c>
      <c r="Q14" s="3">
        <v>2</v>
      </c>
      <c r="R14" s="3">
        <v>4</v>
      </c>
      <c r="S14" s="3">
        <v>8</v>
      </c>
      <c r="U14" s="1" t="s">
        <v>1539</v>
      </c>
      <c r="V14" t="s">
        <v>1012</v>
      </c>
      <c r="W14" t="s">
        <v>1007</v>
      </c>
      <c r="X14" t="s">
        <v>1010</v>
      </c>
      <c r="Y14" t="s">
        <v>1006</v>
      </c>
      <c r="AA14" s="8" t="s">
        <v>1009</v>
      </c>
      <c r="AB14" s="3">
        <v>1</v>
      </c>
      <c r="AC14" s="3">
        <v>1</v>
      </c>
      <c r="AD14" s="3">
        <v>1</v>
      </c>
      <c r="AE14" s="3">
        <v>3</v>
      </c>
      <c r="AH14" t="s">
        <v>56</v>
      </c>
      <c r="AI14">
        <v>4</v>
      </c>
      <c r="AJ14">
        <v>3</v>
      </c>
      <c r="AK14">
        <v>7</v>
      </c>
      <c r="AM14" t="s">
        <v>56</v>
      </c>
      <c r="AN14">
        <v>8</v>
      </c>
      <c r="AP14">
        <f t="shared" si="0"/>
        <v>0.875</v>
      </c>
      <c r="AQ14" s="3">
        <v>26</v>
      </c>
      <c r="AR14">
        <f t="shared" si="1"/>
        <v>23</v>
      </c>
    </row>
    <row r="15" spans="1:46" x14ac:dyDescent="0.35">
      <c r="A15" s="5" t="s">
        <v>104</v>
      </c>
      <c r="B15" s="6">
        <v>29.533333333333331</v>
      </c>
      <c r="E15" s="2" t="s">
        <v>30</v>
      </c>
      <c r="F15" s="3">
        <v>3</v>
      </c>
      <c r="G15" s="3">
        <v>6</v>
      </c>
      <c r="H15" s="3">
        <v>9</v>
      </c>
      <c r="J15" s="2" t="s">
        <v>30</v>
      </c>
      <c r="K15" s="3">
        <v>14</v>
      </c>
      <c r="L15" s="3">
        <v>26</v>
      </c>
      <c r="O15" s="2" t="s">
        <v>30</v>
      </c>
      <c r="P15" s="3">
        <v>5</v>
      </c>
      <c r="Q15" s="3">
        <v>2</v>
      </c>
      <c r="R15" s="3">
        <v>7</v>
      </c>
      <c r="S15" s="3">
        <v>14</v>
      </c>
      <c r="U15" s="2" t="s">
        <v>748</v>
      </c>
      <c r="V15" s="3">
        <v>45</v>
      </c>
      <c r="W15" s="3">
        <v>53</v>
      </c>
      <c r="X15" s="3">
        <v>41</v>
      </c>
      <c r="Y15" s="3">
        <v>139</v>
      </c>
      <c r="AA15" s="8" t="s">
        <v>1008</v>
      </c>
      <c r="AB15" s="3"/>
      <c r="AC15" s="3"/>
      <c r="AD15" s="3">
        <v>3</v>
      </c>
      <c r="AE15" s="3">
        <v>3</v>
      </c>
      <c r="AH15" t="s">
        <v>30</v>
      </c>
      <c r="AI15">
        <v>3</v>
      </c>
      <c r="AJ15">
        <v>6</v>
      </c>
      <c r="AK15">
        <v>9</v>
      </c>
      <c r="AM15" t="s">
        <v>30</v>
      </c>
      <c r="AN15">
        <v>14</v>
      </c>
      <c r="AP15">
        <f t="shared" si="0"/>
        <v>0.6428571428571429</v>
      </c>
      <c r="AQ15" s="3">
        <v>26</v>
      </c>
      <c r="AR15">
        <f t="shared" si="1"/>
        <v>17</v>
      </c>
    </row>
    <row r="16" spans="1:46" x14ac:dyDescent="0.35">
      <c r="A16" s="2" t="s">
        <v>24</v>
      </c>
      <c r="B16" s="3">
        <v>13.433333333333334</v>
      </c>
      <c r="E16" s="2" t="s">
        <v>104</v>
      </c>
      <c r="F16" s="3">
        <v>6</v>
      </c>
      <c r="G16" s="3">
        <v>8</v>
      </c>
      <c r="H16" s="3">
        <v>14</v>
      </c>
      <c r="J16" s="2" t="s">
        <v>104</v>
      </c>
      <c r="K16" s="3">
        <v>23</v>
      </c>
      <c r="L16" s="3">
        <v>20</v>
      </c>
      <c r="O16" s="2" t="s">
        <v>104</v>
      </c>
      <c r="P16" s="3">
        <v>3</v>
      </c>
      <c r="Q16" s="3">
        <v>4</v>
      </c>
      <c r="R16" s="3">
        <v>16</v>
      </c>
      <c r="S16" s="3">
        <v>23</v>
      </c>
      <c r="U16" s="2" t="s">
        <v>742</v>
      </c>
      <c r="V16" s="3">
        <v>44</v>
      </c>
      <c r="W16" s="3">
        <v>48</v>
      </c>
      <c r="X16" s="3">
        <v>44</v>
      </c>
      <c r="Y16" s="3">
        <v>136</v>
      </c>
      <c r="AA16" s="2" t="s">
        <v>50</v>
      </c>
      <c r="AB16" s="3"/>
      <c r="AC16" s="3"/>
      <c r="AD16" s="3"/>
      <c r="AE16" s="3"/>
      <c r="AH16" t="s">
        <v>104</v>
      </c>
      <c r="AI16">
        <v>6</v>
      </c>
      <c r="AJ16">
        <v>8</v>
      </c>
      <c r="AK16">
        <v>14</v>
      </c>
      <c r="AM16" t="s">
        <v>104</v>
      </c>
      <c r="AN16">
        <v>23</v>
      </c>
      <c r="AP16">
        <f t="shared" si="0"/>
        <v>0.60869565217391308</v>
      </c>
      <c r="AQ16" s="3">
        <v>20</v>
      </c>
      <c r="AR16">
        <f t="shared" si="1"/>
        <v>13</v>
      </c>
    </row>
    <row r="17" spans="1:44" x14ac:dyDescent="0.35">
      <c r="A17" s="2" t="s">
        <v>34</v>
      </c>
      <c r="B17" s="3">
        <v>17.55</v>
      </c>
      <c r="E17" s="2" t="s">
        <v>24</v>
      </c>
      <c r="F17" s="3">
        <v>4</v>
      </c>
      <c r="G17" s="3">
        <v>1</v>
      </c>
      <c r="H17" s="3">
        <v>5</v>
      </c>
      <c r="J17" s="2" t="s">
        <v>24</v>
      </c>
      <c r="K17" s="3">
        <v>14</v>
      </c>
      <c r="L17" s="3">
        <v>26</v>
      </c>
      <c r="O17" s="2" t="s">
        <v>24</v>
      </c>
      <c r="P17" s="3">
        <v>3</v>
      </c>
      <c r="Q17" s="3">
        <v>7</v>
      </c>
      <c r="R17" s="3">
        <v>4</v>
      </c>
      <c r="S17" s="3">
        <v>14</v>
      </c>
      <c r="U17" s="2" t="s">
        <v>740</v>
      </c>
      <c r="V17" s="3">
        <v>35</v>
      </c>
      <c r="W17" s="3">
        <v>45</v>
      </c>
      <c r="X17" s="3">
        <v>52</v>
      </c>
      <c r="Y17" s="3">
        <v>132</v>
      </c>
      <c r="AA17" s="8" t="s">
        <v>1013</v>
      </c>
      <c r="AB17" s="3">
        <v>3</v>
      </c>
      <c r="AC17" s="3">
        <v>8</v>
      </c>
      <c r="AD17" s="3">
        <v>3</v>
      </c>
      <c r="AE17" s="3">
        <v>14</v>
      </c>
      <c r="AH17" t="s">
        <v>24</v>
      </c>
      <c r="AI17">
        <v>4</v>
      </c>
      <c r="AJ17">
        <v>1</v>
      </c>
      <c r="AK17">
        <v>5</v>
      </c>
      <c r="AM17" t="s">
        <v>24</v>
      </c>
      <c r="AN17">
        <v>14</v>
      </c>
      <c r="AP17">
        <f t="shared" si="0"/>
        <v>0.35714285714285715</v>
      </c>
      <c r="AQ17" s="3">
        <v>26</v>
      </c>
      <c r="AR17">
        <f t="shared" si="1"/>
        <v>10</v>
      </c>
    </row>
    <row r="18" spans="1:44" x14ac:dyDescent="0.35">
      <c r="A18" s="2" t="s">
        <v>60</v>
      </c>
      <c r="B18" s="3">
        <v>19.966666666666669</v>
      </c>
      <c r="E18" s="2" t="s">
        <v>34</v>
      </c>
      <c r="F18" s="3">
        <v>5</v>
      </c>
      <c r="G18" s="3">
        <v>7</v>
      </c>
      <c r="H18" s="3">
        <v>12</v>
      </c>
      <c r="J18" s="2" t="s">
        <v>34</v>
      </c>
      <c r="K18" s="3">
        <v>18</v>
      </c>
      <c r="L18" s="3">
        <v>34</v>
      </c>
      <c r="O18" s="2" t="s">
        <v>34</v>
      </c>
      <c r="P18" s="3">
        <v>5</v>
      </c>
      <c r="Q18" s="3">
        <v>11</v>
      </c>
      <c r="R18" s="3">
        <v>2</v>
      </c>
      <c r="S18" s="3">
        <v>18</v>
      </c>
      <c r="U18" s="2" t="s">
        <v>1006</v>
      </c>
      <c r="V18" s="3">
        <v>124</v>
      </c>
      <c r="W18" s="3">
        <v>146</v>
      </c>
      <c r="X18" s="3">
        <v>137</v>
      </c>
      <c r="Y18" s="3">
        <v>407</v>
      </c>
      <c r="AA18" s="8" t="s">
        <v>1009</v>
      </c>
      <c r="AB18" s="3"/>
      <c r="AC18" s="3">
        <v>2</v>
      </c>
      <c r="AD18" s="3"/>
      <c r="AE18" s="3">
        <v>2</v>
      </c>
      <c r="AH18" t="s">
        <v>34</v>
      </c>
      <c r="AI18">
        <v>5</v>
      </c>
      <c r="AJ18">
        <v>7</v>
      </c>
      <c r="AK18">
        <v>12</v>
      </c>
      <c r="AM18" t="s">
        <v>34</v>
      </c>
      <c r="AN18">
        <v>18</v>
      </c>
      <c r="AP18">
        <f t="shared" si="0"/>
        <v>0.66666666666666663</v>
      </c>
      <c r="AQ18" s="3">
        <v>34</v>
      </c>
      <c r="AR18">
        <f t="shared" si="1"/>
        <v>23</v>
      </c>
    </row>
    <row r="19" spans="1:44" x14ac:dyDescent="0.35">
      <c r="A19" s="2" t="s">
        <v>131</v>
      </c>
      <c r="B19" s="3">
        <v>13.066666666666666</v>
      </c>
      <c r="E19" s="2" t="s">
        <v>60</v>
      </c>
      <c r="F19" s="3">
        <v>6</v>
      </c>
      <c r="G19" s="3">
        <v>8</v>
      </c>
      <c r="H19" s="3">
        <v>14</v>
      </c>
      <c r="J19" s="2" t="s">
        <v>60</v>
      </c>
      <c r="K19" s="3">
        <v>17</v>
      </c>
      <c r="L19" s="3">
        <v>21</v>
      </c>
      <c r="O19" s="2" t="s">
        <v>60</v>
      </c>
      <c r="P19" s="3">
        <v>8</v>
      </c>
      <c r="Q19" s="3">
        <v>5</v>
      </c>
      <c r="R19" s="3">
        <v>4</v>
      </c>
      <c r="S19" s="3">
        <v>17</v>
      </c>
      <c r="AA19" s="8" t="s">
        <v>1008</v>
      </c>
      <c r="AB19" s="3">
        <v>2</v>
      </c>
      <c r="AC19" s="3"/>
      <c r="AD19" s="3">
        <v>1</v>
      </c>
      <c r="AE19" s="3">
        <v>3</v>
      </c>
      <c r="AH19" t="s">
        <v>60</v>
      </c>
      <c r="AI19">
        <v>6</v>
      </c>
      <c r="AJ19">
        <v>8</v>
      </c>
      <c r="AK19">
        <v>14</v>
      </c>
      <c r="AM19" t="s">
        <v>60</v>
      </c>
      <c r="AN19">
        <v>17</v>
      </c>
      <c r="AP19">
        <f t="shared" si="0"/>
        <v>0.82352941176470584</v>
      </c>
      <c r="AQ19" s="3">
        <v>21</v>
      </c>
      <c r="AR19">
        <f t="shared" si="1"/>
        <v>18</v>
      </c>
    </row>
    <row r="20" spans="1:44" x14ac:dyDescent="0.35">
      <c r="A20" s="2" t="s">
        <v>92</v>
      </c>
      <c r="B20" s="3">
        <v>6.9499999999999993</v>
      </c>
      <c r="E20" s="2" t="s">
        <v>131</v>
      </c>
      <c r="F20" s="3">
        <v>4</v>
      </c>
      <c r="G20" s="3">
        <v>8</v>
      </c>
      <c r="H20" s="3">
        <v>12</v>
      </c>
      <c r="J20" s="2" t="s">
        <v>131</v>
      </c>
      <c r="K20" s="3">
        <v>15</v>
      </c>
      <c r="L20" s="3">
        <v>17</v>
      </c>
      <c r="O20" s="2" t="s">
        <v>131</v>
      </c>
      <c r="P20" s="3">
        <v>8</v>
      </c>
      <c r="Q20" s="3">
        <v>7</v>
      </c>
      <c r="R20" s="3"/>
      <c r="S20" s="3">
        <v>15</v>
      </c>
      <c r="AA20" s="2" t="s">
        <v>37</v>
      </c>
      <c r="AB20" s="3"/>
      <c r="AC20" s="3"/>
      <c r="AD20" s="3"/>
      <c r="AE20" s="3"/>
      <c r="AH20" t="s">
        <v>131</v>
      </c>
      <c r="AI20">
        <v>4</v>
      </c>
      <c r="AJ20">
        <v>8</v>
      </c>
      <c r="AK20">
        <v>12</v>
      </c>
      <c r="AM20" t="s">
        <v>131</v>
      </c>
      <c r="AN20">
        <v>15</v>
      </c>
      <c r="AP20">
        <f t="shared" si="0"/>
        <v>0.8</v>
      </c>
      <c r="AQ20" s="3">
        <v>17</v>
      </c>
      <c r="AR20">
        <f t="shared" si="1"/>
        <v>14</v>
      </c>
    </row>
    <row r="21" spans="1:44" x14ac:dyDescent="0.35">
      <c r="A21" s="2" t="s">
        <v>58</v>
      </c>
      <c r="B21" s="3">
        <v>13.783333333333333</v>
      </c>
      <c r="E21" s="2" t="s">
        <v>92</v>
      </c>
      <c r="F21" s="3">
        <v>4</v>
      </c>
      <c r="G21" s="3">
        <v>3</v>
      </c>
      <c r="H21" s="3">
        <v>7</v>
      </c>
      <c r="J21" s="2" t="s">
        <v>92</v>
      </c>
      <c r="K21" s="3">
        <v>9</v>
      </c>
      <c r="L21" s="3">
        <v>31</v>
      </c>
      <c r="O21" s="2" t="s">
        <v>92</v>
      </c>
      <c r="P21" s="3">
        <v>1</v>
      </c>
      <c r="Q21" s="3">
        <v>6</v>
      </c>
      <c r="R21" s="3">
        <v>2</v>
      </c>
      <c r="S21" s="3">
        <v>9</v>
      </c>
      <c r="U21" s="1" t="s">
        <v>736</v>
      </c>
      <c r="V21" s="1" t="s">
        <v>1017</v>
      </c>
      <c r="AA21" s="8" t="s">
        <v>1013</v>
      </c>
      <c r="AB21" s="3">
        <v>1</v>
      </c>
      <c r="AC21" s="3">
        <v>3</v>
      </c>
      <c r="AD21" s="3"/>
      <c r="AE21" s="3">
        <v>4</v>
      </c>
      <c r="AH21" t="s">
        <v>92</v>
      </c>
      <c r="AI21">
        <v>4</v>
      </c>
      <c r="AJ21">
        <v>3</v>
      </c>
      <c r="AK21">
        <v>7</v>
      </c>
      <c r="AM21" t="s">
        <v>92</v>
      </c>
      <c r="AN21">
        <v>9</v>
      </c>
      <c r="AP21">
        <f t="shared" si="0"/>
        <v>0.77777777777777779</v>
      </c>
      <c r="AQ21" s="3">
        <v>31</v>
      </c>
      <c r="AR21">
        <f t="shared" si="1"/>
        <v>25</v>
      </c>
    </row>
    <row r="22" spans="1:44" x14ac:dyDescent="0.35">
      <c r="A22" s="2" t="s">
        <v>19</v>
      </c>
      <c r="B22" s="3">
        <v>16.600000000000001</v>
      </c>
      <c r="E22" s="2" t="s">
        <v>58</v>
      </c>
      <c r="F22" s="3">
        <v>8</v>
      </c>
      <c r="G22" s="3">
        <v>3</v>
      </c>
      <c r="H22" s="3">
        <v>11</v>
      </c>
      <c r="J22" s="2" t="s">
        <v>58</v>
      </c>
      <c r="K22" s="3">
        <v>14</v>
      </c>
      <c r="L22" s="3">
        <v>26</v>
      </c>
      <c r="O22" s="2" t="s">
        <v>58</v>
      </c>
      <c r="P22" s="3"/>
      <c r="Q22" s="3">
        <v>7</v>
      </c>
      <c r="R22" s="3">
        <v>7</v>
      </c>
      <c r="S22" s="3">
        <v>14</v>
      </c>
      <c r="U22" s="1" t="s">
        <v>1540</v>
      </c>
      <c r="V22" t="s">
        <v>1012</v>
      </c>
      <c r="W22" t="s">
        <v>1007</v>
      </c>
      <c r="X22" t="s">
        <v>1010</v>
      </c>
      <c r="Y22" t="s">
        <v>1006</v>
      </c>
      <c r="AA22" s="8" t="s">
        <v>1011</v>
      </c>
      <c r="AB22" s="3">
        <v>1</v>
      </c>
      <c r="AC22" s="3">
        <v>6</v>
      </c>
      <c r="AD22" s="3">
        <v>1</v>
      </c>
      <c r="AE22" s="3">
        <v>8</v>
      </c>
      <c r="AH22" t="s">
        <v>58</v>
      </c>
      <c r="AI22">
        <v>8</v>
      </c>
      <c r="AJ22">
        <v>3</v>
      </c>
      <c r="AK22">
        <v>11</v>
      </c>
      <c r="AM22" t="s">
        <v>58</v>
      </c>
      <c r="AN22">
        <v>14</v>
      </c>
      <c r="AP22">
        <f t="shared" si="0"/>
        <v>0.7857142857142857</v>
      </c>
      <c r="AQ22" s="3">
        <v>26</v>
      </c>
      <c r="AR22">
        <f t="shared" si="1"/>
        <v>21</v>
      </c>
    </row>
    <row r="23" spans="1:44" x14ac:dyDescent="0.35">
      <c r="A23" s="2" t="s">
        <v>41</v>
      </c>
      <c r="B23" s="3">
        <v>28.850000000000005</v>
      </c>
      <c r="E23" s="2" t="s">
        <v>19</v>
      </c>
      <c r="F23" s="3">
        <v>5</v>
      </c>
      <c r="G23" s="3">
        <v>3</v>
      </c>
      <c r="H23" s="3">
        <v>8</v>
      </c>
      <c r="J23" s="2" t="s">
        <v>19</v>
      </c>
      <c r="K23" s="3">
        <v>14</v>
      </c>
      <c r="L23" s="3">
        <v>27</v>
      </c>
      <c r="O23" s="2" t="s">
        <v>19</v>
      </c>
      <c r="P23" s="3">
        <v>2</v>
      </c>
      <c r="Q23" s="3">
        <v>3</v>
      </c>
      <c r="R23" s="3">
        <v>9</v>
      </c>
      <c r="S23" s="3">
        <v>14</v>
      </c>
      <c r="U23" s="2" t="s">
        <v>1529</v>
      </c>
      <c r="V23" s="3">
        <v>2</v>
      </c>
      <c r="W23" s="3">
        <v>1</v>
      </c>
      <c r="X23" s="3">
        <v>1</v>
      </c>
      <c r="Y23" s="3">
        <v>4</v>
      </c>
      <c r="AA23" s="8" t="s">
        <v>1009</v>
      </c>
      <c r="AB23" s="3">
        <v>1</v>
      </c>
      <c r="AC23" s="3"/>
      <c r="AD23" s="3"/>
      <c r="AE23" s="3">
        <v>1</v>
      </c>
      <c r="AH23" t="s">
        <v>19</v>
      </c>
      <c r="AI23">
        <v>5</v>
      </c>
      <c r="AJ23">
        <v>3</v>
      </c>
      <c r="AK23">
        <v>8</v>
      </c>
      <c r="AM23" t="s">
        <v>19</v>
      </c>
      <c r="AN23">
        <v>14</v>
      </c>
      <c r="AP23">
        <f t="shared" si="0"/>
        <v>0.5714285714285714</v>
      </c>
      <c r="AQ23" s="3">
        <v>27</v>
      </c>
      <c r="AR23">
        <f t="shared" si="1"/>
        <v>16</v>
      </c>
    </row>
    <row r="24" spans="1:44" x14ac:dyDescent="0.35">
      <c r="A24" s="2" t="s">
        <v>66</v>
      </c>
      <c r="B24" s="3">
        <v>23.316666666666663</v>
      </c>
      <c r="E24" s="2" t="s">
        <v>41</v>
      </c>
      <c r="F24" s="3">
        <v>8</v>
      </c>
      <c r="G24" s="3">
        <v>9</v>
      </c>
      <c r="H24" s="3">
        <v>17</v>
      </c>
      <c r="J24" s="2" t="s">
        <v>41</v>
      </c>
      <c r="K24" s="3">
        <v>30</v>
      </c>
      <c r="L24" s="3">
        <v>29</v>
      </c>
      <c r="O24" s="2" t="s">
        <v>41</v>
      </c>
      <c r="P24" s="3">
        <v>10</v>
      </c>
      <c r="Q24" s="3">
        <v>6</v>
      </c>
      <c r="R24" s="3">
        <v>14</v>
      </c>
      <c r="S24" s="3">
        <v>30</v>
      </c>
      <c r="U24" s="2" t="s">
        <v>1530</v>
      </c>
      <c r="V24" s="3">
        <v>61</v>
      </c>
      <c r="W24" s="3">
        <v>66</v>
      </c>
      <c r="X24" s="3">
        <v>59</v>
      </c>
      <c r="Y24" s="3">
        <v>186</v>
      </c>
      <c r="AA24" s="8" t="s">
        <v>1008</v>
      </c>
      <c r="AB24" s="3"/>
      <c r="AC24" s="3">
        <v>2</v>
      </c>
      <c r="AD24" s="3"/>
      <c r="AE24" s="3">
        <v>2</v>
      </c>
      <c r="AH24" t="s">
        <v>41</v>
      </c>
      <c r="AI24">
        <v>8</v>
      </c>
      <c r="AJ24">
        <v>9</v>
      </c>
      <c r="AK24">
        <v>17</v>
      </c>
      <c r="AM24" t="s">
        <v>41</v>
      </c>
      <c r="AN24">
        <v>30</v>
      </c>
      <c r="AP24">
        <f t="shared" si="0"/>
        <v>0.56666666666666665</v>
      </c>
      <c r="AQ24" s="3">
        <v>29</v>
      </c>
      <c r="AR24">
        <f t="shared" si="1"/>
        <v>17</v>
      </c>
    </row>
    <row r="25" spans="1:44" x14ac:dyDescent="0.35">
      <c r="A25" s="2" t="s">
        <v>27</v>
      </c>
      <c r="B25" s="3">
        <v>12.35</v>
      </c>
      <c r="E25" s="2" t="s">
        <v>66</v>
      </c>
      <c r="F25" s="3">
        <v>9</v>
      </c>
      <c r="G25" s="3">
        <v>10</v>
      </c>
      <c r="H25" s="3">
        <v>19</v>
      </c>
      <c r="J25" s="2" t="s">
        <v>66</v>
      </c>
      <c r="K25" s="3">
        <v>23</v>
      </c>
      <c r="L25" s="3">
        <v>25</v>
      </c>
      <c r="O25" s="2" t="s">
        <v>66</v>
      </c>
      <c r="P25" s="3">
        <v>3</v>
      </c>
      <c r="Q25" s="3">
        <v>12</v>
      </c>
      <c r="R25" s="3">
        <v>8</v>
      </c>
      <c r="S25" s="3">
        <v>23</v>
      </c>
      <c r="U25" s="2" t="s">
        <v>1531</v>
      </c>
      <c r="V25" s="3">
        <v>61</v>
      </c>
      <c r="W25" s="3">
        <v>79</v>
      </c>
      <c r="X25" s="3">
        <v>77</v>
      </c>
      <c r="Y25" s="3">
        <v>217</v>
      </c>
      <c r="AA25" s="2" t="s">
        <v>12</v>
      </c>
      <c r="AB25" s="3"/>
      <c r="AC25" s="3"/>
      <c r="AD25" s="3"/>
      <c r="AE25" s="3"/>
      <c r="AH25" t="s">
        <v>66</v>
      </c>
      <c r="AI25">
        <v>9</v>
      </c>
      <c r="AJ25">
        <v>10</v>
      </c>
      <c r="AK25">
        <v>19</v>
      </c>
      <c r="AM25" t="s">
        <v>66</v>
      </c>
      <c r="AN25">
        <v>23</v>
      </c>
      <c r="AP25">
        <f t="shared" si="0"/>
        <v>0.82608695652173914</v>
      </c>
      <c r="AQ25" s="3">
        <v>25</v>
      </c>
      <c r="AR25">
        <f t="shared" si="1"/>
        <v>21</v>
      </c>
    </row>
    <row r="26" spans="1:44" x14ac:dyDescent="0.35">
      <c r="A26" s="2" t="s">
        <v>110</v>
      </c>
      <c r="B26" s="3">
        <v>27.099999999999998</v>
      </c>
      <c r="E26" s="2" t="s">
        <v>27</v>
      </c>
      <c r="F26" s="3">
        <v>5</v>
      </c>
      <c r="G26" s="3">
        <v>3</v>
      </c>
      <c r="H26" s="3">
        <v>8</v>
      </c>
      <c r="J26" s="2" t="s">
        <v>27</v>
      </c>
      <c r="K26" s="3">
        <v>12</v>
      </c>
      <c r="L26" s="3">
        <v>32</v>
      </c>
      <c r="O26" s="2" t="s">
        <v>27</v>
      </c>
      <c r="P26" s="3">
        <v>3</v>
      </c>
      <c r="Q26" s="3">
        <v>6</v>
      </c>
      <c r="R26" s="3">
        <v>3</v>
      </c>
      <c r="S26" s="3">
        <v>12</v>
      </c>
      <c r="U26" s="2" t="s">
        <v>1006</v>
      </c>
      <c r="V26" s="3">
        <v>124</v>
      </c>
      <c r="W26" s="3">
        <v>146</v>
      </c>
      <c r="X26" s="3">
        <v>137</v>
      </c>
      <c r="Y26" s="3">
        <v>407</v>
      </c>
      <c r="AA26" s="8" t="s">
        <v>1013</v>
      </c>
      <c r="AB26" s="3"/>
      <c r="AC26" s="3"/>
      <c r="AD26" s="3">
        <v>2</v>
      </c>
      <c r="AE26" s="3">
        <v>2</v>
      </c>
      <c r="AH26" t="s">
        <v>27</v>
      </c>
      <c r="AI26">
        <v>5</v>
      </c>
      <c r="AJ26">
        <v>3</v>
      </c>
      <c r="AK26">
        <v>8</v>
      </c>
      <c r="AM26" t="s">
        <v>27</v>
      </c>
      <c r="AN26">
        <v>12</v>
      </c>
      <c r="AP26">
        <f t="shared" si="0"/>
        <v>0.66666666666666663</v>
      </c>
      <c r="AQ26" s="3">
        <v>32</v>
      </c>
      <c r="AR26">
        <f t="shared" si="1"/>
        <v>22</v>
      </c>
    </row>
    <row r="27" spans="1:44" x14ac:dyDescent="0.35">
      <c r="A27" s="2" t="s">
        <v>16</v>
      </c>
      <c r="B27" s="3">
        <v>15.466666666666665</v>
      </c>
      <c r="E27" s="2" t="s">
        <v>110</v>
      </c>
      <c r="F27" s="3">
        <v>7</v>
      </c>
      <c r="G27" s="3">
        <v>8</v>
      </c>
      <c r="H27" s="3">
        <v>15</v>
      </c>
      <c r="J27" s="2" t="s">
        <v>110</v>
      </c>
      <c r="K27" s="3">
        <v>23</v>
      </c>
      <c r="L27" s="3">
        <v>22</v>
      </c>
      <c r="O27" s="2" t="s">
        <v>110</v>
      </c>
      <c r="P27" s="3">
        <v>16</v>
      </c>
      <c r="Q27" s="3">
        <v>2</v>
      </c>
      <c r="R27" s="3">
        <v>5</v>
      </c>
      <c r="S27" s="3">
        <v>23</v>
      </c>
      <c r="AA27" s="8" t="s">
        <v>1011</v>
      </c>
      <c r="AB27" s="3">
        <v>4</v>
      </c>
      <c r="AC27" s="3">
        <v>4</v>
      </c>
      <c r="AD27" s="3"/>
      <c r="AE27" s="3">
        <v>8</v>
      </c>
      <c r="AH27" t="s">
        <v>110</v>
      </c>
      <c r="AI27">
        <v>7</v>
      </c>
      <c r="AJ27">
        <v>8</v>
      </c>
      <c r="AK27">
        <v>15</v>
      </c>
      <c r="AM27" t="s">
        <v>110</v>
      </c>
      <c r="AN27">
        <v>23</v>
      </c>
      <c r="AP27">
        <f t="shared" si="0"/>
        <v>0.65217391304347827</v>
      </c>
      <c r="AQ27" s="3">
        <v>22</v>
      </c>
      <c r="AR27">
        <f t="shared" si="1"/>
        <v>15</v>
      </c>
    </row>
    <row r="28" spans="1:44" x14ac:dyDescent="0.35">
      <c r="A28" s="2" t="s">
        <v>123</v>
      </c>
      <c r="B28" s="3">
        <v>16.833333333333336</v>
      </c>
      <c r="E28" s="2" t="s">
        <v>16</v>
      </c>
      <c r="F28" s="3">
        <v>5</v>
      </c>
      <c r="G28" s="3">
        <v>5</v>
      </c>
      <c r="H28" s="3">
        <v>10</v>
      </c>
      <c r="J28" s="2" t="s">
        <v>16</v>
      </c>
      <c r="K28" s="3">
        <v>13</v>
      </c>
      <c r="L28" s="3">
        <v>28</v>
      </c>
      <c r="O28" s="2" t="s">
        <v>16</v>
      </c>
      <c r="P28" s="3">
        <v>5</v>
      </c>
      <c r="Q28" s="3">
        <v>4</v>
      </c>
      <c r="R28" s="3">
        <v>4</v>
      </c>
      <c r="S28" s="3">
        <v>13</v>
      </c>
      <c r="AA28" s="8" t="s">
        <v>1009</v>
      </c>
      <c r="AB28" s="3">
        <v>2</v>
      </c>
      <c r="AC28" s="3">
        <v>1</v>
      </c>
      <c r="AD28" s="3">
        <v>1</v>
      </c>
      <c r="AE28" s="3">
        <v>4</v>
      </c>
      <c r="AH28" t="s">
        <v>16</v>
      </c>
      <c r="AI28">
        <v>5</v>
      </c>
      <c r="AJ28">
        <v>5</v>
      </c>
      <c r="AK28">
        <v>10</v>
      </c>
      <c r="AM28" t="s">
        <v>16</v>
      </c>
      <c r="AN28">
        <v>13</v>
      </c>
      <c r="AP28">
        <f t="shared" si="0"/>
        <v>0.76923076923076927</v>
      </c>
      <c r="AQ28" s="3">
        <v>28</v>
      </c>
      <c r="AR28">
        <f t="shared" si="1"/>
        <v>22</v>
      </c>
    </row>
    <row r="29" spans="1:44" x14ac:dyDescent="0.35">
      <c r="A29" s="2" t="s">
        <v>144</v>
      </c>
      <c r="B29" s="3">
        <v>15.166666666666664</v>
      </c>
      <c r="E29" s="2" t="s">
        <v>123</v>
      </c>
      <c r="F29" s="3">
        <v>3</v>
      </c>
      <c r="G29" s="3">
        <v>5</v>
      </c>
      <c r="H29" s="3">
        <v>8</v>
      </c>
      <c r="J29" s="2" t="s">
        <v>123</v>
      </c>
      <c r="K29" s="3">
        <v>15</v>
      </c>
      <c r="L29" s="3">
        <v>26</v>
      </c>
      <c r="O29" s="2" t="s">
        <v>123</v>
      </c>
      <c r="P29" s="3">
        <v>3</v>
      </c>
      <c r="Q29" s="3">
        <v>7</v>
      </c>
      <c r="R29" s="3">
        <v>5</v>
      </c>
      <c r="S29" s="3">
        <v>15</v>
      </c>
      <c r="U29" s="1" t="s">
        <v>1539</v>
      </c>
      <c r="V29" s="1" t="s">
        <v>736</v>
      </c>
      <c r="AA29" s="8" t="s">
        <v>1008</v>
      </c>
      <c r="AB29" s="3"/>
      <c r="AC29" s="3"/>
      <c r="AD29" s="3">
        <v>1</v>
      </c>
      <c r="AE29" s="3">
        <v>1</v>
      </c>
      <c r="AH29" t="s">
        <v>123</v>
      </c>
      <c r="AI29">
        <v>3</v>
      </c>
      <c r="AJ29">
        <v>5</v>
      </c>
      <c r="AK29">
        <v>8</v>
      </c>
      <c r="AM29" t="s">
        <v>123</v>
      </c>
      <c r="AN29">
        <v>15</v>
      </c>
      <c r="AP29">
        <f t="shared" si="0"/>
        <v>0.53333333333333333</v>
      </c>
      <c r="AQ29" s="3">
        <v>26</v>
      </c>
      <c r="AR29">
        <f t="shared" si="1"/>
        <v>14</v>
      </c>
    </row>
    <row r="30" spans="1:44" x14ac:dyDescent="0.35">
      <c r="A30" s="2" t="s">
        <v>82</v>
      </c>
      <c r="B30" s="3">
        <v>13.333333333333332</v>
      </c>
      <c r="E30" s="2" t="s">
        <v>144</v>
      </c>
      <c r="F30" s="3">
        <v>5</v>
      </c>
      <c r="G30" s="3">
        <v>5</v>
      </c>
      <c r="H30" s="3">
        <v>10</v>
      </c>
      <c r="J30" s="2" t="s">
        <v>144</v>
      </c>
      <c r="K30" s="3">
        <v>13</v>
      </c>
      <c r="L30" s="3">
        <v>26</v>
      </c>
      <c r="O30" s="2" t="s">
        <v>144</v>
      </c>
      <c r="P30" s="3">
        <v>2</v>
      </c>
      <c r="Q30" s="3">
        <v>4</v>
      </c>
      <c r="R30" s="3">
        <v>7</v>
      </c>
      <c r="S30" s="3">
        <v>13</v>
      </c>
      <c r="U30" s="1" t="s">
        <v>737</v>
      </c>
      <c r="V30" t="s">
        <v>1012</v>
      </c>
      <c r="W30" t="s">
        <v>1007</v>
      </c>
      <c r="X30" t="s">
        <v>1010</v>
      </c>
      <c r="Y30" t="s">
        <v>1006</v>
      </c>
      <c r="AA30" s="2" t="s">
        <v>68</v>
      </c>
      <c r="AB30" s="3"/>
      <c r="AC30" s="3"/>
      <c r="AD30" s="3"/>
      <c r="AE30" s="3"/>
      <c r="AH30" t="s">
        <v>144</v>
      </c>
      <c r="AI30">
        <v>5</v>
      </c>
      <c r="AJ30">
        <v>5</v>
      </c>
      <c r="AK30">
        <v>10</v>
      </c>
      <c r="AM30" t="s">
        <v>144</v>
      </c>
      <c r="AN30">
        <v>13</v>
      </c>
      <c r="AP30">
        <f t="shared" si="0"/>
        <v>0.76923076923076927</v>
      </c>
      <c r="AQ30" s="3">
        <v>26</v>
      </c>
      <c r="AR30">
        <f t="shared" si="1"/>
        <v>20</v>
      </c>
    </row>
    <row r="31" spans="1:44" x14ac:dyDescent="0.35">
      <c r="A31" s="2" t="s">
        <v>1006</v>
      </c>
      <c r="B31" s="3">
        <v>429.14999999999981</v>
      </c>
      <c r="E31" s="2" t="s">
        <v>82</v>
      </c>
      <c r="F31" s="3">
        <v>4</v>
      </c>
      <c r="G31" s="3">
        <v>5</v>
      </c>
      <c r="H31" s="3">
        <v>9</v>
      </c>
      <c r="J31" s="2" t="s">
        <v>82</v>
      </c>
      <c r="K31" s="3">
        <v>15</v>
      </c>
      <c r="L31" s="3">
        <v>25</v>
      </c>
      <c r="O31" s="2" t="s">
        <v>82</v>
      </c>
      <c r="P31" s="3">
        <v>5</v>
      </c>
      <c r="Q31" s="3">
        <v>5</v>
      </c>
      <c r="R31" s="3">
        <v>5</v>
      </c>
      <c r="S31" s="3">
        <v>15</v>
      </c>
      <c r="U31" s="2" t="s">
        <v>748</v>
      </c>
      <c r="V31" s="3"/>
      <c r="W31" s="3"/>
      <c r="X31" s="3"/>
      <c r="Y31" s="3"/>
      <c r="AA31" s="8" t="s">
        <v>1011</v>
      </c>
      <c r="AB31" s="3"/>
      <c r="AC31" s="3">
        <v>1</v>
      </c>
      <c r="AD31" s="3">
        <v>1</v>
      </c>
      <c r="AE31" s="3">
        <v>2</v>
      </c>
      <c r="AH31" t="s">
        <v>82</v>
      </c>
      <c r="AI31">
        <v>4</v>
      </c>
      <c r="AJ31">
        <v>5</v>
      </c>
      <c r="AK31">
        <v>9</v>
      </c>
      <c r="AM31" t="s">
        <v>82</v>
      </c>
      <c r="AN31">
        <v>15</v>
      </c>
      <c r="AP31">
        <f t="shared" si="0"/>
        <v>0.6</v>
      </c>
      <c r="AQ31" s="3">
        <v>25</v>
      </c>
      <c r="AR31">
        <f t="shared" si="1"/>
        <v>15</v>
      </c>
    </row>
    <row r="32" spans="1:44" x14ac:dyDescent="0.35">
      <c r="E32" s="2" t="s">
        <v>1006</v>
      </c>
      <c r="F32" s="3">
        <v>139</v>
      </c>
      <c r="G32" s="3">
        <v>136</v>
      </c>
      <c r="H32" s="3">
        <v>275</v>
      </c>
      <c r="J32" s="2" t="s">
        <v>1006</v>
      </c>
      <c r="K32" s="3">
        <v>407</v>
      </c>
      <c r="L32" s="3">
        <v>673</v>
      </c>
      <c r="O32" s="2" t="s">
        <v>1006</v>
      </c>
      <c r="P32" s="3">
        <v>124</v>
      </c>
      <c r="Q32" s="3">
        <v>146</v>
      </c>
      <c r="R32" s="3">
        <v>137</v>
      </c>
      <c r="S32" s="3">
        <v>407</v>
      </c>
      <c r="U32" s="8" t="s">
        <v>1013</v>
      </c>
      <c r="V32" s="3">
        <v>15</v>
      </c>
      <c r="W32" s="3">
        <v>14</v>
      </c>
      <c r="X32" s="3">
        <v>8</v>
      </c>
      <c r="Y32" s="3">
        <v>37</v>
      </c>
      <c r="AA32" s="8" t="s">
        <v>1009</v>
      </c>
      <c r="AB32" s="3">
        <v>3</v>
      </c>
      <c r="AC32" s="3"/>
      <c r="AD32" s="3"/>
      <c r="AE32" s="3">
        <v>3</v>
      </c>
      <c r="AH32" t="s">
        <v>1006</v>
      </c>
      <c r="AI32">
        <v>139</v>
      </c>
      <c r="AJ32">
        <v>136</v>
      </c>
      <c r="AK32">
        <v>275</v>
      </c>
      <c r="AM32" t="s">
        <v>1006</v>
      </c>
      <c r="AN32">
        <v>407</v>
      </c>
      <c r="AP32">
        <f t="shared" si="0"/>
        <v>0.67567567567567566</v>
      </c>
      <c r="AQ32">
        <f>+SUM(AQ6:AQ31)</f>
        <v>673</v>
      </c>
      <c r="AR32">
        <f t="shared" ref="AR32" si="2">AP32*AQ32</f>
        <v>454.72972972972974</v>
      </c>
    </row>
    <row r="33" spans="21:31" x14ac:dyDescent="0.35">
      <c r="U33" s="8" t="s">
        <v>1011</v>
      </c>
      <c r="V33" s="3">
        <v>8</v>
      </c>
      <c r="W33" s="3">
        <v>19</v>
      </c>
      <c r="X33" s="3">
        <v>12</v>
      </c>
      <c r="Y33" s="3">
        <v>39</v>
      </c>
      <c r="AA33" s="8" t="s">
        <v>1008</v>
      </c>
      <c r="AB33" s="3"/>
      <c r="AC33" s="3">
        <v>1</v>
      </c>
      <c r="AD33" s="3"/>
      <c r="AE33" s="3">
        <v>1</v>
      </c>
    </row>
    <row r="34" spans="21:31" x14ac:dyDescent="0.35">
      <c r="U34" s="8" t="s">
        <v>1009</v>
      </c>
      <c r="V34" s="3">
        <v>12</v>
      </c>
      <c r="W34" s="3">
        <v>10</v>
      </c>
      <c r="X34" s="3">
        <v>9</v>
      </c>
      <c r="Y34" s="3">
        <v>31</v>
      </c>
      <c r="AA34" s="2" t="s">
        <v>43</v>
      </c>
      <c r="AB34" s="3"/>
      <c r="AC34" s="3"/>
      <c r="AD34" s="3"/>
      <c r="AE34" s="3"/>
    </row>
    <row r="35" spans="21:31" x14ac:dyDescent="0.35">
      <c r="U35" s="8" t="s">
        <v>1008</v>
      </c>
      <c r="V35" s="3">
        <v>10</v>
      </c>
      <c r="W35" s="3">
        <v>10</v>
      </c>
      <c r="X35" s="3">
        <v>12</v>
      </c>
      <c r="Y35" s="3">
        <v>32</v>
      </c>
      <c r="AA35" s="8" t="s">
        <v>1013</v>
      </c>
      <c r="AB35" s="3"/>
      <c r="AC35" s="3"/>
      <c r="AD35" s="3">
        <v>1</v>
      </c>
      <c r="AE35" s="3">
        <v>1</v>
      </c>
    </row>
    <row r="36" spans="21:31" x14ac:dyDescent="0.35">
      <c r="U36" s="2" t="s">
        <v>742</v>
      </c>
      <c r="V36" s="3"/>
      <c r="W36" s="3"/>
      <c r="X36" s="3"/>
      <c r="Y36" s="3"/>
      <c r="AA36" s="8" t="s">
        <v>1011</v>
      </c>
      <c r="AB36" s="3">
        <v>1</v>
      </c>
      <c r="AC36" s="3">
        <v>2</v>
      </c>
      <c r="AD36" s="3">
        <v>3</v>
      </c>
      <c r="AE36" s="3">
        <v>6</v>
      </c>
    </row>
    <row r="37" spans="21:31" x14ac:dyDescent="0.35">
      <c r="U37" s="8" t="s">
        <v>1013</v>
      </c>
      <c r="V37" s="3">
        <v>11</v>
      </c>
      <c r="W37" s="3">
        <v>18</v>
      </c>
      <c r="X37" s="3">
        <v>11</v>
      </c>
      <c r="Y37" s="3">
        <v>40</v>
      </c>
      <c r="AA37" s="8" t="s">
        <v>1008</v>
      </c>
      <c r="AB37" s="3">
        <v>2</v>
      </c>
      <c r="AC37" s="3"/>
      <c r="AD37" s="3"/>
      <c r="AE37" s="3">
        <v>2</v>
      </c>
    </row>
    <row r="38" spans="21:31" x14ac:dyDescent="0.35">
      <c r="U38" s="8" t="s">
        <v>1011</v>
      </c>
      <c r="V38" s="3">
        <v>10</v>
      </c>
      <c r="W38" s="3">
        <v>21</v>
      </c>
      <c r="X38" s="3">
        <v>5</v>
      </c>
      <c r="Y38" s="3">
        <v>36</v>
      </c>
      <c r="AA38" s="2" t="s">
        <v>87</v>
      </c>
      <c r="AB38" s="3"/>
      <c r="AC38" s="3"/>
      <c r="AD38" s="3"/>
      <c r="AE38" s="3"/>
    </row>
    <row r="39" spans="21:31" x14ac:dyDescent="0.35">
      <c r="U39" s="8" t="s">
        <v>1009</v>
      </c>
      <c r="V39" s="3">
        <v>8</v>
      </c>
      <c r="W39" s="3">
        <v>2</v>
      </c>
      <c r="X39" s="3">
        <v>12</v>
      </c>
      <c r="Y39" s="3">
        <v>22</v>
      </c>
      <c r="AA39" s="8" t="s">
        <v>1013</v>
      </c>
      <c r="AB39" s="3">
        <v>5</v>
      </c>
      <c r="AC39" s="3">
        <v>4</v>
      </c>
      <c r="AD39" s="3">
        <v>2</v>
      </c>
      <c r="AE39" s="3">
        <v>11</v>
      </c>
    </row>
    <row r="40" spans="21:31" x14ac:dyDescent="0.35">
      <c r="U40" s="8" t="s">
        <v>1008</v>
      </c>
      <c r="V40" s="3">
        <v>15</v>
      </c>
      <c r="W40" s="3">
        <v>7</v>
      </c>
      <c r="X40" s="3">
        <v>16</v>
      </c>
      <c r="Y40" s="3">
        <v>38</v>
      </c>
      <c r="AA40" s="8" t="s">
        <v>1011</v>
      </c>
      <c r="AB40" s="3"/>
      <c r="AC40" s="3">
        <v>1</v>
      </c>
      <c r="AD40" s="3"/>
      <c r="AE40" s="3">
        <v>1</v>
      </c>
    </row>
    <row r="41" spans="21:31" x14ac:dyDescent="0.35">
      <c r="U41" s="2" t="s">
        <v>740</v>
      </c>
      <c r="V41" s="3"/>
      <c r="W41" s="3"/>
      <c r="X41" s="3"/>
      <c r="Y41" s="3"/>
      <c r="AA41" s="8" t="s">
        <v>1009</v>
      </c>
      <c r="AB41" s="3">
        <v>2</v>
      </c>
      <c r="AC41" s="3">
        <v>1</v>
      </c>
      <c r="AD41" s="3"/>
      <c r="AE41" s="3">
        <v>3</v>
      </c>
    </row>
    <row r="42" spans="21:31" x14ac:dyDescent="0.35">
      <c r="U42" s="8" t="s">
        <v>1013</v>
      </c>
      <c r="V42" s="3">
        <v>7</v>
      </c>
      <c r="W42" s="3">
        <v>19</v>
      </c>
      <c r="X42" s="3">
        <v>19</v>
      </c>
      <c r="Y42" s="3">
        <v>45</v>
      </c>
      <c r="AA42" s="8" t="s">
        <v>1008</v>
      </c>
      <c r="AB42" s="3"/>
      <c r="AC42" s="3">
        <v>3</v>
      </c>
      <c r="AD42" s="3"/>
      <c r="AE42" s="3">
        <v>3</v>
      </c>
    </row>
    <row r="43" spans="21:31" x14ac:dyDescent="0.35">
      <c r="U43" s="8" t="s">
        <v>1011</v>
      </c>
      <c r="V43" s="3">
        <v>9</v>
      </c>
      <c r="W43" s="3">
        <v>13</v>
      </c>
      <c r="X43" s="3">
        <v>9</v>
      </c>
      <c r="Y43" s="3">
        <v>31</v>
      </c>
      <c r="AA43" s="2" t="s">
        <v>56</v>
      </c>
      <c r="AB43" s="3"/>
      <c r="AC43" s="3"/>
      <c r="AD43" s="3"/>
      <c r="AE43" s="3"/>
    </row>
    <row r="44" spans="21:31" x14ac:dyDescent="0.35">
      <c r="U44" s="8" t="s">
        <v>1009</v>
      </c>
      <c r="V44" s="3">
        <v>11</v>
      </c>
      <c r="W44" s="3">
        <v>7</v>
      </c>
      <c r="X44" s="3">
        <v>11</v>
      </c>
      <c r="Y44" s="3">
        <v>29</v>
      </c>
      <c r="AA44" s="8" t="s">
        <v>1013</v>
      </c>
      <c r="AB44" s="3">
        <v>2</v>
      </c>
      <c r="AC44" s="3"/>
      <c r="AD44" s="3"/>
      <c r="AE44" s="3">
        <v>2</v>
      </c>
    </row>
    <row r="45" spans="21:31" x14ac:dyDescent="0.35">
      <c r="U45" s="8" t="s">
        <v>1008</v>
      </c>
      <c r="V45" s="3">
        <v>8</v>
      </c>
      <c r="W45" s="3">
        <v>6</v>
      </c>
      <c r="X45" s="3">
        <v>13</v>
      </c>
      <c r="Y45" s="3">
        <v>27</v>
      </c>
      <c r="AA45" s="8" t="s">
        <v>1011</v>
      </c>
      <c r="AB45" s="3"/>
      <c r="AC45" s="3">
        <v>2</v>
      </c>
      <c r="AD45" s="3">
        <v>2</v>
      </c>
      <c r="AE45" s="3">
        <v>4</v>
      </c>
    </row>
    <row r="46" spans="21:31" x14ac:dyDescent="0.35">
      <c r="U46" s="2" t="s">
        <v>1006</v>
      </c>
      <c r="V46" s="3">
        <v>124</v>
      </c>
      <c r="W46" s="3">
        <v>146</v>
      </c>
      <c r="X46" s="3">
        <v>137</v>
      </c>
      <c r="Y46" s="3">
        <v>407</v>
      </c>
      <c r="AA46" s="8" t="s">
        <v>1008</v>
      </c>
      <c r="AB46" s="3"/>
      <c r="AC46" s="3"/>
      <c r="AD46" s="3">
        <v>2</v>
      </c>
      <c r="AE46" s="3">
        <v>2</v>
      </c>
    </row>
    <row r="47" spans="21:31" x14ac:dyDescent="0.35">
      <c r="AA47" s="2" t="s">
        <v>30</v>
      </c>
      <c r="AB47" s="3"/>
      <c r="AC47" s="3"/>
      <c r="AD47" s="3"/>
      <c r="AE47" s="3"/>
    </row>
    <row r="48" spans="21:31" x14ac:dyDescent="0.35">
      <c r="AA48" s="8" t="s">
        <v>1013</v>
      </c>
      <c r="AB48" s="3"/>
      <c r="AC48" s="3">
        <v>2</v>
      </c>
      <c r="AD48" s="3"/>
      <c r="AE48" s="3">
        <v>2</v>
      </c>
    </row>
    <row r="49" spans="27:31" x14ac:dyDescent="0.35">
      <c r="AA49" s="8" t="s">
        <v>1011</v>
      </c>
      <c r="AB49" s="3">
        <v>1</v>
      </c>
      <c r="AC49" s="3"/>
      <c r="AD49" s="3"/>
      <c r="AE49" s="3">
        <v>1</v>
      </c>
    </row>
    <row r="50" spans="27:31" x14ac:dyDescent="0.35">
      <c r="AA50" s="8" t="s">
        <v>1009</v>
      </c>
      <c r="AB50" s="3">
        <v>1</v>
      </c>
      <c r="AC50" s="3"/>
      <c r="AD50" s="3">
        <v>3</v>
      </c>
      <c r="AE50" s="3">
        <v>4</v>
      </c>
    </row>
    <row r="51" spans="27:31" x14ac:dyDescent="0.35">
      <c r="AA51" s="8" t="s">
        <v>1008</v>
      </c>
      <c r="AB51" s="3">
        <v>3</v>
      </c>
      <c r="AC51" s="3"/>
      <c r="AD51" s="3">
        <v>4</v>
      </c>
      <c r="AE51" s="3">
        <v>7</v>
      </c>
    </row>
    <row r="52" spans="27:31" x14ac:dyDescent="0.35">
      <c r="AA52" s="2" t="s">
        <v>104</v>
      </c>
      <c r="AB52" s="3"/>
      <c r="AC52" s="3"/>
      <c r="AD52" s="3"/>
      <c r="AE52" s="3"/>
    </row>
    <row r="53" spans="27:31" x14ac:dyDescent="0.35">
      <c r="AA53" s="8" t="s">
        <v>1013</v>
      </c>
      <c r="AB53" s="3"/>
      <c r="AC53" s="3"/>
      <c r="AD53" s="3">
        <v>8</v>
      </c>
      <c r="AE53" s="3">
        <v>8</v>
      </c>
    </row>
    <row r="54" spans="27:31" x14ac:dyDescent="0.35">
      <c r="AA54" s="8" t="s">
        <v>1011</v>
      </c>
      <c r="AB54" s="3"/>
      <c r="AC54" s="3">
        <v>3</v>
      </c>
      <c r="AD54" s="3">
        <v>1</v>
      </c>
      <c r="AE54" s="3">
        <v>4</v>
      </c>
    </row>
    <row r="55" spans="27:31" x14ac:dyDescent="0.35">
      <c r="AA55" s="8" t="s">
        <v>1009</v>
      </c>
      <c r="AB55" s="3">
        <v>3</v>
      </c>
      <c r="AC55" s="3">
        <v>1</v>
      </c>
      <c r="AD55" s="3">
        <v>3</v>
      </c>
      <c r="AE55" s="3">
        <v>7</v>
      </c>
    </row>
    <row r="56" spans="27:31" x14ac:dyDescent="0.35">
      <c r="AA56" s="8" t="s">
        <v>1008</v>
      </c>
      <c r="AB56" s="3"/>
      <c r="AC56" s="3"/>
      <c r="AD56" s="3">
        <v>4</v>
      </c>
      <c r="AE56" s="3">
        <v>4</v>
      </c>
    </row>
    <row r="57" spans="27:31" x14ac:dyDescent="0.35">
      <c r="AA57" s="2" t="s">
        <v>24</v>
      </c>
      <c r="AB57" s="3"/>
      <c r="AC57" s="3"/>
      <c r="AD57" s="3"/>
      <c r="AE57" s="3"/>
    </row>
    <row r="58" spans="27:31" x14ac:dyDescent="0.35">
      <c r="AA58" s="8" t="s">
        <v>1013</v>
      </c>
      <c r="AB58" s="3"/>
      <c r="AC58" s="3">
        <v>1</v>
      </c>
      <c r="AD58" s="3">
        <v>3</v>
      </c>
      <c r="AE58" s="3">
        <v>4</v>
      </c>
    </row>
    <row r="59" spans="27:31" x14ac:dyDescent="0.35">
      <c r="AA59" s="8" t="s">
        <v>1011</v>
      </c>
      <c r="AB59" s="3"/>
      <c r="AC59" s="3">
        <v>3</v>
      </c>
      <c r="AD59" s="3">
        <v>1</v>
      </c>
      <c r="AE59" s="3">
        <v>4</v>
      </c>
    </row>
    <row r="60" spans="27:31" x14ac:dyDescent="0.35">
      <c r="AA60" s="8" t="s">
        <v>1009</v>
      </c>
      <c r="AB60" s="3"/>
      <c r="AC60" s="3">
        <v>3</v>
      </c>
      <c r="AD60" s="3"/>
      <c r="AE60" s="3">
        <v>3</v>
      </c>
    </row>
    <row r="61" spans="27:31" x14ac:dyDescent="0.35">
      <c r="AA61" s="8" t="s">
        <v>1008</v>
      </c>
      <c r="AB61" s="3">
        <v>3</v>
      </c>
      <c r="AC61" s="3"/>
      <c r="AD61" s="3"/>
      <c r="AE61" s="3">
        <v>3</v>
      </c>
    </row>
    <row r="62" spans="27:31" x14ac:dyDescent="0.35">
      <c r="AA62" s="2" t="s">
        <v>34</v>
      </c>
      <c r="AB62" s="3"/>
      <c r="AC62" s="3"/>
      <c r="AD62" s="3"/>
      <c r="AE62" s="3"/>
    </row>
    <row r="63" spans="27:31" x14ac:dyDescent="0.35">
      <c r="AA63" s="8" t="s">
        <v>1013</v>
      </c>
      <c r="AB63" s="3"/>
      <c r="AC63" s="3">
        <v>3</v>
      </c>
      <c r="AD63" s="3"/>
      <c r="AE63" s="3">
        <v>3</v>
      </c>
    </row>
    <row r="64" spans="27:31" x14ac:dyDescent="0.35">
      <c r="AA64" s="8" t="s">
        <v>1011</v>
      </c>
      <c r="AB64" s="3"/>
      <c r="AC64" s="3">
        <v>6</v>
      </c>
      <c r="AD64" s="3"/>
      <c r="AE64" s="3">
        <v>6</v>
      </c>
    </row>
    <row r="65" spans="27:31" x14ac:dyDescent="0.35">
      <c r="AA65" s="8" t="s">
        <v>1009</v>
      </c>
      <c r="AB65" s="3">
        <v>5</v>
      </c>
      <c r="AC65" s="3"/>
      <c r="AD65" s="3">
        <v>2</v>
      </c>
      <c r="AE65" s="3">
        <v>7</v>
      </c>
    </row>
    <row r="66" spans="27:31" x14ac:dyDescent="0.35">
      <c r="AA66" s="8" t="s">
        <v>1008</v>
      </c>
      <c r="AB66" s="3"/>
      <c r="AC66" s="3">
        <v>2</v>
      </c>
      <c r="AD66" s="3"/>
      <c r="AE66" s="3">
        <v>2</v>
      </c>
    </row>
    <row r="67" spans="27:31" x14ac:dyDescent="0.35">
      <c r="AA67" s="2" t="s">
        <v>60</v>
      </c>
      <c r="AB67" s="3"/>
      <c r="AC67" s="3"/>
      <c r="AD67" s="3"/>
      <c r="AE67" s="3"/>
    </row>
    <row r="68" spans="27:31" x14ac:dyDescent="0.35">
      <c r="AA68" s="8" t="s">
        <v>1013</v>
      </c>
      <c r="AB68" s="3">
        <v>1</v>
      </c>
      <c r="AC68" s="3">
        <v>1</v>
      </c>
      <c r="AD68" s="3"/>
      <c r="AE68" s="3">
        <v>2</v>
      </c>
    </row>
    <row r="69" spans="27:31" x14ac:dyDescent="0.35">
      <c r="AA69" s="8" t="s">
        <v>1011</v>
      </c>
      <c r="AB69" s="3">
        <v>2</v>
      </c>
      <c r="AC69" s="3">
        <v>2</v>
      </c>
      <c r="AD69" s="3"/>
      <c r="AE69" s="3">
        <v>4</v>
      </c>
    </row>
    <row r="70" spans="27:31" x14ac:dyDescent="0.35">
      <c r="AA70" s="8" t="s">
        <v>1009</v>
      </c>
      <c r="AB70" s="3">
        <v>3</v>
      </c>
      <c r="AC70" s="3">
        <v>2</v>
      </c>
      <c r="AD70" s="3">
        <v>2</v>
      </c>
      <c r="AE70" s="3">
        <v>7</v>
      </c>
    </row>
    <row r="71" spans="27:31" x14ac:dyDescent="0.35">
      <c r="AA71" s="8" t="s">
        <v>1008</v>
      </c>
      <c r="AB71" s="3">
        <v>2</v>
      </c>
      <c r="AC71" s="3"/>
      <c r="AD71" s="3">
        <v>2</v>
      </c>
      <c r="AE71" s="3">
        <v>4</v>
      </c>
    </row>
    <row r="72" spans="27:31" x14ac:dyDescent="0.35">
      <c r="AA72" s="2" t="s">
        <v>131</v>
      </c>
      <c r="AB72" s="3"/>
      <c r="AC72" s="3"/>
      <c r="AD72" s="3"/>
      <c r="AE72" s="3"/>
    </row>
    <row r="73" spans="27:31" x14ac:dyDescent="0.35">
      <c r="AA73" s="8" t="s">
        <v>1013</v>
      </c>
      <c r="AB73" s="3">
        <v>3</v>
      </c>
      <c r="AC73" s="3">
        <v>5</v>
      </c>
      <c r="AD73" s="3"/>
      <c r="AE73" s="3">
        <v>8</v>
      </c>
    </row>
    <row r="74" spans="27:31" x14ac:dyDescent="0.35">
      <c r="AA74" s="8" t="s">
        <v>1011</v>
      </c>
      <c r="AB74" s="3">
        <v>1</v>
      </c>
      <c r="AC74" s="3"/>
      <c r="AD74" s="3"/>
      <c r="AE74" s="3">
        <v>1</v>
      </c>
    </row>
    <row r="75" spans="27:31" x14ac:dyDescent="0.35">
      <c r="AA75" s="8" t="s">
        <v>1009</v>
      </c>
      <c r="AB75" s="3">
        <v>1</v>
      </c>
      <c r="AC75" s="3"/>
      <c r="AD75" s="3"/>
      <c r="AE75" s="3">
        <v>1</v>
      </c>
    </row>
    <row r="76" spans="27:31" x14ac:dyDescent="0.35">
      <c r="AA76" s="8" t="s">
        <v>1008</v>
      </c>
      <c r="AB76" s="3">
        <v>3</v>
      </c>
      <c r="AC76" s="3">
        <v>2</v>
      </c>
      <c r="AD76" s="3"/>
      <c r="AE76" s="3">
        <v>5</v>
      </c>
    </row>
    <row r="77" spans="27:31" x14ac:dyDescent="0.35">
      <c r="AA77" s="2" t="s">
        <v>92</v>
      </c>
      <c r="AB77" s="3"/>
      <c r="AC77" s="3"/>
      <c r="AD77" s="3"/>
      <c r="AE77" s="3"/>
    </row>
    <row r="78" spans="27:31" x14ac:dyDescent="0.35">
      <c r="AA78" s="8" t="s">
        <v>1011</v>
      </c>
      <c r="AB78" s="3"/>
      <c r="AC78" s="3">
        <v>5</v>
      </c>
      <c r="AD78" s="3"/>
      <c r="AE78" s="3">
        <v>5</v>
      </c>
    </row>
    <row r="79" spans="27:31" x14ac:dyDescent="0.35">
      <c r="AA79" s="8" t="s">
        <v>1009</v>
      </c>
      <c r="AB79" s="3"/>
      <c r="AC79" s="3">
        <v>1</v>
      </c>
      <c r="AD79" s="3"/>
      <c r="AE79" s="3">
        <v>1</v>
      </c>
    </row>
    <row r="80" spans="27:31" x14ac:dyDescent="0.35">
      <c r="AA80" s="8" t="s">
        <v>1008</v>
      </c>
      <c r="AB80" s="3">
        <v>1</v>
      </c>
      <c r="AC80" s="3"/>
      <c r="AD80" s="3">
        <v>2</v>
      </c>
      <c r="AE80" s="3">
        <v>3</v>
      </c>
    </row>
    <row r="81" spans="27:31" x14ac:dyDescent="0.35">
      <c r="AA81" s="2" t="s">
        <v>58</v>
      </c>
      <c r="AB81" s="3"/>
      <c r="AC81" s="3"/>
      <c r="AD81" s="3"/>
      <c r="AE81" s="3"/>
    </row>
    <row r="82" spans="27:31" x14ac:dyDescent="0.35">
      <c r="AA82" s="8" t="s">
        <v>1013</v>
      </c>
      <c r="AB82" s="3"/>
      <c r="AC82" s="3">
        <v>3</v>
      </c>
      <c r="AD82" s="3">
        <v>4</v>
      </c>
      <c r="AE82" s="3">
        <v>7</v>
      </c>
    </row>
    <row r="83" spans="27:31" x14ac:dyDescent="0.35">
      <c r="AA83" s="8" t="s">
        <v>1011</v>
      </c>
      <c r="AB83" s="3"/>
      <c r="AC83" s="3">
        <v>3</v>
      </c>
      <c r="AD83" s="3"/>
      <c r="AE83" s="3">
        <v>3</v>
      </c>
    </row>
    <row r="84" spans="27:31" x14ac:dyDescent="0.35">
      <c r="AA84" s="8" t="s">
        <v>1009</v>
      </c>
      <c r="AB84" s="3"/>
      <c r="AC84" s="3">
        <v>1</v>
      </c>
      <c r="AD84" s="3">
        <v>1</v>
      </c>
      <c r="AE84" s="3">
        <v>2</v>
      </c>
    </row>
    <row r="85" spans="27:31" x14ac:dyDescent="0.35">
      <c r="AA85" s="8" t="s">
        <v>1008</v>
      </c>
      <c r="AB85" s="3"/>
      <c r="AC85" s="3"/>
      <c r="AD85" s="3">
        <v>2</v>
      </c>
      <c r="AE85" s="3">
        <v>2</v>
      </c>
    </row>
    <row r="86" spans="27:31" x14ac:dyDescent="0.35">
      <c r="AA86" s="2" t="s">
        <v>19</v>
      </c>
      <c r="AB86" s="3"/>
      <c r="AC86" s="3"/>
      <c r="AD86" s="3"/>
      <c r="AE86" s="3"/>
    </row>
    <row r="87" spans="27:31" x14ac:dyDescent="0.35">
      <c r="AA87" s="8" t="s">
        <v>1013</v>
      </c>
      <c r="AB87" s="3">
        <v>2</v>
      </c>
      <c r="AC87" s="3">
        <v>1</v>
      </c>
      <c r="AD87" s="3">
        <v>4</v>
      </c>
      <c r="AE87" s="3">
        <v>7</v>
      </c>
    </row>
    <row r="88" spans="27:31" x14ac:dyDescent="0.35">
      <c r="AA88" s="8" t="s">
        <v>1011</v>
      </c>
      <c r="AB88" s="3"/>
      <c r="AC88" s="3"/>
      <c r="AD88" s="3">
        <v>4</v>
      </c>
      <c r="AE88" s="3">
        <v>4</v>
      </c>
    </row>
    <row r="89" spans="27:31" x14ac:dyDescent="0.35">
      <c r="AA89" s="8" t="s">
        <v>1009</v>
      </c>
      <c r="AB89" s="3"/>
      <c r="AC89" s="3"/>
      <c r="AD89" s="3">
        <v>1</v>
      </c>
      <c r="AE89" s="3">
        <v>1</v>
      </c>
    </row>
    <row r="90" spans="27:31" x14ac:dyDescent="0.35">
      <c r="AA90" s="8" t="s">
        <v>1008</v>
      </c>
      <c r="AB90" s="3"/>
      <c r="AC90" s="3">
        <v>2</v>
      </c>
      <c r="AD90" s="3"/>
      <c r="AE90" s="3">
        <v>2</v>
      </c>
    </row>
    <row r="91" spans="27:31" x14ac:dyDescent="0.35">
      <c r="AA91" s="2" t="s">
        <v>41</v>
      </c>
      <c r="AB91" s="3"/>
      <c r="AC91" s="3"/>
      <c r="AD91" s="3"/>
      <c r="AE91" s="3"/>
    </row>
    <row r="92" spans="27:31" x14ac:dyDescent="0.35">
      <c r="AA92" s="8" t="s">
        <v>1013</v>
      </c>
      <c r="AB92" s="3">
        <v>2</v>
      </c>
      <c r="AC92" s="3">
        <v>5</v>
      </c>
      <c r="AD92" s="3"/>
      <c r="AE92" s="3">
        <v>7</v>
      </c>
    </row>
    <row r="93" spans="27:31" x14ac:dyDescent="0.35">
      <c r="AA93" s="8" t="s">
        <v>1011</v>
      </c>
      <c r="AB93" s="3">
        <v>2</v>
      </c>
      <c r="AC93" s="3">
        <v>1</v>
      </c>
      <c r="AD93" s="3">
        <v>5</v>
      </c>
      <c r="AE93" s="3">
        <v>8</v>
      </c>
    </row>
    <row r="94" spans="27:31" x14ac:dyDescent="0.35">
      <c r="AA94" s="8" t="s">
        <v>1009</v>
      </c>
      <c r="AB94" s="3"/>
      <c r="AC94" s="3"/>
      <c r="AD94" s="3">
        <v>4</v>
      </c>
      <c r="AE94" s="3">
        <v>4</v>
      </c>
    </row>
    <row r="95" spans="27:31" x14ac:dyDescent="0.35">
      <c r="AA95" s="8" t="s">
        <v>1008</v>
      </c>
      <c r="AB95" s="3">
        <v>6</v>
      </c>
      <c r="AC95" s="3"/>
      <c r="AD95" s="3">
        <v>5</v>
      </c>
      <c r="AE95" s="3">
        <v>11</v>
      </c>
    </row>
    <row r="96" spans="27:31" x14ac:dyDescent="0.35">
      <c r="AA96" s="2" t="s">
        <v>66</v>
      </c>
      <c r="AB96" s="3"/>
      <c r="AC96" s="3"/>
      <c r="AD96" s="3"/>
      <c r="AE96" s="3"/>
    </row>
    <row r="97" spans="27:31" x14ac:dyDescent="0.35">
      <c r="AA97" s="8" t="s">
        <v>1013</v>
      </c>
      <c r="AB97" s="3"/>
      <c r="AC97" s="3">
        <v>8</v>
      </c>
      <c r="AD97" s="3"/>
      <c r="AE97" s="3">
        <v>8</v>
      </c>
    </row>
    <row r="98" spans="27:31" x14ac:dyDescent="0.35">
      <c r="AA98" s="8" t="s">
        <v>1011</v>
      </c>
      <c r="AB98" s="3"/>
      <c r="AC98" s="3"/>
      <c r="AD98" s="3">
        <v>1</v>
      </c>
      <c r="AE98" s="3">
        <v>1</v>
      </c>
    </row>
    <row r="99" spans="27:31" x14ac:dyDescent="0.35">
      <c r="AA99" s="8" t="s">
        <v>1009</v>
      </c>
      <c r="AB99" s="3"/>
      <c r="AC99" s="3">
        <v>1</v>
      </c>
      <c r="AD99" s="3">
        <v>4</v>
      </c>
      <c r="AE99" s="3">
        <v>5</v>
      </c>
    </row>
    <row r="100" spans="27:31" x14ac:dyDescent="0.35">
      <c r="AA100" s="8" t="s">
        <v>1008</v>
      </c>
      <c r="AB100" s="3">
        <v>3</v>
      </c>
      <c r="AC100" s="3">
        <v>3</v>
      </c>
      <c r="AD100" s="3">
        <v>3</v>
      </c>
      <c r="AE100" s="3">
        <v>9</v>
      </c>
    </row>
    <row r="101" spans="27:31" x14ac:dyDescent="0.35">
      <c r="AA101" s="2" t="s">
        <v>27</v>
      </c>
      <c r="AB101" s="3"/>
      <c r="AC101" s="3"/>
      <c r="AD101" s="3"/>
      <c r="AE101" s="3"/>
    </row>
    <row r="102" spans="27:31" x14ac:dyDescent="0.35">
      <c r="AA102" s="8" t="s">
        <v>1013</v>
      </c>
      <c r="AB102" s="3">
        <v>2</v>
      </c>
      <c r="AC102" s="3">
        <v>1</v>
      </c>
      <c r="AD102" s="3">
        <v>1</v>
      </c>
      <c r="AE102" s="3">
        <v>4</v>
      </c>
    </row>
    <row r="103" spans="27:31" x14ac:dyDescent="0.35">
      <c r="AA103" s="8" t="s">
        <v>1011</v>
      </c>
      <c r="AB103" s="3"/>
      <c r="AC103" s="3"/>
      <c r="AD103" s="3">
        <v>1</v>
      </c>
      <c r="AE103" s="3">
        <v>1</v>
      </c>
    </row>
    <row r="104" spans="27:31" x14ac:dyDescent="0.35">
      <c r="AA104" s="8" t="s">
        <v>1009</v>
      </c>
      <c r="AB104" s="3"/>
      <c r="AC104" s="3">
        <v>2</v>
      </c>
      <c r="AD104" s="3"/>
      <c r="AE104" s="3">
        <v>2</v>
      </c>
    </row>
    <row r="105" spans="27:31" x14ac:dyDescent="0.35">
      <c r="AA105" s="8" t="s">
        <v>1008</v>
      </c>
      <c r="AB105" s="3">
        <v>1</v>
      </c>
      <c r="AC105" s="3">
        <v>3</v>
      </c>
      <c r="AD105" s="3">
        <v>1</v>
      </c>
      <c r="AE105" s="3">
        <v>5</v>
      </c>
    </row>
    <row r="106" spans="27:31" x14ac:dyDescent="0.35">
      <c r="AA106" s="2" t="s">
        <v>110</v>
      </c>
      <c r="AB106" s="3"/>
      <c r="AC106" s="3"/>
      <c r="AD106" s="3"/>
      <c r="AE106" s="3"/>
    </row>
    <row r="107" spans="27:31" x14ac:dyDescent="0.35">
      <c r="AA107" s="8" t="s">
        <v>1013</v>
      </c>
      <c r="AB107" s="3">
        <v>4</v>
      </c>
      <c r="AC107" s="3"/>
      <c r="AD107" s="3">
        <v>2</v>
      </c>
      <c r="AE107" s="3">
        <v>6</v>
      </c>
    </row>
    <row r="108" spans="27:31" x14ac:dyDescent="0.35">
      <c r="AA108" s="8" t="s">
        <v>1011</v>
      </c>
      <c r="AB108" s="3">
        <v>3</v>
      </c>
      <c r="AC108" s="3">
        <v>2</v>
      </c>
      <c r="AD108" s="3"/>
      <c r="AE108" s="3">
        <v>5</v>
      </c>
    </row>
    <row r="109" spans="27:31" x14ac:dyDescent="0.35">
      <c r="AA109" s="8" t="s">
        <v>1009</v>
      </c>
      <c r="AB109" s="3">
        <v>7</v>
      </c>
      <c r="AC109" s="3"/>
      <c r="AD109" s="3">
        <v>3</v>
      </c>
      <c r="AE109" s="3">
        <v>10</v>
      </c>
    </row>
    <row r="110" spans="27:31" x14ac:dyDescent="0.35">
      <c r="AA110" s="8" t="s">
        <v>1008</v>
      </c>
      <c r="AB110" s="3">
        <v>2</v>
      </c>
      <c r="AC110" s="3"/>
      <c r="AD110" s="3"/>
      <c r="AE110" s="3">
        <v>2</v>
      </c>
    </row>
    <row r="111" spans="27:31" x14ac:dyDescent="0.35">
      <c r="AA111" s="2" t="s">
        <v>16</v>
      </c>
      <c r="AB111" s="3"/>
      <c r="AC111" s="3"/>
      <c r="AD111" s="3"/>
      <c r="AE111" s="3"/>
    </row>
    <row r="112" spans="27:31" x14ac:dyDescent="0.35">
      <c r="AA112" s="8" t="s">
        <v>1013</v>
      </c>
      <c r="AB112" s="3">
        <v>2</v>
      </c>
      <c r="AC112" s="3"/>
      <c r="AD112" s="3">
        <v>1</v>
      </c>
      <c r="AE112" s="3">
        <v>3</v>
      </c>
    </row>
    <row r="113" spans="27:31" x14ac:dyDescent="0.35">
      <c r="AA113" s="8" t="s">
        <v>1011</v>
      </c>
      <c r="AB113" s="3">
        <v>2</v>
      </c>
      <c r="AC113" s="3">
        <v>3</v>
      </c>
      <c r="AD113" s="3"/>
      <c r="AE113" s="3">
        <v>5</v>
      </c>
    </row>
    <row r="114" spans="27:31" x14ac:dyDescent="0.35">
      <c r="AA114" s="8" t="s">
        <v>1009</v>
      </c>
      <c r="AB114" s="3"/>
      <c r="AC114" s="3"/>
      <c r="AD114" s="3">
        <v>2</v>
      </c>
      <c r="AE114" s="3">
        <v>2</v>
      </c>
    </row>
    <row r="115" spans="27:31" x14ac:dyDescent="0.35">
      <c r="AA115" s="8" t="s">
        <v>1008</v>
      </c>
      <c r="AB115" s="3">
        <v>1</v>
      </c>
      <c r="AC115" s="3">
        <v>1</v>
      </c>
      <c r="AD115" s="3">
        <v>1</v>
      </c>
      <c r="AE115" s="3">
        <v>3</v>
      </c>
    </row>
    <row r="116" spans="27:31" x14ac:dyDescent="0.35">
      <c r="AA116" s="2" t="s">
        <v>123</v>
      </c>
      <c r="AB116" s="3"/>
      <c r="AC116" s="3"/>
      <c r="AD116" s="3"/>
      <c r="AE116" s="3"/>
    </row>
    <row r="117" spans="27:31" x14ac:dyDescent="0.35">
      <c r="AA117" s="8" t="s">
        <v>1013</v>
      </c>
      <c r="AB117" s="3"/>
      <c r="AC117" s="3">
        <v>4</v>
      </c>
      <c r="AD117" s="3">
        <v>2</v>
      </c>
      <c r="AE117" s="3">
        <v>6</v>
      </c>
    </row>
    <row r="118" spans="27:31" x14ac:dyDescent="0.35">
      <c r="AA118" s="8" t="s">
        <v>1011</v>
      </c>
      <c r="AB118" s="3"/>
      <c r="AC118" s="3"/>
      <c r="AD118" s="3">
        <v>1</v>
      </c>
      <c r="AE118" s="3">
        <v>1</v>
      </c>
    </row>
    <row r="119" spans="27:31" x14ac:dyDescent="0.35">
      <c r="AA119" s="8" t="s">
        <v>1009</v>
      </c>
      <c r="AB119" s="3">
        <v>1</v>
      </c>
      <c r="AC119" s="3">
        <v>3</v>
      </c>
      <c r="AD119" s="3">
        <v>2</v>
      </c>
      <c r="AE119" s="3">
        <v>6</v>
      </c>
    </row>
    <row r="120" spans="27:31" x14ac:dyDescent="0.35">
      <c r="AA120" s="8" t="s">
        <v>1008</v>
      </c>
      <c r="AB120" s="3">
        <v>2</v>
      </c>
      <c r="AC120" s="3"/>
      <c r="AD120" s="3"/>
      <c r="AE120" s="3">
        <v>2</v>
      </c>
    </row>
    <row r="121" spans="27:31" x14ac:dyDescent="0.35">
      <c r="AA121" s="2" t="s">
        <v>144</v>
      </c>
      <c r="AB121" s="3"/>
      <c r="AC121" s="3"/>
      <c r="AD121" s="3"/>
      <c r="AE121" s="3"/>
    </row>
    <row r="122" spans="27:31" x14ac:dyDescent="0.35">
      <c r="AA122" s="8" t="s">
        <v>1013</v>
      </c>
      <c r="AB122" s="3">
        <v>1</v>
      </c>
      <c r="AC122" s="3">
        <v>2</v>
      </c>
      <c r="AD122" s="3">
        <v>3</v>
      </c>
      <c r="AE122" s="3">
        <v>6</v>
      </c>
    </row>
    <row r="123" spans="27:31" x14ac:dyDescent="0.35">
      <c r="AA123" s="8" t="s">
        <v>1011</v>
      </c>
      <c r="AB123" s="3"/>
      <c r="AC123" s="3">
        <v>1</v>
      </c>
      <c r="AD123" s="3"/>
      <c r="AE123" s="3">
        <v>1</v>
      </c>
    </row>
    <row r="124" spans="27:31" x14ac:dyDescent="0.35">
      <c r="AA124" s="8" t="s">
        <v>1008</v>
      </c>
      <c r="AB124" s="3">
        <v>1</v>
      </c>
      <c r="AC124" s="3">
        <v>1</v>
      </c>
      <c r="AD124" s="3">
        <v>4</v>
      </c>
      <c r="AE124" s="3">
        <v>6</v>
      </c>
    </row>
    <row r="125" spans="27:31" x14ac:dyDescent="0.35">
      <c r="AA125" s="2" t="s">
        <v>82</v>
      </c>
      <c r="AB125" s="3"/>
      <c r="AC125" s="3"/>
      <c r="AD125" s="3"/>
      <c r="AE125" s="3"/>
    </row>
    <row r="126" spans="27:31" x14ac:dyDescent="0.35">
      <c r="AA126" s="8" t="s">
        <v>1013</v>
      </c>
      <c r="AB126" s="3">
        <v>1</v>
      </c>
      <c r="AC126" s="3"/>
      <c r="AD126" s="3">
        <v>1</v>
      </c>
      <c r="AE126" s="3">
        <v>2</v>
      </c>
    </row>
    <row r="127" spans="27:31" x14ac:dyDescent="0.35">
      <c r="AA127" s="8" t="s">
        <v>1011</v>
      </c>
      <c r="AB127" s="3">
        <v>3</v>
      </c>
      <c r="AC127" s="3">
        <v>2</v>
      </c>
      <c r="AD127" s="3"/>
      <c r="AE127" s="3">
        <v>5</v>
      </c>
    </row>
    <row r="128" spans="27:31" x14ac:dyDescent="0.35">
      <c r="AA128" s="8" t="s">
        <v>1009</v>
      </c>
      <c r="AB128" s="3"/>
      <c r="AC128" s="3"/>
      <c r="AD128" s="3">
        <v>2</v>
      </c>
      <c r="AE128" s="3">
        <v>2</v>
      </c>
    </row>
    <row r="129" spans="27:31" x14ac:dyDescent="0.35">
      <c r="AA129" s="8" t="s">
        <v>1008</v>
      </c>
      <c r="AB129" s="3">
        <v>1</v>
      </c>
      <c r="AC129" s="3">
        <v>3</v>
      </c>
      <c r="AD129" s="3">
        <v>2</v>
      </c>
      <c r="AE129" s="3">
        <v>6</v>
      </c>
    </row>
    <row r="130" spans="27:31" x14ac:dyDescent="0.35">
      <c r="AA130" s="2" t="s">
        <v>1006</v>
      </c>
      <c r="AB130" s="3">
        <v>124</v>
      </c>
      <c r="AC130" s="3">
        <v>146</v>
      </c>
      <c r="AD130" s="3">
        <v>137</v>
      </c>
      <c r="AE130" s="3">
        <v>407</v>
      </c>
    </row>
  </sheetData>
  <mergeCells count="2">
    <mergeCell ref="A2:B2"/>
    <mergeCell ref="E2:H2"/>
  </mergeCell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22A1-B649-43D5-B5DD-FF3C8739D96C}">
  <dimension ref="A1:M1085"/>
  <sheetViews>
    <sheetView topLeftCell="B1" workbookViewId="0">
      <selection activeCell="L2" sqref="L2"/>
    </sheetView>
  </sheetViews>
  <sheetFormatPr baseColWidth="10" defaultRowHeight="14.5" x14ac:dyDescent="0.35"/>
  <cols>
    <col min="1" max="1" width="22.6328125" bestFit="1" customWidth="1"/>
    <col min="2" max="2" width="8.90625" bestFit="1" customWidth="1"/>
    <col min="3" max="3" width="19.54296875" bestFit="1" customWidth="1"/>
    <col min="4" max="4" width="9.90625" bestFit="1" customWidth="1"/>
    <col min="5" max="5" width="18.81640625" bestFit="1" customWidth="1"/>
    <col min="6" max="6" width="18.26953125" customWidth="1"/>
    <col min="7" max="7" width="20.6328125" bestFit="1" customWidth="1"/>
    <col min="8" max="8" width="14.7265625" bestFit="1" customWidth="1"/>
    <col min="9" max="9" width="10.453125" bestFit="1" customWidth="1"/>
    <col min="10" max="10" width="11.36328125" bestFit="1" customWidth="1"/>
    <col min="11" max="11" width="13.08984375" bestFit="1" customWidth="1"/>
    <col min="12" max="12" width="15.453125" bestFit="1" customWidth="1"/>
    <col min="13" max="13" width="21.6328125" bestFit="1" customWidth="1"/>
  </cols>
  <sheetData>
    <row r="1" spans="1:13" x14ac:dyDescent="0.35">
      <c r="A1" t="s">
        <v>0</v>
      </c>
      <c r="B1" t="s">
        <v>728</v>
      </c>
      <c r="C1" t="s">
        <v>729</v>
      </c>
      <c r="D1" t="s">
        <v>1447</v>
      </c>
      <c r="E1" t="s">
        <v>730</v>
      </c>
      <c r="F1" t="s">
        <v>731</v>
      </c>
      <c r="G1" t="s">
        <v>732</v>
      </c>
      <c r="H1" t="s">
        <v>733</v>
      </c>
      <c r="I1" t="s">
        <v>734</v>
      </c>
      <c r="J1" t="s">
        <v>735</v>
      </c>
      <c r="K1" t="s">
        <v>736</v>
      </c>
      <c r="L1" t="s">
        <v>737</v>
      </c>
      <c r="M1" t="s">
        <v>1021</v>
      </c>
    </row>
    <row r="2" spans="1:13" x14ac:dyDescent="0.35">
      <c r="A2" s="3" t="s">
        <v>743</v>
      </c>
      <c r="B2" s="3" t="s">
        <v>747</v>
      </c>
      <c r="C2">
        <v>45203.032638888886</v>
      </c>
      <c r="D2" t="s">
        <v>871</v>
      </c>
      <c r="E2">
        <v>73</v>
      </c>
      <c r="F2" t="s">
        <v>740</v>
      </c>
      <c r="G2" s="3">
        <v>0.18333333333333332</v>
      </c>
      <c r="H2" s="3" t="s">
        <v>47</v>
      </c>
      <c r="I2" s="3">
        <v>-2.8532869999999999</v>
      </c>
      <c r="J2" s="3">
        <v>22.117896000000002</v>
      </c>
      <c r="K2" s="3" t="s">
        <v>1010</v>
      </c>
      <c r="L2" s="3" t="s">
        <v>1011</v>
      </c>
      <c r="M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" spans="1:13" x14ac:dyDescent="0.35">
      <c r="A3" s="3" t="s">
        <v>743</v>
      </c>
      <c r="B3" s="3" t="s">
        <v>747</v>
      </c>
      <c r="C3">
        <v>45208.301388888889</v>
      </c>
      <c r="D3" t="s">
        <v>1022</v>
      </c>
      <c r="E3">
        <v>38</v>
      </c>
      <c r="F3" t="s">
        <v>740</v>
      </c>
      <c r="G3" s="3">
        <v>1.7166666666666666</v>
      </c>
      <c r="H3" s="3" t="s">
        <v>47</v>
      </c>
      <c r="I3" s="3">
        <v>-2.8532869999999999</v>
      </c>
      <c r="J3" s="3">
        <v>22.117896000000002</v>
      </c>
      <c r="K3" s="3" t="s">
        <v>1010</v>
      </c>
      <c r="L3" s="3" t="s">
        <v>1011</v>
      </c>
      <c r="M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" spans="1:13" x14ac:dyDescent="0.35">
      <c r="A4" s="3" t="s">
        <v>743</v>
      </c>
      <c r="B4" s="3" t="s">
        <v>791</v>
      </c>
      <c r="C4">
        <v>45204.962500000001</v>
      </c>
      <c r="D4" t="s">
        <v>1023</v>
      </c>
      <c r="E4">
        <v>100</v>
      </c>
      <c r="F4" t="s">
        <v>742</v>
      </c>
      <c r="G4" s="3">
        <v>1.1499999999999999</v>
      </c>
      <c r="H4" s="3" t="s">
        <v>47</v>
      </c>
      <c r="I4" s="3">
        <v>-2.2876210000000001</v>
      </c>
      <c r="J4" s="3">
        <v>27.582545</v>
      </c>
      <c r="K4" s="3" t="s">
        <v>1007</v>
      </c>
      <c r="L4" s="3" t="s">
        <v>1011</v>
      </c>
      <c r="M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" spans="1:13" x14ac:dyDescent="0.35">
      <c r="A5" s="3" t="s">
        <v>743</v>
      </c>
      <c r="B5" s="3" t="s">
        <v>791</v>
      </c>
      <c r="C5">
        <v>45221.997916666667</v>
      </c>
      <c r="D5" t="s">
        <v>1024</v>
      </c>
      <c r="E5">
        <v>79</v>
      </c>
      <c r="F5" t="s">
        <v>748</v>
      </c>
      <c r="G5" s="3">
        <v>1.6833333333333333</v>
      </c>
      <c r="H5" s="3" t="s">
        <v>47</v>
      </c>
      <c r="I5" s="3">
        <v>-2.2876210000000001</v>
      </c>
      <c r="J5" s="3">
        <v>27.582545</v>
      </c>
      <c r="K5" s="3" t="s">
        <v>1007</v>
      </c>
      <c r="L5" s="3" t="s">
        <v>1011</v>
      </c>
      <c r="M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6" spans="1:13" x14ac:dyDescent="0.35">
      <c r="A6" s="3" t="s">
        <v>743</v>
      </c>
      <c r="B6" s="3" t="s">
        <v>793</v>
      </c>
      <c r="C6">
        <v>45217.109027777777</v>
      </c>
      <c r="D6" t="s">
        <v>1025</v>
      </c>
      <c r="E6">
        <v>59</v>
      </c>
      <c r="F6" t="s">
        <v>740</v>
      </c>
      <c r="G6" s="3">
        <v>1.4833333333333334</v>
      </c>
      <c r="H6" s="3" t="s">
        <v>47</v>
      </c>
      <c r="I6" s="3">
        <v>-7.3952039999999997</v>
      </c>
      <c r="J6" s="3">
        <v>21.651043999999999</v>
      </c>
      <c r="K6" s="3" t="s">
        <v>1007</v>
      </c>
      <c r="L6" s="3" t="s">
        <v>1011</v>
      </c>
      <c r="M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7" spans="1:13" x14ac:dyDescent="0.35">
      <c r="A7" s="3" t="s">
        <v>743</v>
      </c>
      <c r="B7" s="3" t="s">
        <v>796</v>
      </c>
      <c r="C7">
        <v>45213.042361111111</v>
      </c>
      <c r="D7" t="s">
        <v>951</v>
      </c>
      <c r="E7">
        <v>119</v>
      </c>
      <c r="F7" t="s">
        <v>742</v>
      </c>
      <c r="G7" s="3">
        <v>1.5666666666666667</v>
      </c>
      <c r="H7" s="3" t="s">
        <v>47</v>
      </c>
      <c r="I7" s="3">
        <v>-1.6893210000000001</v>
      </c>
      <c r="J7" s="3">
        <v>30.446543999999999</v>
      </c>
      <c r="K7" s="3" t="s">
        <v>1007</v>
      </c>
      <c r="L7" s="3" t="s">
        <v>1011</v>
      </c>
      <c r="M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8" spans="1:13" x14ac:dyDescent="0.35">
      <c r="A8" s="3" t="s">
        <v>743</v>
      </c>
      <c r="B8" s="3" t="s">
        <v>836</v>
      </c>
      <c r="C8">
        <v>45202.259722222225</v>
      </c>
      <c r="D8" t="s">
        <v>828</v>
      </c>
      <c r="E8">
        <v>79</v>
      </c>
      <c r="F8" t="s">
        <v>740</v>
      </c>
      <c r="G8" s="3">
        <v>0.58333333333333337</v>
      </c>
      <c r="H8" s="3" t="s">
        <v>47</v>
      </c>
      <c r="I8" s="3">
        <v>-6.4197189999999997</v>
      </c>
      <c r="J8" s="3">
        <v>22.287264</v>
      </c>
      <c r="K8" s="3" t="s">
        <v>1012</v>
      </c>
      <c r="L8" s="3" t="s">
        <v>1013</v>
      </c>
      <c r="M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" spans="1:13" x14ac:dyDescent="0.35">
      <c r="A9" s="3" t="s">
        <v>743</v>
      </c>
      <c r="B9" s="3" t="s">
        <v>836</v>
      </c>
      <c r="C9">
        <v>45216.792361111111</v>
      </c>
      <c r="D9" t="s">
        <v>1026</v>
      </c>
      <c r="E9">
        <v>56</v>
      </c>
      <c r="F9" t="s">
        <v>740</v>
      </c>
      <c r="G9" s="3">
        <v>1.85</v>
      </c>
      <c r="H9" s="3" t="s">
        <v>47</v>
      </c>
      <c r="I9" s="3">
        <v>-6.4197189999999997</v>
      </c>
      <c r="J9" s="3">
        <v>22.287264</v>
      </c>
      <c r="K9" s="3" t="s">
        <v>1012</v>
      </c>
      <c r="L9" s="3" t="s">
        <v>1013</v>
      </c>
      <c r="M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0" spans="1:13" x14ac:dyDescent="0.35">
      <c r="A10" s="3" t="s">
        <v>743</v>
      </c>
      <c r="B10" s="3" t="s">
        <v>836</v>
      </c>
      <c r="C10">
        <v>45217.28125</v>
      </c>
      <c r="D10" t="s">
        <v>1027</v>
      </c>
      <c r="E10">
        <v>51</v>
      </c>
      <c r="F10" t="s">
        <v>742</v>
      </c>
      <c r="G10" s="3">
        <v>0.21666666666666667</v>
      </c>
      <c r="H10" s="3" t="s">
        <v>47</v>
      </c>
      <c r="I10" s="3">
        <v>-6.4197189999999997</v>
      </c>
      <c r="J10" s="3">
        <v>22.287264</v>
      </c>
      <c r="K10" s="3" t="s">
        <v>1012</v>
      </c>
      <c r="L10" s="3" t="s">
        <v>1013</v>
      </c>
      <c r="M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1" spans="1:13" x14ac:dyDescent="0.35">
      <c r="A11" s="3" t="s">
        <v>743</v>
      </c>
      <c r="B11" s="3" t="s">
        <v>844</v>
      </c>
      <c r="C11">
        <v>45220.94027777778</v>
      </c>
      <c r="D11" t="s">
        <v>1028</v>
      </c>
      <c r="E11">
        <v>33</v>
      </c>
      <c r="F11" t="s">
        <v>748</v>
      </c>
      <c r="G11" s="3">
        <v>0.1</v>
      </c>
      <c r="H11" s="3" t="s">
        <v>47</v>
      </c>
      <c r="I11" s="3">
        <v>-3.6945459999999999</v>
      </c>
      <c r="J11" s="3">
        <v>16.809108999999999</v>
      </c>
      <c r="K11" s="3" t="s">
        <v>1010</v>
      </c>
      <c r="L11" s="3" t="s">
        <v>1008</v>
      </c>
      <c r="M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2" spans="1:13" x14ac:dyDescent="0.35">
      <c r="A12" s="3" t="s">
        <v>743</v>
      </c>
      <c r="B12" s="3" t="s">
        <v>844</v>
      </c>
      <c r="C12">
        <v>45213.311111111114</v>
      </c>
      <c r="D12" t="s">
        <v>810</v>
      </c>
      <c r="E12">
        <v>22</v>
      </c>
      <c r="F12" t="s">
        <v>742</v>
      </c>
      <c r="G12" s="3">
        <v>1.8833333333333333</v>
      </c>
      <c r="H12" s="3" t="s">
        <v>47</v>
      </c>
      <c r="I12" s="3">
        <v>-3.6945459999999999</v>
      </c>
      <c r="J12" s="3">
        <v>16.809108999999999</v>
      </c>
      <c r="K12" s="3" t="s">
        <v>1010</v>
      </c>
      <c r="L12" s="3" t="s">
        <v>1008</v>
      </c>
      <c r="M1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3" spans="1:13" x14ac:dyDescent="0.35">
      <c r="A13" s="3" t="s">
        <v>743</v>
      </c>
      <c r="B13" s="3" t="s">
        <v>844</v>
      </c>
      <c r="C13">
        <v>45218.368750000001</v>
      </c>
      <c r="D13" t="s">
        <v>885</v>
      </c>
      <c r="E13">
        <v>70</v>
      </c>
      <c r="F13" t="s">
        <v>740</v>
      </c>
      <c r="G13" s="3">
        <v>1.5166666666666666</v>
      </c>
      <c r="H13" s="3" t="s">
        <v>47</v>
      </c>
      <c r="I13" s="3">
        <v>-3.6945459999999999</v>
      </c>
      <c r="J13" s="3">
        <v>16.809108999999999</v>
      </c>
      <c r="K13" s="3" t="s">
        <v>1010</v>
      </c>
      <c r="L13" s="3" t="s">
        <v>1008</v>
      </c>
      <c r="M1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" spans="1:13" x14ac:dyDescent="0.35">
      <c r="A14" s="3" t="s">
        <v>743</v>
      </c>
      <c r="B14" s="3" t="s">
        <v>844</v>
      </c>
      <c r="C14">
        <v>45227.033333333333</v>
      </c>
      <c r="D14" t="s">
        <v>990</v>
      </c>
      <c r="E14">
        <v>68</v>
      </c>
      <c r="F14" t="s">
        <v>748</v>
      </c>
      <c r="G14" s="3">
        <v>0.8</v>
      </c>
      <c r="H14" s="3" t="s">
        <v>47</v>
      </c>
      <c r="I14" s="3">
        <v>-3.6945459999999999</v>
      </c>
      <c r="J14" s="3">
        <v>16.809108999999999</v>
      </c>
      <c r="K14" s="3" t="s">
        <v>1010</v>
      </c>
      <c r="L14" s="3" t="s">
        <v>1008</v>
      </c>
      <c r="M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5" spans="1:13" x14ac:dyDescent="0.35">
      <c r="A15" s="3" t="s">
        <v>743</v>
      </c>
      <c r="B15" s="3" t="s">
        <v>852</v>
      </c>
      <c r="C15">
        <v>45225.238888888889</v>
      </c>
      <c r="D15" t="s">
        <v>1029</v>
      </c>
      <c r="E15">
        <v>16</v>
      </c>
      <c r="F15" t="s">
        <v>742</v>
      </c>
      <c r="G15" s="3">
        <v>1.0166666666666666</v>
      </c>
      <c r="H15" s="3" t="s">
        <v>47</v>
      </c>
      <c r="I15" s="3">
        <v>4.497306</v>
      </c>
      <c r="J15" s="3">
        <v>12.857251</v>
      </c>
      <c r="K15" s="3" t="s">
        <v>1010</v>
      </c>
      <c r="L15" s="3" t="s">
        <v>1013</v>
      </c>
      <c r="M1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6" spans="1:13" x14ac:dyDescent="0.35">
      <c r="A16" s="3" t="s">
        <v>743</v>
      </c>
      <c r="B16" s="3" t="s">
        <v>882</v>
      </c>
      <c r="C16">
        <v>45213.428472222222</v>
      </c>
      <c r="D16" t="s">
        <v>1030</v>
      </c>
      <c r="E16">
        <v>101</v>
      </c>
      <c r="F16" t="s">
        <v>742</v>
      </c>
      <c r="G16" s="3">
        <v>0.33333333333333331</v>
      </c>
      <c r="H16" s="3" t="s">
        <v>47</v>
      </c>
      <c r="I16" s="3">
        <v>0.45116099999999998</v>
      </c>
      <c r="J16" s="3">
        <v>17.265761000000001</v>
      </c>
      <c r="K16" s="3" t="s">
        <v>1007</v>
      </c>
      <c r="L16" s="3" t="s">
        <v>1011</v>
      </c>
      <c r="M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7" spans="1:13" x14ac:dyDescent="0.35">
      <c r="A17" s="3" t="s">
        <v>743</v>
      </c>
      <c r="B17" s="3" t="s">
        <v>906</v>
      </c>
      <c r="C17">
        <v>45204.283333333333</v>
      </c>
      <c r="D17" t="s">
        <v>926</v>
      </c>
      <c r="E17">
        <v>11</v>
      </c>
      <c r="F17" t="s">
        <v>748</v>
      </c>
      <c r="G17" s="3">
        <v>1.1333333333333333</v>
      </c>
      <c r="H17" s="3" t="s">
        <v>47</v>
      </c>
      <c r="I17" s="3">
        <v>-2.3269820000000001</v>
      </c>
      <c r="J17" s="3">
        <v>14.609259</v>
      </c>
      <c r="K17" s="3" t="s">
        <v>1012</v>
      </c>
      <c r="L17" s="3" t="s">
        <v>1009</v>
      </c>
      <c r="M1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8" spans="1:13" x14ac:dyDescent="0.35">
      <c r="A18" s="3" t="s">
        <v>743</v>
      </c>
      <c r="B18" s="3" t="s">
        <v>956</v>
      </c>
      <c r="C18">
        <v>45210.128472222219</v>
      </c>
      <c r="D18" t="s">
        <v>1031</v>
      </c>
      <c r="E18">
        <v>115</v>
      </c>
      <c r="F18" t="s">
        <v>740</v>
      </c>
      <c r="G18" s="3">
        <v>0.48333333333333334</v>
      </c>
      <c r="H18" s="3" t="s">
        <v>47</v>
      </c>
      <c r="I18" s="3">
        <v>1.5278670000000001</v>
      </c>
      <c r="J18" s="3">
        <v>13.899388999999999</v>
      </c>
      <c r="K18" s="3" t="s">
        <v>1012</v>
      </c>
      <c r="L18" s="3" t="s">
        <v>1011</v>
      </c>
      <c r="M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9" spans="1:13" x14ac:dyDescent="0.35">
      <c r="A19" s="3" t="s">
        <v>743</v>
      </c>
      <c r="B19" s="3" t="s">
        <v>956</v>
      </c>
      <c r="C19">
        <v>45212.140277777777</v>
      </c>
      <c r="D19" t="s">
        <v>973</v>
      </c>
      <c r="E19">
        <v>19</v>
      </c>
      <c r="F19" t="s">
        <v>742</v>
      </c>
      <c r="G19" s="3">
        <v>0.53333333333333333</v>
      </c>
      <c r="H19" s="3" t="s">
        <v>47</v>
      </c>
      <c r="I19" s="3">
        <v>1.5278670000000001</v>
      </c>
      <c r="J19" s="3">
        <v>13.899388999999999</v>
      </c>
      <c r="K19" s="3" t="s">
        <v>1012</v>
      </c>
      <c r="L19" s="3" t="s">
        <v>1011</v>
      </c>
      <c r="M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0" spans="1:13" x14ac:dyDescent="0.35">
      <c r="A20" s="3" t="s">
        <v>743</v>
      </c>
      <c r="B20" s="3" t="s">
        <v>956</v>
      </c>
      <c r="C20">
        <v>45227.484722222223</v>
      </c>
      <c r="D20" t="s">
        <v>1032</v>
      </c>
      <c r="E20">
        <v>24</v>
      </c>
      <c r="F20" t="s">
        <v>742</v>
      </c>
      <c r="G20" s="3">
        <v>1.1166666666666667</v>
      </c>
      <c r="H20" s="3" t="s">
        <v>47</v>
      </c>
      <c r="I20" s="3">
        <v>1.5278670000000001</v>
      </c>
      <c r="J20" s="3">
        <v>13.899388999999999</v>
      </c>
      <c r="K20" s="3" t="s">
        <v>1012</v>
      </c>
      <c r="L20" s="3" t="s">
        <v>1011</v>
      </c>
      <c r="M2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1" spans="1:13" x14ac:dyDescent="0.35">
      <c r="A21" s="3" t="s">
        <v>743</v>
      </c>
      <c r="B21" s="3" t="s">
        <v>956</v>
      </c>
      <c r="C21">
        <v>45208.073611111111</v>
      </c>
      <c r="D21" t="s">
        <v>885</v>
      </c>
      <c r="E21">
        <v>85</v>
      </c>
      <c r="F21" t="s">
        <v>742</v>
      </c>
      <c r="G21" s="3">
        <v>1.9833333333333334</v>
      </c>
      <c r="H21" s="3" t="s">
        <v>47</v>
      </c>
      <c r="I21" s="3">
        <v>1.5278670000000001</v>
      </c>
      <c r="J21" s="3">
        <v>13.899388999999999</v>
      </c>
      <c r="K21" s="3" t="s">
        <v>1012</v>
      </c>
      <c r="L21" s="3" t="s">
        <v>1011</v>
      </c>
      <c r="M2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2" spans="1:13" x14ac:dyDescent="0.35">
      <c r="A22" s="3" t="s">
        <v>743</v>
      </c>
      <c r="B22" s="3" t="s">
        <v>956</v>
      </c>
      <c r="C22">
        <v>45214.713194444441</v>
      </c>
      <c r="D22" t="s">
        <v>1033</v>
      </c>
      <c r="E22">
        <v>25</v>
      </c>
      <c r="F22" t="s">
        <v>740</v>
      </c>
      <c r="G22" s="3">
        <v>0.43333333333333335</v>
      </c>
      <c r="H22" s="3" t="s">
        <v>47</v>
      </c>
      <c r="I22" s="3">
        <v>1.5278670000000001</v>
      </c>
      <c r="J22" s="3">
        <v>13.899388999999999</v>
      </c>
      <c r="K22" s="3" t="s">
        <v>1012</v>
      </c>
      <c r="L22" s="3" t="s">
        <v>1011</v>
      </c>
      <c r="M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3" spans="1:13" x14ac:dyDescent="0.35">
      <c r="A23" s="3" t="s">
        <v>743</v>
      </c>
      <c r="B23" s="3" t="s">
        <v>978</v>
      </c>
      <c r="C23">
        <v>45229.503472222219</v>
      </c>
      <c r="D23" t="s">
        <v>1034</v>
      </c>
      <c r="E23">
        <v>106</v>
      </c>
      <c r="F23" t="s">
        <v>742</v>
      </c>
      <c r="G23" s="3">
        <v>1.35</v>
      </c>
      <c r="H23" s="3" t="s">
        <v>47</v>
      </c>
      <c r="I23" s="3">
        <v>-1.500685</v>
      </c>
      <c r="J23" s="3">
        <v>26.563376000000002</v>
      </c>
      <c r="K23" s="3" t="s">
        <v>1010</v>
      </c>
      <c r="L23" s="3" t="s">
        <v>1009</v>
      </c>
      <c r="M2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4" spans="1:13" x14ac:dyDescent="0.35">
      <c r="A24" s="3" t="s">
        <v>743</v>
      </c>
      <c r="B24" s="3" t="s">
        <v>790</v>
      </c>
      <c r="C24">
        <v>45217.411805555559</v>
      </c>
      <c r="D24" t="s">
        <v>1035</v>
      </c>
      <c r="E24">
        <v>92</v>
      </c>
      <c r="F24" t="s">
        <v>748</v>
      </c>
      <c r="G24" s="3">
        <v>0.33333333333333331</v>
      </c>
      <c r="H24" s="3" t="s">
        <v>84</v>
      </c>
      <c r="I24" s="3">
        <v>-0.79459900000000006</v>
      </c>
      <c r="J24" s="3">
        <v>26.775570999999999</v>
      </c>
      <c r="K24" s="3" t="s">
        <v>1010</v>
      </c>
      <c r="L24" s="3" t="s">
        <v>1011</v>
      </c>
      <c r="M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5" spans="1:13" x14ac:dyDescent="0.35">
      <c r="A25" s="3" t="s">
        <v>743</v>
      </c>
      <c r="B25" s="3" t="s">
        <v>790</v>
      </c>
      <c r="C25">
        <v>45220.830555555556</v>
      </c>
      <c r="D25" t="s">
        <v>1036</v>
      </c>
      <c r="E25">
        <v>59</v>
      </c>
      <c r="F25" t="s">
        <v>748</v>
      </c>
      <c r="G25" s="3">
        <v>1.9833333333333334</v>
      </c>
      <c r="H25" s="3" t="s">
        <v>84</v>
      </c>
      <c r="I25" s="3">
        <v>-0.79459900000000006</v>
      </c>
      <c r="J25" s="3">
        <v>26.775570999999999</v>
      </c>
      <c r="K25" s="3" t="s">
        <v>1010</v>
      </c>
      <c r="L25" s="3" t="s">
        <v>1011</v>
      </c>
      <c r="M2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6" spans="1:13" x14ac:dyDescent="0.35">
      <c r="A26" s="3" t="s">
        <v>743</v>
      </c>
      <c r="B26" s="3" t="s">
        <v>790</v>
      </c>
      <c r="C26">
        <v>45227.48333333333</v>
      </c>
      <c r="D26" t="s">
        <v>1028</v>
      </c>
      <c r="E26">
        <v>81</v>
      </c>
      <c r="F26" t="s">
        <v>742</v>
      </c>
      <c r="G26" s="3">
        <v>1.3833333333333333</v>
      </c>
      <c r="H26" s="3" t="s">
        <v>84</v>
      </c>
      <c r="I26" s="3">
        <v>-0.79459900000000006</v>
      </c>
      <c r="J26" s="3">
        <v>26.775570999999999</v>
      </c>
      <c r="K26" s="3" t="s">
        <v>1010</v>
      </c>
      <c r="L26" s="3" t="s">
        <v>1011</v>
      </c>
      <c r="M2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7" spans="1:13" x14ac:dyDescent="0.35">
      <c r="A27" s="3" t="s">
        <v>743</v>
      </c>
      <c r="B27" s="3" t="s">
        <v>818</v>
      </c>
      <c r="C27">
        <v>45206.919444444444</v>
      </c>
      <c r="D27" t="s">
        <v>1037</v>
      </c>
      <c r="E27">
        <v>13</v>
      </c>
      <c r="F27" t="s">
        <v>742</v>
      </c>
      <c r="G27" s="3">
        <v>0.45</v>
      </c>
      <c r="H27" s="3" t="s">
        <v>84</v>
      </c>
      <c r="I27" s="3">
        <v>-7.8215969999999997</v>
      </c>
      <c r="J27" s="3">
        <v>26.797349000000001</v>
      </c>
      <c r="K27" s="3" t="s">
        <v>1012</v>
      </c>
      <c r="L27" s="3" t="s">
        <v>1013</v>
      </c>
      <c r="M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8" spans="1:13" x14ac:dyDescent="0.35">
      <c r="A28" s="3" t="s">
        <v>743</v>
      </c>
      <c r="B28" s="3" t="s">
        <v>842</v>
      </c>
      <c r="C28">
        <v>45201.884722222225</v>
      </c>
      <c r="D28" t="s">
        <v>900</v>
      </c>
      <c r="E28">
        <v>54</v>
      </c>
      <c r="F28" t="s">
        <v>748</v>
      </c>
      <c r="G28" s="3">
        <v>1.7166666666666666</v>
      </c>
      <c r="H28" s="3" t="s">
        <v>84</v>
      </c>
      <c r="I28" s="3">
        <v>4.9250049999999996</v>
      </c>
      <c r="J28" s="3">
        <v>19.887931999999999</v>
      </c>
      <c r="K28" s="3" t="s">
        <v>1007</v>
      </c>
      <c r="L28" s="3" t="s">
        <v>1011</v>
      </c>
      <c r="M2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9" spans="1:13" x14ac:dyDescent="0.35">
      <c r="A29" s="3" t="s">
        <v>743</v>
      </c>
      <c r="B29" s="3" t="s">
        <v>907</v>
      </c>
      <c r="C29">
        <v>45224.378472222219</v>
      </c>
      <c r="D29" t="s">
        <v>1023</v>
      </c>
      <c r="E29">
        <v>53</v>
      </c>
      <c r="F29" t="s">
        <v>748</v>
      </c>
      <c r="G29" s="3">
        <v>0.56666666666666665</v>
      </c>
      <c r="H29" s="3" t="s">
        <v>84</v>
      </c>
      <c r="I29" s="3">
        <v>-6.1490739999999997</v>
      </c>
      <c r="J29" s="3">
        <v>23.304411000000002</v>
      </c>
      <c r="K29" s="3" t="s">
        <v>1010</v>
      </c>
      <c r="L29" s="3" t="s">
        <v>1008</v>
      </c>
      <c r="M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0" spans="1:13" x14ac:dyDescent="0.35">
      <c r="A30" s="3" t="s">
        <v>743</v>
      </c>
      <c r="B30" s="3" t="s">
        <v>907</v>
      </c>
      <c r="C30">
        <v>45227.329861111109</v>
      </c>
      <c r="D30" t="s">
        <v>1038</v>
      </c>
      <c r="E30">
        <v>81</v>
      </c>
      <c r="F30" t="s">
        <v>742</v>
      </c>
      <c r="G30" s="3">
        <v>0.85</v>
      </c>
      <c r="H30" s="3" t="s">
        <v>84</v>
      </c>
      <c r="I30" s="3">
        <v>-6.1490739999999997</v>
      </c>
      <c r="J30" s="3">
        <v>23.304411000000002</v>
      </c>
      <c r="K30" s="3" t="s">
        <v>1010</v>
      </c>
      <c r="L30" s="3" t="s">
        <v>1008</v>
      </c>
      <c r="M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1" spans="1:13" x14ac:dyDescent="0.35">
      <c r="A31" s="3" t="s">
        <v>743</v>
      </c>
      <c r="B31" s="3" t="s">
        <v>907</v>
      </c>
      <c r="C31">
        <v>45203.511805555558</v>
      </c>
      <c r="D31" t="s">
        <v>993</v>
      </c>
      <c r="E31">
        <v>64</v>
      </c>
      <c r="F31" t="s">
        <v>748</v>
      </c>
      <c r="G31" s="3">
        <v>1.8666666666666667</v>
      </c>
      <c r="H31" s="3" t="s">
        <v>84</v>
      </c>
      <c r="I31" s="3">
        <v>-6.1490739999999997</v>
      </c>
      <c r="J31" s="3">
        <v>23.304411000000002</v>
      </c>
      <c r="K31" s="3" t="s">
        <v>1010</v>
      </c>
      <c r="L31" s="3" t="s">
        <v>1008</v>
      </c>
      <c r="M3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2" spans="1:13" x14ac:dyDescent="0.35">
      <c r="A32" s="3" t="s">
        <v>743</v>
      </c>
      <c r="B32" s="3" t="s">
        <v>943</v>
      </c>
      <c r="C32">
        <v>45214.870138888888</v>
      </c>
      <c r="D32" t="s">
        <v>1039</v>
      </c>
      <c r="E32">
        <v>72</v>
      </c>
      <c r="F32" t="s">
        <v>740</v>
      </c>
      <c r="G32" s="3">
        <v>0.45</v>
      </c>
      <c r="H32" s="3" t="s">
        <v>84</v>
      </c>
      <c r="I32" s="3">
        <v>-12.839263000000001</v>
      </c>
      <c r="J32" s="3">
        <v>12.355677</v>
      </c>
      <c r="K32" s="3" t="s">
        <v>1012</v>
      </c>
      <c r="L32" s="3" t="s">
        <v>1011</v>
      </c>
      <c r="M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3" spans="1:13" x14ac:dyDescent="0.35">
      <c r="A33" s="3" t="s">
        <v>743</v>
      </c>
      <c r="B33" s="3" t="s">
        <v>943</v>
      </c>
      <c r="C33">
        <v>45211.224305555559</v>
      </c>
      <c r="D33" t="s">
        <v>1040</v>
      </c>
      <c r="E33">
        <v>37</v>
      </c>
      <c r="F33" t="s">
        <v>740</v>
      </c>
      <c r="G33" s="3">
        <v>1.1000000000000001</v>
      </c>
      <c r="H33" s="3" t="s">
        <v>84</v>
      </c>
      <c r="I33" s="3">
        <v>-12.839263000000001</v>
      </c>
      <c r="J33" s="3">
        <v>12.355677</v>
      </c>
      <c r="K33" s="3" t="s">
        <v>1012</v>
      </c>
      <c r="L33" s="3" t="s">
        <v>1011</v>
      </c>
      <c r="M3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" spans="1:13" x14ac:dyDescent="0.35">
      <c r="A34" s="3" t="s">
        <v>743</v>
      </c>
      <c r="B34" s="3" t="s">
        <v>946</v>
      </c>
      <c r="C34">
        <v>45211.279166666667</v>
      </c>
      <c r="D34" t="s">
        <v>739</v>
      </c>
      <c r="E34">
        <v>75</v>
      </c>
      <c r="F34" t="s">
        <v>740</v>
      </c>
      <c r="G34" s="3">
        <v>1.1333333333333333</v>
      </c>
      <c r="H34" s="3" t="s">
        <v>84</v>
      </c>
      <c r="I34" s="3">
        <v>-0.37665700000000002</v>
      </c>
      <c r="J34" s="3">
        <v>25.154807999999999</v>
      </c>
      <c r="K34" s="3" t="s">
        <v>1012</v>
      </c>
      <c r="L34" s="3" t="s">
        <v>1009</v>
      </c>
      <c r="M3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5" spans="1:13" x14ac:dyDescent="0.35">
      <c r="A35" s="3" t="s">
        <v>743</v>
      </c>
      <c r="B35" s="3" t="s">
        <v>975</v>
      </c>
      <c r="C35">
        <v>45208.957638888889</v>
      </c>
      <c r="D35" t="s">
        <v>920</v>
      </c>
      <c r="E35">
        <v>115</v>
      </c>
      <c r="F35" t="s">
        <v>740</v>
      </c>
      <c r="G35" s="3">
        <v>0.25</v>
      </c>
      <c r="H35" s="3" t="s">
        <v>84</v>
      </c>
      <c r="I35" s="3">
        <v>-9.1215879999999991</v>
      </c>
      <c r="J35" s="3">
        <v>16.457916999999998</v>
      </c>
      <c r="K35" s="3" t="s">
        <v>1007</v>
      </c>
      <c r="L35" s="3" t="s">
        <v>1009</v>
      </c>
      <c r="M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6" spans="1:13" x14ac:dyDescent="0.35">
      <c r="A36" s="3" t="s">
        <v>743</v>
      </c>
      <c r="B36" s="3" t="s">
        <v>994</v>
      </c>
      <c r="C36">
        <v>45221.836111111108</v>
      </c>
      <c r="D36" t="s">
        <v>843</v>
      </c>
      <c r="E36">
        <v>6</v>
      </c>
      <c r="F36" t="s">
        <v>748</v>
      </c>
      <c r="G36" s="3">
        <v>0.41666666666666669</v>
      </c>
      <c r="H36" s="3" t="s">
        <v>84</v>
      </c>
      <c r="I36" s="3">
        <v>3.3289240000000002</v>
      </c>
      <c r="J36" s="3">
        <v>24.412261000000001</v>
      </c>
      <c r="K36" s="3" t="s">
        <v>1010</v>
      </c>
      <c r="L36" s="3" t="s">
        <v>1009</v>
      </c>
      <c r="M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7" spans="1:13" x14ac:dyDescent="0.35">
      <c r="A37" s="3" t="s">
        <v>743</v>
      </c>
      <c r="B37" s="3" t="s">
        <v>753</v>
      </c>
      <c r="C37">
        <v>45219.840277777781</v>
      </c>
      <c r="D37" t="s">
        <v>1041</v>
      </c>
      <c r="E37">
        <v>92</v>
      </c>
      <c r="F37" t="s">
        <v>740</v>
      </c>
      <c r="G37" s="3">
        <v>1.3333333333333333</v>
      </c>
      <c r="H37" s="3" t="s">
        <v>50</v>
      </c>
      <c r="I37" s="3">
        <v>4.4712560000000003</v>
      </c>
      <c r="J37" s="3">
        <v>27.107028</v>
      </c>
      <c r="K37" s="3" t="s">
        <v>1012</v>
      </c>
      <c r="L37" s="3" t="s">
        <v>1013</v>
      </c>
      <c r="M3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8" spans="1:13" x14ac:dyDescent="0.35">
      <c r="A38" s="3" t="s">
        <v>743</v>
      </c>
      <c r="B38" s="3" t="s">
        <v>753</v>
      </c>
      <c r="C38">
        <v>45217.96875</v>
      </c>
      <c r="D38" t="s">
        <v>1042</v>
      </c>
      <c r="E38">
        <v>97</v>
      </c>
      <c r="F38" t="s">
        <v>742</v>
      </c>
      <c r="G38" s="3">
        <v>1.4833333333333334</v>
      </c>
      <c r="H38" s="3" t="s">
        <v>50</v>
      </c>
      <c r="I38" s="3">
        <v>4.4712560000000003</v>
      </c>
      <c r="J38" s="3">
        <v>27.107028</v>
      </c>
      <c r="K38" s="3" t="s">
        <v>1012</v>
      </c>
      <c r="L38" s="3" t="s">
        <v>1013</v>
      </c>
      <c r="M3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9" spans="1:13" x14ac:dyDescent="0.35">
      <c r="A39" s="3" t="s">
        <v>743</v>
      </c>
      <c r="B39" s="3" t="s">
        <v>832</v>
      </c>
      <c r="C39">
        <v>45205.599999999999</v>
      </c>
      <c r="D39" t="s">
        <v>1043</v>
      </c>
      <c r="E39">
        <v>19</v>
      </c>
      <c r="F39" t="s">
        <v>742</v>
      </c>
      <c r="G39" s="3">
        <v>1.6</v>
      </c>
      <c r="H39" s="3" t="s">
        <v>50</v>
      </c>
      <c r="I39" s="3">
        <v>-5.5445120000000001</v>
      </c>
      <c r="J39" s="3">
        <v>27.547335</v>
      </c>
      <c r="K39" s="3" t="s">
        <v>1007</v>
      </c>
      <c r="L39" s="3" t="s">
        <v>1013</v>
      </c>
      <c r="M3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0" spans="1:13" x14ac:dyDescent="0.35">
      <c r="A40" s="3" t="s">
        <v>743</v>
      </c>
      <c r="B40" s="3" t="s">
        <v>832</v>
      </c>
      <c r="C40">
        <v>45208.863888888889</v>
      </c>
      <c r="D40" t="s">
        <v>995</v>
      </c>
      <c r="E40">
        <v>92</v>
      </c>
      <c r="F40" t="s">
        <v>740</v>
      </c>
      <c r="G40" s="3">
        <v>0.6166666666666667</v>
      </c>
      <c r="H40" s="3" t="s">
        <v>50</v>
      </c>
      <c r="I40" s="3">
        <v>-5.5445120000000001</v>
      </c>
      <c r="J40" s="3">
        <v>27.547335</v>
      </c>
      <c r="K40" s="3" t="s">
        <v>1007</v>
      </c>
      <c r="L40" s="3" t="s">
        <v>1013</v>
      </c>
      <c r="M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" spans="1:13" x14ac:dyDescent="0.35">
      <c r="A41" s="3" t="s">
        <v>743</v>
      </c>
      <c r="B41" s="3" t="s">
        <v>832</v>
      </c>
      <c r="C41">
        <v>45217.321527777778</v>
      </c>
      <c r="D41" t="s">
        <v>1044</v>
      </c>
      <c r="E41">
        <v>118</v>
      </c>
      <c r="F41" t="s">
        <v>742</v>
      </c>
      <c r="G41" s="3">
        <v>1.0666666666666667</v>
      </c>
      <c r="H41" s="3" t="s">
        <v>50</v>
      </c>
      <c r="I41" s="3">
        <v>-5.5445120000000001</v>
      </c>
      <c r="J41" s="3">
        <v>27.547335</v>
      </c>
      <c r="K41" s="3" t="s">
        <v>1007</v>
      </c>
      <c r="L41" s="3" t="s">
        <v>1013</v>
      </c>
      <c r="M4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2" spans="1:13" x14ac:dyDescent="0.35">
      <c r="A42" s="3" t="s">
        <v>743</v>
      </c>
      <c r="B42" s="3" t="s">
        <v>832</v>
      </c>
      <c r="C42">
        <v>45210.051388888889</v>
      </c>
      <c r="D42" t="s">
        <v>981</v>
      </c>
      <c r="E42">
        <v>73</v>
      </c>
      <c r="F42" t="s">
        <v>740</v>
      </c>
      <c r="G42" s="3">
        <v>0.41666666666666669</v>
      </c>
      <c r="H42" s="3" t="s">
        <v>50</v>
      </c>
      <c r="I42" s="3">
        <v>-5.5445120000000001</v>
      </c>
      <c r="J42" s="3">
        <v>27.547335</v>
      </c>
      <c r="K42" s="3" t="s">
        <v>1007</v>
      </c>
      <c r="L42" s="3" t="s">
        <v>1013</v>
      </c>
      <c r="M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" spans="1:13" x14ac:dyDescent="0.35">
      <c r="A43" s="3" t="s">
        <v>743</v>
      </c>
      <c r="B43" s="3" t="s">
        <v>887</v>
      </c>
      <c r="C43">
        <v>45226.07708333333</v>
      </c>
      <c r="D43" t="s">
        <v>1045</v>
      </c>
      <c r="E43">
        <v>101</v>
      </c>
      <c r="F43" t="s">
        <v>740</v>
      </c>
      <c r="G43" s="3">
        <v>1.3</v>
      </c>
      <c r="H43" s="3" t="s">
        <v>50</v>
      </c>
      <c r="I43" s="3">
        <v>-9.4229749999999992</v>
      </c>
      <c r="J43" s="3">
        <v>29.375005999999999</v>
      </c>
      <c r="K43" s="3" t="s">
        <v>1012</v>
      </c>
      <c r="L43" s="3" t="s">
        <v>1013</v>
      </c>
      <c r="M4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4" spans="1:13" x14ac:dyDescent="0.35">
      <c r="A44" s="3" t="s">
        <v>743</v>
      </c>
      <c r="B44" s="3" t="s">
        <v>896</v>
      </c>
      <c r="C44">
        <v>45210.511805555558</v>
      </c>
      <c r="E44">
        <v>39</v>
      </c>
      <c r="F44" t="s">
        <v>740</v>
      </c>
      <c r="G44" s="3">
        <v>1.7666666666666666</v>
      </c>
      <c r="H44" s="3" t="s">
        <v>50</v>
      </c>
      <c r="I44" s="3">
        <v>-4.4958720000000003</v>
      </c>
      <c r="J44" s="3">
        <v>18.514112000000001</v>
      </c>
      <c r="K44" s="3" t="s">
        <v>1007</v>
      </c>
      <c r="L44" s="3" t="s">
        <v>1009</v>
      </c>
      <c r="M4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5" spans="1:13" x14ac:dyDescent="0.35">
      <c r="A45" s="3" t="s">
        <v>743</v>
      </c>
      <c r="B45" s="3" t="s">
        <v>896</v>
      </c>
      <c r="C45">
        <v>45202.290277777778</v>
      </c>
      <c r="D45" t="s">
        <v>842</v>
      </c>
      <c r="E45">
        <v>103</v>
      </c>
      <c r="F45" t="s">
        <v>742</v>
      </c>
      <c r="G45" s="3">
        <v>0.7</v>
      </c>
      <c r="H45" s="3" t="s">
        <v>50</v>
      </c>
      <c r="I45" s="3">
        <v>-4.4958720000000003</v>
      </c>
      <c r="J45" s="3">
        <v>18.514112000000001</v>
      </c>
      <c r="K45" s="3" t="s">
        <v>1007</v>
      </c>
      <c r="L45" s="3" t="s">
        <v>1009</v>
      </c>
      <c r="M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" spans="1:13" x14ac:dyDescent="0.35">
      <c r="A46" s="3" t="s">
        <v>743</v>
      </c>
      <c r="B46" s="3" t="s">
        <v>902</v>
      </c>
      <c r="C46">
        <v>45230.788888888892</v>
      </c>
      <c r="D46" t="s">
        <v>1046</v>
      </c>
      <c r="E46">
        <v>87</v>
      </c>
      <c r="F46" t="s">
        <v>742</v>
      </c>
      <c r="G46" s="3">
        <v>0.46666666666666667</v>
      </c>
      <c r="H46" s="3" t="s">
        <v>50</v>
      </c>
      <c r="I46" s="3">
        <v>-11.468578000000001</v>
      </c>
      <c r="J46" s="3">
        <v>16.914501999999999</v>
      </c>
      <c r="K46" s="3" t="s">
        <v>1007</v>
      </c>
      <c r="L46" s="3" t="s">
        <v>1013</v>
      </c>
      <c r="M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" spans="1:13" x14ac:dyDescent="0.35">
      <c r="A47" s="3" t="s">
        <v>743</v>
      </c>
      <c r="B47" s="3" t="s">
        <v>905</v>
      </c>
      <c r="C47">
        <v>45222.425694444442</v>
      </c>
      <c r="D47" t="s">
        <v>1047</v>
      </c>
      <c r="E47">
        <v>48</v>
      </c>
      <c r="F47" t="s">
        <v>740</v>
      </c>
      <c r="G47" s="3">
        <v>1.3333333333333333</v>
      </c>
      <c r="H47" s="3" t="s">
        <v>50</v>
      </c>
      <c r="I47" s="3">
        <v>-3.3890790000000002</v>
      </c>
      <c r="J47" s="3">
        <v>18.374571</v>
      </c>
      <c r="K47" s="3" t="s">
        <v>1010</v>
      </c>
      <c r="L47" s="3" t="s">
        <v>1008</v>
      </c>
      <c r="M4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8" spans="1:13" x14ac:dyDescent="0.35">
      <c r="A48" s="3" t="s">
        <v>743</v>
      </c>
      <c r="B48" s="3" t="s">
        <v>911</v>
      </c>
      <c r="C48">
        <v>45220.642361111109</v>
      </c>
      <c r="D48" t="s">
        <v>1048</v>
      </c>
      <c r="E48">
        <v>19</v>
      </c>
      <c r="F48" t="s">
        <v>740</v>
      </c>
      <c r="G48" s="3">
        <v>1.8666666666666667</v>
      </c>
      <c r="H48" s="3" t="s">
        <v>50</v>
      </c>
      <c r="I48" s="3">
        <v>-10.945031</v>
      </c>
      <c r="J48" s="3">
        <v>27.922274000000002</v>
      </c>
      <c r="K48" s="3" t="s">
        <v>1007</v>
      </c>
      <c r="L48" s="3" t="s">
        <v>1013</v>
      </c>
      <c r="M4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9" spans="1:13" x14ac:dyDescent="0.35">
      <c r="A49" s="3" t="s">
        <v>743</v>
      </c>
      <c r="B49" s="3" t="s">
        <v>911</v>
      </c>
      <c r="C49">
        <v>45228.853472222225</v>
      </c>
      <c r="D49" t="s">
        <v>981</v>
      </c>
      <c r="E49">
        <v>42</v>
      </c>
      <c r="F49" t="s">
        <v>740</v>
      </c>
      <c r="G49" s="3">
        <v>1.65</v>
      </c>
      <c r="H49" s="3" t="s">
        <v>50</v>
      </c>
      <c r="I49" s="3">
        <v>-10.945031</v>
      </c>
      <c r="J49" s="3">
        <v>27.922274000000002</v>
      </c>
      <c r="K49" s="3" t="s">
        <v>1007</v>
      </c>
      <c r="L49" s="3" t="s">
        <v>1013</v>
      </c>
      <c r="M4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0" spans="1:13" x14ac:dyDescent="0.35">
      <c r="A50" s="3" t="s">
        <v>743</v>
      </c>
      <c r="B50" s="3" t="s">
        <v>911</v>
      </c>
      <c r="C50">
        <v>45204.338888888888</v>
      </c>
      <c r="D50" t="s">
        <v>1049</v>
      </c>
      <c r="E50">
        <v>60</v>
      </c>
      <c r="F50" t="s">
        <v>740</v>
      </c>
      <c r="G50" s="3">
        <v>1.45</v>
      </c>
      <c r="H50" s="3" t="s">
        <v>50</v>
      </c>
      <c r="I50" s="3">
        <v>-10.945031</v>
      </c>
      <c r="J50" s="3">
        <v>27.922274000000002</v>
      </c>
      <c r="K50" s="3" t="s">
        <v>1007</v>
      </c>
      <c r="L50" s="3" t="s">
        <v>1013</v>
      </c>
      <c r="M5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1" spans="1:13" x14ac:dyDescent="0.35">
      <c r="A51" s="3" t="s">
        <v>743</v>
      </c>
      <c r="B51" s="3" t="s">
        <v>924</v>
      </c>
      <c r="C51">
        <v>45207.982638888891</v>
      </c>
      <c r="D51" t="s">
        <v>1050</v>
      </c>
      <c r="E51">
        <v>25</v>
      </c>
      <c r="F51" t="s">
        <v>748</v>
      </c>
      <c r="G51" s="3">
        <v>0.8833333333333333</v>
      </c>
      <c r="H51" s="3" t="s">
        <v>50</v>
      </c>
      <c r="I51" s="3">
        <v>-2.926736</v>
      </c>
      <c r="J51" s="3">
        <v>18.170461</v>
      </c>
      <c r="K51" s="3" t="s">
        <v>1010</v>
      </c>
      <c r="L51" s="3" t="s">
        <v>1013</v>
      </c>
      <c r="M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" spans="1:13" x14ac:dyDescent="0.35">
      <c r="A52" s="3" t="s">
        <v>743</v>
      </c>
      <c r="B52" s="3" t="s">
        <v>958</v>
      </c>
      <c r="C52">
        <v>45225.238888888889</v>
      </c>
      <c r="D52" t="s">
        <v>1029</v>
      </c>
      <c r="E52">
        <v>16</v>
      </c>
      <c r="F52" t="s">
        <v>742</v>
      </c>
      <c r="G52" s="3">
        <v>1.5833333333333333</v>
      </c>
      <c r="H52" s="3" t="s">
        <v>50</v>
      </c>
      <c r="I52" s="3">
        <v>-2.9417719999999998</v>
      </c>
      <c r="J52" s="3">
        <v>18.587305000000001</v>
      </c>
      <c r="K52" s="3" t="s">
        <v>1010</v>
      </c>
      <c r="L52" s="3" t="s">
        <v>1013</v>
      </c>
      <c r="M5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3" spans="1:13" x14ac:dyDescent="0.35">
      <c r="A53" s="3" t="s">
        <v>754</v>
      </c>
      <c r="B53" s="3" t="s">
        <v>958</v>
      </c>
      <c r="C53">
        <v>45218.635416666657</v>
      </c>
      <c r="D53" t="s">
        <v>1051</v>
      </c>
      <c r="E53">
        <v>17</v>
      </c>
      <c r="F53" t="s">
        <v>748</v>
      </c>
      <c r="G53" s="3">
        <v>1.8166666666666667</v>
      </c>
      <c r="H53" s="3" t="s">
        <v>50</v>
      </c>
      <c r="I53" s="3">
        <v>-2.9417719999999998</v>
      </c>
      <c r="J53" s="3">
        <v>18.587305000000001</v>
      </c>
      <c r="K53" s="3" t="s">
        <v>1010</v>
      </c>
      <c r="L53" s="3" t="s">
        <v>1013</v>
      </c>
      <c r="M5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4" spans="1:13" x14ac:dyDescent="0.35">
      <c r="A54" s="3" t="s">
        <v>754</v>
      </c>
      <c r="B54" s="3" t="s">
        <v>1000</v>
      </c>
      <c r="C54">
        <v>45225.660416666673</v>
      </c>
      <c r="D54" t="s">
        <v>1052</v>
      </c>
      <c r="E54">
        <v>14</v>
      </c>
      <c r="F54" t="s">
        <v>740</v>
      </c>
      <c r="G54" s="3">
        <v>1.7166666666666666</v>
      </c>
      <c r="H54" s="3" t="s">
        <v>50</v>
      </c>
      <c r="I54" s="3">
        <v>-11.594525000000001</v>
      </c>
      <c r="J54" s="3">
        <v>29.744895</v>
      </c>
      <c r="K54" s="3" t="s">
        <v>1012</v>
      </c>
      <c r="L54" s="3" t="s">
        <v>1008</v>
      </c>
      <c r="M5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5" spans="1:13" x14ac:dyDescent="0.35">
      <c r="A55" s="3" t="s">
        <v>754</v>
      </c>
      <c r="B55" s="3" t="s">
        <v>1000</v>
      </c>
      <c r="C55">
        <v>45213.254166666673</v>
      </c>
      <c r="D55" t="s">
        <v>1053</v>
      </c>
      <c r="E55">
        <v>73</v>
      </c>
      <c r="F55" t="s">
        <v>748</v>
      </c>
      <c r="G55" s="3">
        <v>1.0833333333333333</v>
      </c>
      <c r="H55" s="3" t="s">
        <v>50</v>
      </c>
      <c r="I55" s="3">
        <v>-11.594525000000001</v>
      </c>
      <c r="J55" s="3">
        <v>29.744895</v>
      </c>
      <c r="K55" s="3" t="s">
        <v>1012</v>
      </c>
      <c r="L55" s="3" t="s">
        <v>1008</v>
      </c>
      <c r="M5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6" spans="1:13" x14ac:dyDescent="0.35">
      <c r="A56" s="3" t="s">
        <v>754</v>
      </c>
      <c r="B56" s="3" t="s">
        <v>759</v>
      </c>
      <c r="C56">
        <v>45203.893750000003</v>
      </c>
      <c r="D56" t="s">
        <v>1054</v>
      </c>
      <c r="E56">
        <v>32</v>
      </c>
      <c r="F56" t="s">
        <v>740</v>
      </c>
      <c r="G56" s="3">
        <v>0.11666666666666667</v>
      </c>
      <c r="H56" s="3" t="s">
        <v>37</v>
      </c>
      <c r="I56" s="3">
        <v>-6.3324319999999998</v>
      </c>
      <c r="J56" s="3">
        <v>24.887858000000001</v>
      </c>
      <c r="K56" s="3" t="s">
        <v>1007</v>
      </c>
      <c r="L56" s="3" t="s">
        <v>1008</v>
      </c>
      <c r="M5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" spans="1:13" x14ac:dyDescent="0.35">
      <c r="A57" s="3" t="s">
        <v>754</v>
      </c>
      <c r="B57" s="3" t="s">
        <v>850</v>
      </c>
      <c r="C57">
        <v>45211.55972222222</v>
      </c>
      <c r="D57" t="s">
        <v>1041</v>
      </c>
      <c r="E57">
        <v>69</v>
      </c>
      <c r="F57" t="s">
        <v>742</v>
      </c>
      <c r="G57" s="3">
        <v>1.4333333333333333</v>
      </c>
      <c r="H57" s="3" t="s">
        <v>37</v>
      </c>
      <c r="I57" s="3">
        <v>-12.112682</v>
      </c>
      <c r="J57" s="3">
        <v>19.972052000000001</v>
      </c>
      <c r="K57" s="3" t="s">
        <v>1007</v>
      </c>
      <c r="L57" s="3" t="s">
        <v>1011</v>
      </c>
      <c r="M5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8" spans="1:13" x14ac:dyDescent="0.35">
      <c r="A58" s="3" t="s">
        <v>754</v>
      </c>
      <c r="B58" s="3" t="s">
        <v>850</v>
      </c>
      <c r="C58">
        <v>45214.960416666669</v>
      </c>
      <c r="D58" t="s">
        <v>826</v>
      </c>
      <c r="E58">
        <v>38</v>
      </c>
      <c r="F58" t="s">
        <v>740</v>
      </c>
      <c r="G58" s="3">
        <v>1.5833333333333333</v>
      </c>
      <c r="H58" s="3" t="s">
        <v>37</v>
      </c>
      <c r="I58" s="3">
        <v>-12.112682</v>
      </c>
      <c r="J58" s="3">
        <v>19.972052000000001</v>
      </c>
      <c r="K58" s="3" t="s">
        <v>1007</v>
      </c>
      <c r="L58" s="3" t="s">
        <v>1011</v>
      </c>
      <c r="M5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59" spans="1:13" x14ac:dyDescent="0.35">
      <c r="A59" s="3" t="s">
        <v>754</v>
      </c>
      <c r="B59" s="3" t="s">
        <v>872</v>
      </c>
      <c r="C59">
        <v>45221.861805555563</v>
      </c>
      <c r="D59" t="s">
        <v>988</v>
      </c>
      <c r="E59">
        <v>21</v>
      </c>
      <c r="F59" t="s">
        <v>742</v>
      </c>
      <c r="G59" s="3">
        <v>1.9</v>
      </c>
      <c r="H59" s="3" t="s">
        <v>37</v>
      </c>
      <c r="I59" s="3">
        <v>-9.6407190000000007</v>
      </c>
      <c r="J59" s="3">
        <v>21.336704999999998</v>
      </c>
      <c r="K59" s="3" t="s">
        <v>1007</v>
      </c>
      <c r="L59" s="3" t="s">
        <v>1008</v>
      </c>
      <c r="M5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60" spans="1:13" x14ac:dyDescent="0.35">
      <c r="A60" s="3" t="s">
        <v>754</v>
      </c>
      <c r="B60" s="3" t="s">
        <v>883</v>
      </c>
      <c r="C60">
        <v>45203.059027777781</v>
      </c>
      <c r="D60" t="s">
        <v>1055</v>
      </c>
      <c r="E60">
        <v>49</v>
      </c>
      <c r="F60" t="s">
        <v>740</v>
      </c>
      <c r="G60" s="3">
        <v>0.75</v>
      </c>
      <c r="H60" s="3" t="s">
        <v>37</v>
      </c>
      <c r="I60" s="3">
        <v>1.210869</v>
      </c>
      <c r="J60" s="3">
        <v>25.598741</v>
      </c>
      <c r="K60" s="3" t="s">
        <v>1007</v>
      </c>
      <c r="L60" s="3" t="s">
        <v>1013</v>
      </c>
      <c r="M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" spans="1:13" x14ac:dyDescent="0.35">
      <c r="A61" s="3" t="s">
        <v>754</v>
      </c>
      <c r="B61" s="3" t="s">
        <v>883</v>
      </c>
      <c r="C61">
        <v>45223.45208333333</v>
      </c>
      <c r="D61" t="s">
        <v>1056</v>
      </c>
      <c r="E61">
        <v>117</v>
      </c>
      <c r="F61" t="s">
        <v>748</v>
      </c>
      <c r="G61" s="3">
        <v>0.75</v>
      </c>
      <c r="H61" s="3" t="s">
        <v>37</v>
      </c>
      <c r="I61" s="3">
        <v>1.210869</v>
      </c>
      <c r="J61" s="3">
        <v>25.598741</v>
      </c>
      <c r="K61" s="3" t="s">
        <v>1007</v>
      </c>
      <c r="L61" s="3" t="s">
        <v>1013</v>
      </c>
      <c r="M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" spans="1:13" x14ac:dyDescent="0.35">
      <c r="A62" s="3" t="s">
        <v>754</v>
      </c>
      <c r="B62" s="3" t="s">
        <v>883</v>
      </c>
      <c r="C62">
        <v>45227.135416666657</v>
      </c>
      <c r="D62" t="s">
        <v>1057</v>
      </c>
      <c r="E62">
        <v>13</v>
      </c>
      <c r="F62" t="s">
        <v>742</v>
      </c>
      <c r="G62" s="3">
        <v>0.26666666666666666</v>
      </c>
      <c r="H62" s="3" t="s">
        <v>37</v>
      </c>
      <c r="I62" s="3">
        <v>1.210869</v>
      </c>
      <c r="J62" s="3">
        <v>25.598741</v>
      </c>
      <c r="K62" s="3" t="s">
        <v>1007</v>
      </c>
      <c r="L62" s="3" t="s">
        <v>1013</v>
      </c>
      <c r="M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" spans="1:13" x14ac:dyDescent="0.35">
      <c r="A63" s="3" t="s">
        <v>754</v>
      </c>
      <c r="B63" s="3" t="s">
        <v>912</v>
      </c>
      <c r="C63">
        <v>45206.273611111108</v>
      </c>
      <c r="D63" t="s">
        <v>1058</v>
      </c>
      <c r="E63">
        <v>117</v>
      </c>
      <c r="F63" t="s">
        <v>748</v>
      </c>
      <c r="G63" s="3">
        <v>1.65</v>
      </c>
      <c r="H63" s="3" t="s">
        <v>37</v>
      </c>
      <c r="I63" s="3">
        <v>-4.8157019999999999</v>
      </c>
      <c r="J63" s="3">
        <v>27.679798000000002</v>
      </c>
      <c r="K63" s="3" t="s">
        <v>1012</v>
      </c>
      <c r="L63" s="3" t="s">
        <v>1013</v>
      </c>
      <c r="M6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64" spans="1:13" x14ac:dyDescent="0.35">
      <c r="A64" s="3" t="s">
        <v>754</v>
      </c>
      <c r="B64" s="3" t="s">
        <v>916</v>
      </c>
      <c r="C64">
        <v>45214.185416666667</v>
      </c>
      <c r="D64" t="s">
        <v>1051</v>
      </c>
      <c r="E64">
        <v>36</v>
      </c>
      <c r="F64" t="s">
        <v>742</v>
      </c>
      <c r="G64" s="3">
        <v>1.4333333333333333</v>
      </c>
      <c r="H64" s="3" t="s">
        <v>37</v>
      </c>
      <c r="I64" s="3">
        <v>2.628638</v>
      </c>
      <c r="J64" s="3">
        <v>28.420582</v>
      </c>
      <c r="K64" s="3" t="s">
        <v>1007</v>
      </c>
      <c r="L64" s="3" t="s">
        <v>1011</v>
      </c>
      <c r="M6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65" spans="1:13" x14ac:dyDescent="0.35">
      <c r="A65" s="3" t="s">
        <v>754</v>
      </c>
      <c r="B65" s="3" t="s">
        <v>916</v>
      </c>
      <c r="C65">
        <v>45205.353472222218</v>
      </c>
      <c r="D65" t="s">
        <v>863</v>
      </c>
      <c r="E65">
        <v>52</v>
      </c>
      <c r="F65" t="s">
        <v>742</v>
      </c>
      <c r="G65" s="3">
        <v>0.83333333333333337</v>
      </c>
      <c r="H65" s="3" t="s">
        <v>37</v>
      </c>
      <c r="I65" s="3">
        <v>2.628638</v>
      </c>
      <c r="J65" s="3">
        <v>28.420582</v>
      </c>
      <c r="K65" s="3" t="s">
        <v>1007</v>
      </c>
      <c r="L65" s="3" t="s">
        <v>1011</v>
      </c>
      <c r="M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" spans="1:13" x14ac:dyDescent="0.35">
      <c r="A66" s="3" t="s">
        <v>754</v>
      </c>
      <c r="B66" s="3" t="s">
        <v>931</v>
      </c>
      <c r="C66">
        <v>45207.102777777778</v>
      </c>
      <c r="D66" t="s">
        <v>1059</v>
      </c>
      <c r="E66">
        <v>41</v>
      </c>
      <c r="F66" t="s">
        <v>740</v>
      </c>
      <c r="G66" s="3">
        <v>1.5333333333333334</v>
      </c>
      <c r="H66" s="3" t="s">
        <v>37</v>
      </c>
      <c r="I66" s="3">
        <v>-5.5559329999999996</v>
      </c>
      <c r="J66" s="3">
        <v>13.508692999999999</v>
      </c>
      <c r="K66" s="3" t="s">
        <v>1012</v>
      </c>
      <c r="L66" s="3" t="s">
        <v>1009</v>
      </c>
      <c r="M6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67" spans="1:13" x14ac:dyDescent="0.35">
      <c r="A67" s="3" t="s">
        <v>754</v>
      </c>
      <c r="B67" s="3" t="s">
        <v>941</v>
      </c>
      <c r="C67">
        <v>45225.712500000001</v>
      </c>
      <c r="D67" t="s">
        <v>832</v>
      </c>
      <c r="E67">
        <v>25</v>
      </c>
      <c r="F67" t="s">
        <v>740</v>
      </c>
      <c r="G67" s="3">
        <v>0.8</v>
      </c>
      <c r="H67" s="3" t="s">
        <v>37</v>
      </c>
      <c r="I67" s="3">
        <v>0.16327700000000001</v>
      </c>
      <c r="J67" s="3">
        <v>14.871577</v>
      </c>
      <c r="K67" s="3" t="s">
        <v>1007</v>
      </c>
      <c r="L67" s="3" t="s">
        <v>1011</v>
      </c>
      <c r="M6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" spans="1:13" x14ac:dyDescent="0.35">
      <c r="A68" s="3" t="s">
        <v>754</v>
      </c>
      <c r="B68" s="3" t="s">
        <v>941</v>
      </c>
      <c r="C68">
        <v>45201.856944444437</v>
      </c>
      <c r="D68" t="s">
        <v>1060</v>
      </c>
      <c r="E68">
        <v>61</v>
      </c>
      <c r="F68" t="s">
        <v>740</v>
      </c>
      <c r="G68" s="3">
        <v>1.4833333333333334</v>
      </c>
      <c r="H68" s="3" t="s">
        <v>37</v>
      </c>
      <c r="I68" s="3">
        <v>0.16327700000000001</v>
      </c>
      <c r="J68" s="3">
        <v>14.871577</v>
      </c>
      <c r="K68" s="3" t="s">
        <v>1007</v>
      </c>
      <c r="L68" s="3" t="s">
        <v>1011</v>
      </c>
      <c r="M6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69" spans="1:13" x14ac:dyDescent="0.35">
      <c r="A69" s="3" t="s">
        <v>754</v>
      </c>
      <c r="B69" s="3" t="s">
        <v>977</v>
      </c>
      <c r="C69">
        <v>45226.003472222219</v>
      </c>
      <c r="D69" t="s">
        <v>1022</v>
      </c>
      <c r="E69">
        <v>111</v>
      </c>
      <c r="F69" t="s">
        <v>740</v>
      </c>
      <c r="G69" s="3">
        <v>0.46666666666666667</v>
      </c>
      <c r="H69" s="3" t="s">
        <v>37</v>
      </c>
      <c r="I69" s="3">
        <v>-3.1608390000000002</v>
      </c>
      <c r="J69" s="3">
        <v>13.244503999999999</v>
      </c>
      <c r="K69" s="3" t="s">
        <v>1012</v>
      </c>
      <c r="L69" s="3" t="s">
        <v>1011</v>
      </c>
      <c r="M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" spans="1:13" x14ac:dyDescent="0.35">
      <c r="A70" s="3" t="s">
        <v>754</v>
      </c>
      <c r="B70" s="3" t="s">
        <v>998</v>
      </c>
      <c r="C70">
        <v>45229.298611111109</v>
      </c>
      <c r="D70" t="s">
        <v>1061</v>
      </c>
      <c r="E70">
        <v>74</v>
      </c>
      <c r="F70" t="s">
        <v>748</v>
      </c>
      <c r="G70" s="3">
        <v>1.45</v>
      </c>
      <c r="H70" s="3" t="s">
        <v>37</v>
      </c>
      <c r="I70" s="3">
        <v>-5.8145569999999998</v>
      </c>
      <c r="J70" s="3">
        <v>21.942052</v>
      </c>
      <c r="K70" s="3" t="s">
        <v>1010</v>
      </c>
      <c r="L70" s="3" t="s">
        <v>1011</v>
      </c>
      <c r="M7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71" spans="1:13" x14ac:dyDescent="0.35">
      <c r="A71" s="3" t="s">
        <v>754</v>
      </c>
      <c r="B71" s="3" t="s">
        <v>812</v>
      </c>
      <c r="C71">
        <v>45213.645833333343</v>
      </c>
      <c r="D71" t="s">
        <v>958</v>
      </c>
      <c r="E71">
        <v>95</v>
      </c>
      <c r="F71" t="s">
        <v>740</v>
      </c>
      <c r="G71" s="3">
        <v>1.9166666666666667</v>
      </c>
      <c r="H71" s="3" t="s">
        <v>12</v>
      </c>
      <c r="I71" s="3">
        <v>1.2391989999999999</v>
      </c>
      <c r="J71" s="3">
        <v>15.386718999999999</v>
      </c>
      <c r="K71" s="3" t="s">
        <v>1010</v>
      </c>
      <c r="L71" s="3" t="s">
        <v>1008</v>
      </c>
      <c r="M7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72" spans="1:13" x14ac:dyDescent="0.35">
      <c r="A72" s="3" t="s">
        <v>754</v>
      </c>
      <c r="B72" s="3" t="s">
        <v>817</v>
      </c>
      <c r="C72">
        <v>45206.539583333331</v>
      </c>
      <c r="D72" t="s">
        <v>799</v>
      </c>
      <c r="E72">
        <v>43</v>
      </c>
      <c r="F72" t="s">
        <v>740</v>
      </c>
      <c r="G72" s="3">
        <v>1.8666666666666667</v>
      </c>
      <c r="H72" s="3" t="s">
        <v>12</v>
      </c>
      <c r="I72" s="3">
        <v>-8.8118569999999998</v>
      </c>
      <c r="J72" s="3">
        <v>14.465711000000001</v>
      </c>
      <c r="K72" s="3" t="s">
        <v>1010</v>
      </c>
      <c r="L72" s="3" t="s">
        <v>1009</v>
      </c>
      <c r="M7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73" spans="1:13" x14ac:dyDescent="0.35">
      <c r="A73" s="3" t="s">
        <v>754</v>
      </c>
      <c r="B73" s="3" t="s">
        <v>822</v>
      </c>
      <c r="C73">
        <v>45201.224999999999</v>
      </c>
      <c r="D73" t="s">
        <v>929</v>
      </c>
      <c r="E73">
        <v>83</v>
      </c>
      <c r="F73" t="s">
        <v>742</v>
      </c>
      <c r="G73" s="3">
        <v>1.0666666666666667</v>
      </c>
      <c r="H73" s="3" t="s">
        <v>12</v>
      </c>
      <c r="I73" s="3">
        <v>-4.4351269999999996</v>
      </c>
      <c r="J73" s="3">
        <v>24.825467</v>
      </c>
      <c r="K73" s="3" t="s">
        <v>1007</v>
      </c>
      <c r="L73" s="3" t="s">
        <v>1011</v>
      </c>
      <c r="M7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74" spans="1:13" x14ac:dyDescent="0.35">
      <c r="A74" s="3" t="s">
        <v>754</v>
      </c>
      <c r="B74" s="3" t="s">
        <v>822</v>
      </c>
      <c r="C74">
        <v>45200.511111111111</v>
      </c>
      <c r="D74" t="s">
        <v>1062</v>
      </c>
      <c r="E74">
        <v>108</v>
      </c>
      <c r="F74" t="s">
        <v>748</v>
      </c>
      <c r="G74" s="3">
        <v>1.75</v>
      </c>
      <c r="H74" s="3" t="s">
        <v>12</v>
      </c>
      <c r="I74" s="3">
        <v>-4.4351269999999996</v>
      </c>
      <c r="J74" s="3">
        <v>24.825467</v>
      </c>
      <c r="K74" s="3" t="s">
        <v>1007</v>
      </c>
      <c r="L74" s="3" t="s">
        <v>1011</v>
      </c>
      <c r="M7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75" spans="1:13" x14ac:dyDescent="0.35">
      <c r="A75" s="3" t="s">
        <v>754</v>
      </c>
      <c r="B75" s="3" t="s">
        <v>877</v>
      </c>
      <c r="C75">
        <v>45229.595833333333</v>
      </c>
      <c r="D75" t="s">
        <v>1037</v>
      </c>
      <c r="E75">
        <v>88</v>
      </c>
      <c r="F75" t="s">
        <v>748</v>
      </c>
      <c r="G75" s="3">
        <v>0.6166666666666667</v>
      </c>
      <c r="H75" s="3" t="s">
        <v>12</v>
      </c>
      <c r="I75" s="3">
        <v>0.20866199999999999</v>
      </c>
      <c r="J75" s="3">
        <v>18.556439000000001</v>
      </c>
      <c r="K75" s="3" t="s">
        <v>1007</v>
      </c>
      <c r="L75" s="3" t="s">
        <v>1009</v>
      </c>
      <c r="M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" spans="1:13" x14ac:dyDescent="0.35">
      <c r="A76" s="3" t="s">
        <v>754</v>
      </c>
      <c r="B76" s="3" t="s">
        <v>880</v>
      </c>
      <c r="C76">
        <v>45213.948611111111</v>
      </c>
      <c r="D76" t="s">
        <v>954</v>
      </c>
      <c r="E76">
        <v>72</v>
      </c>
      <c r="F76" t="s">
        <v>742</v>
      </c>
      <c r="G76" s="3">
        <v>0.96666666666666667</v>
      </c>
      <c r="H76" s="3" t="s">
        <v>12</v>
      </c>
      <c r="I76" s="3">
        <v>-1.8045979999999999</v>
      </c>
      <c r="J76" s="3">
        <v>12.511096999999999</v>
      </c>
      <c r="K76" s="3" t="s">
        <v>1012</v>
      </c>
      <c r="L76" s="3" t="s">
        <v>1011</v>
      </c>
      <c r="M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" spans="1:13" x14ac:dyDescent="0.35">
      <c r="A77" s="3" t="s">
        <v>754</v>
      </c>
      <c r="B77" s="3" t="s">
        <v>880</v>
      </c>
      <c r="C77">
        <v>45225.737500000003</v>
      </c>
      <c r="D77" t="s">
        <v>1063</v>
      </c>
      <c r="E77">
        <v>6</v>
      </c>
      <c r="F77" t="s">
        <v>742</v>
      </c>
      <c r="G77" s="3">
        <v>0.55000000000000004</v>
      </c>
      <c r="H77" s="3" t="s">
        <v>12</v>
      </c>
      <c r="I77" s="3">
        <v>-1.8045979999999999</v>
      </c>
      <c r="J77" s="3">
        <v>12.511096999999999</v>
      </c>
      <c r="K77" s="3" t="s">
        <v>1012</v>
      </c>
      <c r="L77" s="3" t="s">
        <v>1011</v>
      </c>
      <c r="M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" spans="1:13" x14ac:dyDescent="0.35">
      <c r="A78" s="3" t="s">
        <v>754</v>
      </c>
      <c r="B78" s="3" t="s">
        <v>880</v>
      </c>
      <c r="C78">
        <v>45222.631249999999</v>
      </c>
      <c r="D78" t="s">
        <v>1064</v>
      </c>
      <c r="E78">
        <v>90</v>
      </c>
      <c r="F78" t="s">
        <v>740</v>
      </c>
      <c r="G78" s="3">
        <v>0.66666666666666663</v>
      </c>
      <c r="H78" s="3" t="s">
        <v>12</v>
      </c>
      <c r="I78" s="3">
        <v>-1.8045979999999999</v>
      </c>
      <c r="J78" s="3">
        <v>12.511096999999999</v>
      </c>
      <c r="K78" s="3" t="s">
        <v>1012</v>
      </c>
      <c r="L78" s="3" t="s">
        <v>1011</v>
      </c>
      <c r="M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" spans="1:13" x14ac:dyDescent="0.35">
      <c r="A79" s="3" t="s">
        <v>754</v>
      </c>
      <c r="B79" s="3" t="s">
        <v>880</v>
      </c>
      <c r="C79">
        <v>45206.384027777778</v>
      </c>
      <c r="D79" t="s">
        <v>1065</v>
      </c>
      <c r="E79">
        <v>109</v>
      </c>
      <c r="F79" t="s">
        <v>748</v>
      </c>
      <c r="G79" s="3">
        <v>1.3333333333333333</v>
      </c>
      <c r="H79" s="3" t="s">
        <v>12</v>
      </c>
      <c r="I79" s="3">
        <v>-1.8045979999999999</v>
      </c>
      <c r="J79" s="3">
        <v>12.511096999999999</v>
      </c>
      <c r="K79" s="3" t="s">
        <v>1012</v>
      </c>
      <c r="L79" s="3" t="s">
        <v>1011</v>
      </c>
      <c r="M7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80" spans="1:13" x14ac:dyDescent="0.35">
      <c r="A80" s="3" t="s">
        <v>754</v>
      </c>
      <c r="B80" s="3" t="s">
        <v>940</v>
      </c>
      <c r="C80">
        <v>45230.067361111112</v>
      </c>
      <c r="D80" t="s">
        <v>1066</v>
      </c>
      <c r="E80">
        <v>75</v>
      </c>
      <c r="F80" t="s">
        <v>740</v>
      </c>
      <c r="G80" s="3">
        <v>1.2333333333333334</v>
      </c>
      <c r="H80" s="3" t="s">
        <v>12</v>
      </c>
      <c r="I80" s="3">
        <v>-12.488033</v>
      </c>
      <c r="J80" s="3">
        <v>16.139648000000001</v>
      </c>
      <c r="K80" s="3" t="s">
        <v>1007</v>
      </c>
      <c r="L80" s="3" t="s">
        <v>1011</v>
      </c>
      <c r="M8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81" spans="1:13" x14ac:dyDescent="0.35">
      <c r="A81" s="3" t="s">
        <v>754</v>
      </c>
      <c r="B81" s="3" t="s">
        <v>942</v>
      </c>
      <c r="C81">
        <v>45223.710416666669</v>
      </c>
      <c r="D81" t="s">
        <v>1067</v>
      </c>
      <c r="E81">
        <v>43</v>
      </c>
      <c r="F81" t="s">
        <v>742</v>
      </c>
      <c r="G81" s="3">
        <v>0.46666666666666667</v>
      </c>
      <c r="H81" s="3" t="s">
        <v>12</v>
      </c>
      <c r="I81" s="3">
        <v>-6.9624990000000002</v>
      </c>
      <c r="J81" s="3">
        <v>20.759834999999999</v>
      </c>
      <c r="K81" s="3" t="s">
        <v>1007</v>
      </c>
      <c r="L81" s="3" t="s">
        <v>1011</v>
      </c>
      <c r="M8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" spans="1:13" x14ac:dyDescent="0.35">
      <c r="A82" s="3" t="s">
        <v>754</v>
      </c>
      <c r="B82" s="3" t="s">
        <v>953</v>
      </c>
      <c r="C82">
        <v>45223.418749999997</v>
      </c>
      <c r="D82" t="s">
        <v>753</v>
      </c>
      <c r="E82">
        <v>89</v>
      </c>
      <c r="F82" t="s">
        <v>740</v>
      </c>
      <c r="G82" s="3">
        <v>1.1166666666666667</v>
      </c>
      <c r="H82" s="3" t="s">
        <v>12</v>
      </c>
      <c r="I82" s="3">
        <v>-11.924048000000001</v>
      </c>
      <c r="J82" s="3">
        <v>24.177174999999998</v>
      </c>
      <c r="K82" s="3" t="s">
        <v>1012</v>
      </c>
      <c r="L82" s="3" t="s">
        <v>1009</v>
      </c>
      <c r="M8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83" spans="1:13" x14ac:dyDescent="0.35">
      <c r="A83" s="3" t="s">
        <v>754</v>
      </c>
      <c r="B83" s="3" t="s">
        <v>974</v>
      </c>
      <c r="C83">
        <v>45201.770833333343</v>
      </c>
      <c r="D83" t="s">
        <v>1043</v>
      </c>
      <c r="E83">
        <v>18</v>
      </c>
      <c r="F83" t="s">
        <v>748</v>
      </c>
      <c r="G83" s="3">
        <v>1.2666666666666666</v>
      </c>
      <c r="H83" s="3" t="s">
        <v>12</v>
      </c>
      <c r="I83" s="3">
        <v>-4.869434</v>
      </c>
      <c r="J83" s="3">
        <v>22.326522000000001</v>
      </c>
      <c r="K83" s="3" t="s">
        <v>1010</v>
      </c>
      <c r="L83" s="3" t="s">
        <v>1013</v>
      </c>
      <c r="M8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84" spans="1:13" x14ac:dyDescent="0.35">
      <c r="A84" s="3" t="s">
        <v>754</v>
      </c>
      <c r="B84" s="3" t="s">
        <v>974</v>
      </c>
      <c r="C84">
        <v>45216.673611111109</v>
      </c>
      <c r="D84" t="s">
        <v>775</v>
      </c>
      <c r="E84">
        <v>117</v>
      </c>
      <c r="F84" t="s">
        <v>740</v>
      </c>
      <c r="G84" s="3">
        <v>0.26666666666666666</v>
      </c>
      <c r="H84" s="3" t="s">
        <v>12</v>
      </c>
      <c r="I84" s="3">
        <v>-4.869434</v>
      </c>
      <c r="J84" s="3">
        <v>22.326522000000001</v>
      </c>
      <c r="K84" s="3" t="s">
        <v>1010</v>
      </c>
      <c r="L84" s="3" t="s">
        <v>1013</v>
      </c>
      <c r="M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" spans="1:13" x14ac:dyDescent="0.35">
      <c r="A85" s="3" t="s">
        <v>754</v>
      </c>
      <c r="B85" s="3" t="s">
        <v>986</v>
      </c>
      <c r="C85">
        <v>45201.670138888891</v>
      </c>
      <c r="D85" t="s">
        <v>1068</v>
      </c>
      <c r="E85">
        <v>22</v>
      </c>
      <c r="F85" t="s">
        <v>748</v>
      </c>
      <c r="G85" s="3">
        <v>0.8666666666666667</v>
      </c>
      <c r="H85" s="3" t="s">
        <v>12</v>
      </c>
      <c r="I85" s="3">
        <v>-2.2199559999999998</v>
      </c>
      <c r="J85" s="3">
        <v>22.614449</v>
      </c>
      <c r="K85" s="3" t="s">
        <v>1012</v>
      </c>
      <c r="L85" s="3" t="s">
        <v>1009</v>
      </c>
      <c r="M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" spans="1:13" x14ac:dyDescent="0.35">
      <c r="A86" s="3" t="s">
        <v>754</v>
      </c>
      <c r="B86" s="3" t="s">
        <v>774</v>
      </c>
      <c r="C86">
        <v>45227.211111111108</v>
      </c>
      <c r="D86" t="s">
        <v>1069</v>
      </c>
      <c r="E86">
        <v>38</v>
      </c>
      <c r="F86" t="s">
        <v>740</v>
      </c>
      <c r="G86" s="3">
        <v>1.1000000000000001</v>
      </c>
      <c r="H86" s="3" t="s">
        <v>68</v>
      </c>
      <c r="I86" s="3">
        <v>-12.595355</v>
      </c>
      <c r="J86" s="3">
        <v>17.897442000000002</v>
      </c>
      <c r="K86" s="3" t="s">
        <v>1007</v>
      </c>
      <c r="L86" s="3" t="s">
        <v>1011</v>
      </c>
      <c r="M8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87" spans="1:13" x14ac:dyDescent="0.35">
      <c r="A87" s="3" t="s">
        <v>754</v>
      </c>
      <c r="B87" s="3" t="s">
        <v>960</v>
      </c>
      <c r="C87">
        <v>45219.113194444442</v>
      </c>
      <c r="D87" t="s">
        <v>944</v>
      </c>
      <c r="E87">
        <v>19</v>
      </c>
      <c r="F87" t="s">
        <v>740</v>
      </c>
      <c r="G87" s="3">
        <v>1.85</v>
      </c>
      <c r="H87" s="3" t="s">
        <v>68</v>
      </c>
      <c r="I87" s="3">
        <v>-4.1250960000000001</v>
      </c>
      <c r="J87" s="3">
        <v>27.799897999999999</v>
      </c>
      <c r="K87" s="3" t="s">
        <v>1012</v>
      </c>
      <c r="L87" s="3" t="s">
        <v>1009</v>
      </c>
      <c r="M8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88" spans="1:13" x14ac:dyDescent="0.35">
      <c r="A88" s="3" t="s">
        <v>754</v>
      </c>
      <c r="B88" s="3" t="s">
        <v>960</v>
      </c>
      <c r="C88">
        <v>45227.309027777781</v>
      </c>
      <c r="D88" t="s">
        <v>987</v>
      </c>
      <c r="E88">
        <v>118</v>
      </c>
      <c r="F88" t="s">
        <v>748</v>
      </c>
      <c r="G88" s="3">
        <v>1.8666666666666667</v>
      </c>
      <c r="H88" s="3" t="s">
        <v>68</v>
      </c>
      <c r="I88" s="3">
        <v>-4.1250960000000001</v>
      </c>
      <c r="J88" s="3">
        <v>27.799897999999999</v>
      </c>
      <c r="K88" s="3" t="s">
        <v>1012</v>
      </c>
      <c r="L88" s="3" t="s">
        <v>1009</v>
      </c>
      <c r="M8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89" spans="1:13" x14ac:dyDescent="0.35">
      <c r="A89" s="3" t="s">
        <v>754</v>
      </c>
      <c r="B89" s="3" t="s">
        <v>961</v>
      </c>
      <c r="C89">
        <v>45203.760416666657</v>
      </c>
      <c r="D89" t="s">
        <v>803</v>
      </c>
      <c r="E89">
        <v>18</v>
      </c>
      <c r="F89" t="s">
        <v>748</v>
      </c>
      <c r="G89" s="3">
        <v>1.2333333333333334</v>
      </c>
      <c r="H89" s="3" t="s">
        <v>68</v>
      </c>
      <c r="I89" s="3">
        <v>-4.6426759999999998</v>
      </c>
      <c r="J89" s="3">
        <v>22.124254000000001</v>
      </c>
      <c r="K89" s="3" t="s">
        <v>1007</v>
      </c>
      <c r="L89" s="3" t="s">
        <v>1008</v>
      </c>
      <c r="M8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90" spans="1:13" x14ac:dyDescent="0.35">
      <c r="A90" s="3" t="s">
        <v>754</v>
      </c>
      <c r="B90" s="3" t="s">
        <v>972</v>
      </c>
      <c r="C90">
        <v>45218.793055555558</v>
      </c>
      <c r="D90" t="s">
        <v>1070</v>
      </c>
      <c r="E90">
        <v>100</v>
      </c>
      <c r="F90" t="s">
        <v>748</v>
      </c>
      <c r="G90" s="3">
        <v>1.2</v>
      </c>
      <c r="H90" s="3" t="s">
        <v>68</v>
      </c>
      <c r="I90" s="3">
        <v>-1.9120569999999999</v>
      </c>
      <c r="J90" s="3">
        <v>15.236072999999999</v>
      </c>
      <c r="K90" s="3" t="s">
        <v>1010</v>
      </c>
      <c r="L90" s="3" t="s">
        <v>1011</v>
      </c>
      <c r="M9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91" spans="1:13" x14ac:dyDescent="0.35">
      <c r="A91" s="3" t="s">
        <v>754</v>
      </c>
      <c r="B91" s="3" t="s">
        <v>997</v>
      </c>
      <c r="C91">
        <v>45219.101388888892</v>
      </c>
      <c r="D91" t="s">
        <v>1071</v>
      </c>
      <c r="E91">
        <v>75</v>
      </c>
      <c r="F91" t="s">
        <v>740</v>
      </c>
      <c r="G91" s="3">
        <v>1.4666666666666666</v>
      </c>
      <c r="H91" s="3" t="s">
        <v>68</v>
      </c>
      <c r="I91" s="3">
        <v>-12.364127999999999</v>
      </c>
      <c r="J91" s="3">
        <v>19.576150999999999</v>
      </c>
      <c r="K91" s="3" t="s">
        <v>1012</v>
      </c>
      <c r="L91" s="3" t="s">
        <v>1009</v>
      </c>
      <c r="M9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92" spans="1:13" x14ac:dyDescent="0.35">
      <c r="A92" s="3" t="s">
        <v>754</v>
      </c>
      <c r="B92" s="3" t="s">
        <v>802</v>
      </c>
      <c r="C92">
        <v>45221.775000000001</v>
      </c>
      <c r="D92" t="s">
        <v>971</v>
      </c>
      <c r="E92">
        <v>24</v>
      </c>
      <c r="F92" t="s">
        <v>740</v>
      </c>
      <c r="G92" s="3">
        <v>0.3</v>
      </c>
      <c r="H92" s="3" t="s">
        <v>43</v>
      </c>
      <c r="I92" s="3">
        <v>4.8689660000000003</v>
      </c>
      <c r="J92" s="3">
        <v>25.112373000000002</v>
      </c>
      <c r="K92" s="3" t="s">
        <v>1012</v>
      </c>
      <c r="L92" s="3" t="s">
        <v>1011</v>
      </c>
      <c r="M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" spans="1:13" x14ac:dyDescent="0.35">
      <c r="A93" s="3" t="s">
        <v>754</v>
      </c>
      <c r="B93" s="3" t="s">
        <v>843</v>
      </c>
      <c r="C93">
        <v>45216.457638888889</v>
      </c>
      <c r="D93" t="s">
        <v>851</v>
      </c>
      <c r="E93">
        <v>39</v>
      </c>
      <c r="F93" t="s">
        <v>740</v>
      </c>
      <c r="G93" s="3">
        <v>1.7</v>
      </c>
      <c r="H93" s="3" t="s">
        <v>43</v>
      </c>
      <c r="I93" s="3">
        <v>-4.9789079999999997</v>
      </c>
      <c r="J93" s="3">
        <v>28.506295000000001</v>
      </c>
      <c r="K93" s="3" t="s">
        <v>1007</v>
      </c>
      <c r="L93" s="3" t="s">
        <v>1011</v>
      </c>
      <c r="M9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94" spans="1:13" x14ac:dyDescent="0.35">
      <c r="A94" s="3" t="s">
        <v>754</v>
      </c>
      <c r="B94" s="3" t="s">
        <v>843</v>
      </c>
      <c r="C94">
        <v>45208.279166666667</v>
      </c>
      <c r="D94" t="s">
        <v>914</v>
      </c>
      <c r="E94">
        <v>41</v>
      </c>
      <c r="F94" t="s">
        <v>742</v>
      </c>
      <c r="G94" s="3">
        <v>0.1</v>
      </c>
      <c r="H94" s="3" t="s">
        <v>43</v>
      </c>
      <c r="I94" s="3">
        <v>-4.9789079999999997</v>
      </c>
      <c r="J94" s="3">
        <v>28.506295000000001</v>
      </c>
      <c r="K94" s="3" t="s">
        <v>1007</v>
      </c>
      <c r="L94" s="3" t="s">
        <v>1011</v>
      </c>
      <c r="M9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" spans="1:13" x14ac:dyDescent="0.35">
      <c r="A95" s="3" t="s">
        <v>754</v>
      </c>
      <c r="B95" s="3" t="s">
        <v>925</v>
      </c>
      <c r="C95">
        <v>45222.427083333343</v>
      </c>
      <c r="D95" t="s">
        <v>1072</v>
      </c>
      <c r="E95">
        <v>82</v>
      </c>
      <c r="F95" t="s">
        <v>740</v>
      </c>
      <c r="G95" s="3">
        <v>1.45</v>
      </c>
      <c r="H95" s="3" t="s">
        <v>43</v>
      </c>
      <c r="I95" s="3">
        <v>2.5665840000000002</v>
      </c>
      <c r="J95" s="3">
        <v>15.764796</v>
      </c>
      <c r="K95" s="3" t="s">
        <v>1012</v>
      </c>
      <c r="L95" s="3" t="s">
        <v>1008</v>
      </c>
      <c r="M9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96" spans="1:13" x14ac:dyDescent="0.35">
      <c r="A96" s="3" t="s">
        <v>754</v>
      </c>
      <c r="B96" s="3" t="s">
        <v>959</v>
      </c>
      <c r="C96">
        <v>45208.505555555559</v>
      </c>
      <c r="D96" t="s">
        <v>1073</v>
      </c>
      <c r="E96">
        <v>31</v>
      </c>
      <c r="F96" t="s">
        <v>748</v>
      </c>
      <c r="G96" s="3">
        <v>0.18333333333333332</v>
      </c>
      <c r="H96" s="3" t="s">
        <v>43</v>
      </c>
      <c r="I96" s="3">
        <v>-3.8119990000000001</v>
      </c>
      <c r="J96" s="3">
        <v>20.420048000000001</v>
      </c>
      <c r="K96" s="3" t="s">
        <v>1012</v>
      </c>
      <c r="L96" s="3" t="s">
        <v>1008</v>
      </c>
      <c r="M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" spans="1:13" x14ac:dyDescent="0.35">
      <c r="A97" s="3" t="s">
        <v>754</v>
      </c>
      <c r="B97" s="3" t="s">
        <v>991</v>
      </c>
      <c r="C97">
        <v>45221.84652777778</v>
      </c>
      <c r="D97" t="s">
        <v>866</v>
      </c>
      <c r="E97">
        <v>96</v>
      </c>
      <c r="F97" t="s">
        <v>748</v>
      </c>
      <c r="G97" s="3">
        <v>0.66666666666666663</v>
      </c>
      <c r="H97" s="3" t="s">
        <v>43</v>
      </c>
      <c r="I97" s="3">
        <v>-10.165072</v>
      </c>
      <c r="J97" s="3">
        <v>29.428024000000001</v>
      </c>
      <c r="K97" s="3" t="s">
        <v>1010</v>
      </c>
      <c r="L97" s="3" t="s">
        <v>1011</v>
      </c>
      <c r="M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" spans="1:13" x14ac:dyDescent="0.35">
      <c r="A98" s="3" t="s">
        <v>754</v>
      </c>
      <c r="B98" s="3" t="s">
        <v>991</v>
      </c>
      <c r="C98">
        <v>45214.457638888889</v>
      </c>
      <c r="D98" t="s">
        <v>797</v>
      </c>
      <c r="E98">
        <v>48</v>
      </c>
      <c r="F98" t="s">
        <v>748</v>
      </c>
      <c r="G98" s="3">
        <v>0.56666666666666665</v>
      </c>
      <c r="H98" s="3" t="s">
        <v>43</v>
      </c>
      <c r="I98" s="3">
        <v>-10.165072</v>
      </c>
      <c r="J98" s="3">
        <v>29.428024000000001</v>
      </c>
      <c r="K98" s="3" t="s">
        <v>1010</v>
      </c>
      <c r="L98" s="3" t="s">
        <v>1011</v>
      </c>
      <c r="M9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" spans="1:13" x14ac:dyDescent="0.35">
      <c r="A99" s="3" t="s">
        <v>754</v>
      </c>
      <c r="B99" s="3" t="s">
        <v>991</v>
      </c>
      <c r="C99">
        <v>45224.083333333343</v>
      </c>
      <c r="D99" t="s">
        <v>1074</v>
      </c>
      <c r="E99">
        <v>31</v>
      </c>
      <c r="F99" t="s">
        <v>740</v>
      </c>
      <c r="G99" s="3">
        <v>1.4333333333333333</v>
      </c>
      <c r="H99" s="3" t="s">
        <v>43</v>
      </c>
      <c r="I99" s="3">
        <v>-10.165072</v>
      </c>
      <c r="J99" s="3">
        <v>29.428024000000001</v>
      </c>
      <c r="K99" s="3" t="s">
        <v>1010</v>
      </c>
      <c r="L99" s="3" t="s">
        <v>1011</v>
      </c>
      <c r="M9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00" spans="1:13" x14ac:dyDescent="0.35">
      <c r="A100" s="3" t="s">
        <v>754</v>
      </c>
      <c r="B100" s="3" t="s">
        <v>999</v>
      </c>
      <c r="C100">
        <v>45214.816666666673</v>
      </c>
      <c r="D100" t="s">
        <v>1075</v>
      </c>
      <c r="E100">
        <v>92</v>
      </c>
      <c r="F100" t="s">
        <v>748</v>
      </c>
      <c r="G100" s="3">
        <v>1.65</v>
      </c>
      <c r="H100" s="3" t="s">
        <v>43</v>
      </c>
      <c r="I100" s="3">
        <v>-7.6757720000000003</v>
      </c>
      <c r="J100" s="3">
        <v>30.222971000000001</v>
      </c>
      <c r="K100" s="3" t="s">
        <v>1010</v>
      </c>
      <c r="L100" s="3" t="s">
        <v>1013</v>
      </c>
      <c r="M10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01" spans="1:13" x14ac:dyDescent="0.35">
      <c r="A101" s="3" t="s">
        <v>833</v>
      </c>
      <c r="B101" s="3" t="s">
        <v>760</v>
      </c>
      <c r="C101">
        <v>45230.004861111112</v>
      </c>
      <c r="D101" t="s">
        <v>1076</v>
      </c>
      <c r="E101">
        <v>58</v>
      </c>
      <c r="F101" t="s">
        <v>740</v>
      </c>
      <c r="G101" s="3">
        <v>1.55</v>
      </c>
      <c r="H101" s="3" t="s">
        <v>87</v>
      </c>
      <c r="I101" s="3">
        <v>-10.735106</v>
      </c>
      <c r="J101" s="3">
        <v>27.868673999999999</v>
      </c>
      <c r="K101" s="3" t="s">
        <v>1012</v>
      </c>
      <c r="L101" s="3" t="s">
        <v>1013</v>
      </c>
      <c r="M10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02" spans="1:13" x14ac:dyDescent="0.35">
      <c r="A102" s="3" t="s">
        <v>833</v>
      </c>
      <c r="B102" s="3" t="s">
        <v>784</v>
      </c>
      <c r="C102">
        <v>45228.34097222222</v>
      </c>
      <c r="D102" t="s">
        <v>1077</v>
      </c>
      <c r="E102">
        <v>118</v>
      </c>
      <c r="F102" t="s">
        <v>748</v>
      </c>
      <c r="G102" s="3">
        <v>0.7</v>
      </c>
      <c r="H102" s="3" t="s">
        <v>87</v>
      </c>
      <c r="I102" s="3">
        <v>-7.3379339999999997</v>
      </c>
      <c r="J102" s="3">
        <v>28.404001999999998</v>
      </c>
      <c r="K102" s="3" t="s">
        <v>1012</v>
      </c>
      <c r="L102" s="3" t="s">
        <v>1009</v>
      </c>
      <c r="M10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" spans="1:13" x14ac:dyDescent="0.35">
      <c r="A103" s="3" t="s">
        <v>833</v>
      </c>
      <c r="B103" s="3" t="s">
        <v>795</v>
      </c>
      <c r="C103">
        <v>45218.334722222222</v>
      </c>
      <c r="D103" t="s">
        <v>1078</v>
      </c>
      <c r="E103">
        <v>85</v>
      </c>
      <c r="F103" t="s">
        <v>748</v>
      </c>
      <c r="G103" s="3">
        <v>0.53333333333333333</v>
      </c>
      <c r="H103" s="3" t="s">
        <v>87</v>
      </c>
      <c r="I103" s="3">
        <v>1.897178</v>
      </c>
      <c r="J103" s="3">
        <v>23.902604</v>
      </c>
      <c r="K103" s="3" t="s">
        <v>1012</v>
      </c>
      <c r="L103" s="3" t="s">
        <v>1009</v>
      </c>
      <c r="M1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" spans="1:13" x14ac:dyDescent="0.35">
      <c r="A104" s="3" t="s">
        <v>833</v>
      </c>
      <c r="B104" s="3" t="s">
        <v>828</v>
      </c>
      <c r="C104">
        <v>45203.810416666667</v>
      </c>
      <c r="D104" t="s">
        <v>1079</v>
      </c>
      <c r="E104">
        <v>78</v>
      </c>
      <c r="F104" t="s">
        <v>748</v>
      </c>
      <c r="G104" s="3">
        <v>1.3166666666666667</v>
      </c>
      <c r="H104" s="3" t="s">
        <v>87</v>
      </c>
      <c r="I104" s="3">
        <v>-1.648264</v>
      </c>
      <c r="J104" s="3">
        <v>28.866143999999998</v>
      </c>
      <c r="K104" s="3" t="s">
        <v>1010</v>
      </c>
      <c r="L104" s="3" t="s">
        <v>1013</v>
      </c>
      <c r="M10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05" spans="1:13" x14ac:dyDescent="0.35">
      <c r="A105" s="3" t="s">
        <v>833</v>
      </c>
      <c r="B105" s="3" t="s">
        <v>828</v>
      </c>
      <c r="C105">
        <v>45211.993055555547</v>
      </c>
      <c r="D105" t="s">
        <v>1080</v>
      </c>
      <c r="E105">
        <v>29</v>
      </c>
      <c r="F105" t="s">
        <v>742</v>
      </c>
      <c r="G105" s="3">
        <v>0.13333333333333333</v>
      </c>
      <c r="H105" s="3" t="s">
        <v>87</v>
      </c>
      <c r="I105" s="3">
        <v>-1.648264</v>
      </c>
      <c r="J105" s="3">
        <v>28.866143999999998</v>
      </c>
      <c r="K105" s="3" t="s">
        <v>1010</v>
      </c>
      <c r="L105" s="3" t="s">
        <v>1013</v>
      </c>
      <c r="M1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" spans="1:13" x14ac:dyDescent="0.35">
      <c r="A106" s="3" t="s">
        <v>833</v>
      </c>
      <c r="B106" s="3" t="s">
        <v>851</v>
      </c>
      <c r="C106">
        <v>45210.568055555559</v>
      </c>
      <c r="D106" t="s">
        <v>983</v>
      </c>
      <c r="E106">
        <v>96</v>
      </c>
      <c r="F106" t="s">
        <v>740</v>
      </c>
      <c r="G106" s="3">
        <v>0.65</v>
      </c>
      <c r="H106" s="3" t="s">
        <v>87</v>
      </c>
      <c r="I106" s="3">
        <v>-9.5266249999999992</v>
      </c>
      <c r="J106" s="3">
        <v>27.889690999999999</v>
      </c>
      <c r="K106" s="3" t="s">
        <v>1007</v>
      </c>
      <c r="L106" s="3" t="s">
        <v>1013</v>
      </c>
      <c r="M1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" spans="1:13" x14ac:dyDescent="0.35">
      <c r="A107" s="3" t="s">
        <v>833</v>
      </c>
      <c r="B107" s="3" t="s">
        <v>868</v>
      </c>
      <c r="C107">
        <v>45216.14166666667</v>
      </c>
      <c r="D107" t="s">
        <v>869</v>
      </c>
      <c r="E107">
        <v>94</v>
      </c>
      <c r="F107" t="s">
        <v>740</v>
      </c>
      <c r="G107" s="3">
        <v>0.15</v>
      </c>
      <c r="H107" s="3" t="s">
        <v>87</v>
      </c>
      <c r="I107" s="3">
        <v>-12.560556999999999</v>
      </c>
      <c r="J107" s="3">
        <v>13.204014000000001</v>
      </c>
      <c r="K107" s="3" t="s">
        <v>1007</v>
      </c>
      <c r="L107" s="3" t="s">
        <v>1013</v>
      </c>
      <c r="M10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8" spans="1:13" x14ac:dyDescent="0.35">
      <c r="A108" s="3" t="s">
        <v>833</v>
      </c>
      <c r="B108" s="3" t="s">
        <v>876</v>
      </c>
      <c r="C108">
        <v>45228.758333333331</v>
      </c>
      <c r="D108" t="s">
        <v>1081</v>
      </c>
      <c r="E108">
        <v>54</v>
      </c>
      <c r="F108" t="s">
        <v>740</v>
      </c>
      <c r="G108" s="3">
        <v>0.46666666666666667</v>
      </c>
      <c r="H108" s="3" t="s">
        <v>87</v>
      </c>
      <c r="I108" s="3">
        <v>-3.111418</v>
      </c>
      <c r="J108" s="3">
        <v>14.144854</v>
      </c>
      <c r="K108" s="3" t="s">
        <v>1007</v>
      </c>
      <c r="L108" s="3" t="s">
        <v>1008</v>
      </c>
      <c r="M10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9" spans="1:13" x14ac:dyDescent="0.35">
      <c r="A109" s="3" t="s">
        <v>833</v>
      </c>
      <c r="B109" s="3" t="s">
        <v>876</v>
      </c>
      <c r="C109">
        <v>45208.072916666657</v>
      </c>
      <c r="D109" t="s">
        <v>1082</v>
      </c>
      <c r="E109">
        <v>68</v>
      </c>
      <c r="F109" t="s">
        <v>740</v>
      </c>
      <c r="G109" s="3">
        <v>1.4666666666666666</v>
      </c>
      <c r="H109" s="3" t="s">
        <v>87</v>
      </c>
      <c r="I109" s="3">
        <v>-3.111418</v>
      </c>
      <c r="J109" s="3">
        <v>14.144854</v>
      </c>
      <c r="K109" s="3" t="s">
        <v>1007</v>
      </c>
      <c r="L109" s="3" t="s">
        <v>1008</v>
      </c>
      <c r="M10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10" spans="1:13" x14ac:dyDescent="0.35">
      <c r="A110" s="3" t="s">
        <v>833</v>
      </c>
      <c r="B110" s="3" t="s">
        <v>876</v>
      </c>
      <c r="C110">
        <v>45213.022916666669</v>
      </c>
      <c r="D110" t="s">
        <v>951</v>
      </c>
      <c r="E110">
        <v>56</v>
      </c>
      <c r="F110" t="s">
        <v>748</v>
      </c>
      <c r="G110" s="3">
        <v>0.6</v>
      </c>
      <c r="H110" s="3" t="s">
        <v>87</v>
      </c>
      <c r="I110" s="3">
        <v>-3.111418</v>
      </c>
      <c r="J110" s="3">
        <v>14.144854</v>
      </c>
      <c r="K110" s="3" t="s">
        <v>1007</v>
      </c>
      <c r="L110" s="3" t="s">
        <v>1008</v>
      </c>
      <c r="M1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11" spans="1:13" x14ac:dyDescent="0.35">
      <c r="A111" s="3" t="s">
        <v>833</v>
      </c>
      <c r="B111" s="3" t="s">
        <v>890</v>
      </c>
      <c r="C111">
        <v>45229.738194444442</v>
      </c>
      <c r="D111" t="s">
        <v>984</v>
      </c>
      <c r="E111">
        <v>36</v>
      </c>
      <c r="F111" t="s">
        <v>742</v>
      </c>
      <c r="G111" s="3">
        <v>1.7</v>
      </c>
      <c r="H111" s="3" t="s">
        <v>87</v>
      </c>
      <c r="I111" s="3">
        <v>-4.4451280000000004</v>
      </c>
      <c r="J111" s="3">
        <v>16.536944999999999</v>
      </c>
      <c r="K111" s="3" t="s">
        <v>1007</v>
      </c>
      <c r="L111" s="3" t="s">
        <v>1013</v>
      </c>
      <c r="M11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12" spans="1:13" x14ac:dyDescent="0.35">
      <c r="A112" s="3" t="s">
        <v>833</v>
      </c>
      <c r="B112" s="3" t="s">
        <v>890</v>
      </c>
      <c r="C112">
        <v>45223.990972222222</v>
      </c>
      <c r="D112" t="s">
        <v>1083</v>
      </c>
      <c r="E112">
        <v>23</v>
      </c>
      <c r="F112" t="s">
        <v>740</v>
      </c>
      <c r="G112" s="3">
        <v>1.7833333333333334</v>
      </c>
      <c r="H112" s="3" t="s">
        <v>87</v>
      </c>
      <c r="I112" s="3">
        <v>-4.4451280000000004</v>
      </c>
      <c r="J112" s="3">
        <v>16.536944999999999</v>
      </c>
      <c r="K112" s="3" t="s">
        <v>1007</v>
      </c>
      <c r="L112" s="3" t="s">
        <v>1013</v>
      </c>
      <c r="M11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13" spans="1:13" x14ac:dyDescent="0.35">
      <c r="A113" s="3" t="s">
        <v>833</v>
      </c>
      <c r="B113" s="3" t="s">
        <v>950</v>
      </c>
      <c r="C113">
        <v>45221.265972222223</v>
      </c>
      <c r="D113" t="s">
        <v>865</v>
      </c>
      <c r="E113">
        <v>88</v>
      </c>
      <c r="F113" t="s">
        <v>742</v>
      </c>
      <c r="G113" s="3">
        <v>1.2333333333333334</v>
      </c>
      <c r="H113" s="3" t="s">
        <v>87</v>
      </c>
      <c r="I113" s="3">
        <v>-5.8352820000000003</v>
      </c>
      <c r="J113" s="3">
        <v>26.603978000000001</v>
      </c>
      <c r="K113" s="3" t="s">
        <v>1007</v>
      </c>
      <c r="L113" s="3" t="s">
        <v>1011</v>
      </c>
      <c r="M11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14" spans="1:13" x14ac:dyDescent="0.35">
      <c r="A114" s="3" t="s">
        <v>833</v>
      </c>
      <c r="B114" s="3" t="s">
        <v>982</v>
      </c>
      <c r="C114">
        <v>45213.112500000003</v>
      </c>
      <c r="D114" t="s">
        <v>1084</v>
      </c>
      <c r="E114">
        <v>93</v>
      </c>
      <c r="F114" t="s">
        <v>740</v>
      </c>
      <c r="G114" s="3">
        <v>0.81666666666666665</v>
      </c>
      <c r="H114" s="3" t="s">
        <v>87</v>
      </c>
      <c r="I114" s="3">
        <v>-10.414493</v>
      </c>
      <c r="J114" s="3">
        <v>12.333356999999999</v>
      </c>
      <c r="K114" s="3" t="s">
        <v>1012</v>
      </c>
      <c r="L114" s="3" t="s">
        <v>1013</v>
      </c>
      <c r="M1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15" spans="1:13" x14ac:dyDescent="0.35">
      <c r="A115" s="3" t="s">
        <v>833</v>
      </c>
      <c r="B115" s="3" t="s">
        <v>982</v>
      </c>
      <c r="C115">
        <v>45229.443749999999</v>
      </c>
      <c r="D115" t="s">
        <v>989</v>
      </c>
      <c r="E115">
        <v>5</v>
      </c>
      <c r="F115" t="s">
        <v>740</v>
      </c>
      <c r="G115" s="3">
        <v>1.1833333333333333</v>
      </c>
      <c r="H115" s="3" t="s">
        <v>87</v>
      </c>
      <c r="I115" s="3">
        <v>-10.414493</v>
      </c>
      <c r="J115" s="3">
        <v>12.333356999999999</v>
      </c>
      <c r="K115" s="3" t="s">
        <v>1012</v>
      </c>
      <c r="L115" s="3" t="s">
        <v>1013</v>
      </c>
      <c r="M11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16" spans="1:13" x14ac:dyDescent="0.35">
      <c r="A116" s="3" t="s">
        <v>833</v>
      </c>
      <c r="B116" s="3" t="s">
        <v>982</v>
      </c>
      <c r="C116">
        <v>45210.912499999999</v>
      </c>
      <c r="D116" t="s">
        <v>1085</v>
      </c>
      <c r="E116">
        <v>119</v>
      </c>
      <c r="F116" t="s">
        <v>748</v>
      </c>
      <c r="G116" s="3">
        <v>1.55</v>
      </c>
      <c r="H116" s="3" t="s">
        <v>87</v>
      </c>
      <c r="I116" s="3">
        <v>-10.414493</v>
      </c>
      <c r="J116" s="3">
        <v>12.333356999999999</v>
      </c>
      <c r="K116" s="3" t="s">
        <v>1012</v>
      </c>
      <c r="L116" s="3" t="s">
        <v>1013</v>
      </c>
      <c r="M11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17" spans="1:13" x14ac:dyDescent="0.35">
      <c r="A117" s="3" t="s">
        <v>833</v>
      </c>
      <c r="B117" s="3" t="s">
        <v>982</v>
      </c>
      <c r="C117">
        <v>45203.997916666667</v>
      </c>
      <c r="D117" t="s">
        <v>870</v>
      </c>
      <c r="E117">
        <v>101</v>
      </c>
      <c r="F117" t="s">
        <v>748</v>
      </c>
      <c r="G117" s="3">
        <v>1</v>
      </c>
      <c r="H117" s="3" t="s">
        <v>87</v>
      </c>
      <c r="I117" s="3">
        <v>-10.414493</v>
      </c>
      <c r="J117" s="3">
        <v>12.333356999999999</v>
      </c>
      <c r="K117" s="3" t="s">
        <v>1012</v>
      </c>
      <c r="L117" s="3" t="s">
        <v>1013</v>
      </c>
      <c r="M11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18" spans="1:13" x14ac:dyDescent="0.35">
      <c r="A118" s="3" t="s">
        <v>833</v>
      </c>
      <c r="B118" s="3" t="s">
        <v>989</v>
      </c>
      <c r="C118">
        <v>45209.679861111108</v>
      </c>
      <c r="D118" t="s">
        <v>1086</v>
      </c>
      <c r="E118">
        <v>115</v>
      </c>
      <c r="F118" t="s">
        <v>748</v>
      </c>
      <c r="G118" s="3">
        <v>8.3333333333333329E-2</v>
      </c>
      <c r="H118" s="3" t="s">
        <v>87</v>
      </c>
      <c r="I118" s="3">
        <v>-6.6803710000000001</v>
      </c>
      <c r="J118" s="3">
        <v>21.955673000000001</v>
      </c>
      <c r="K118" s="3" t="s">
        <v>1007</v>
      </c>
      <c r="L118" s="3" t="s">
        <v>1009</v>
      </c>
      <c r="M1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19" spans="1:13" x14ac:dyDescent="0.35">
      <c r="A119" s="3" t="s">
        <v>833</v>
      </c>
      <c r="B119" s="3" t="s">
        <v>771</v>
      </c>
      <c r="C119">
        <v>45221.555555555547</v>
      </c>
      <c r="D119" t="s">
        <v>1087</v>
      </c>
      <c r="E119">
        <v>103</v>
      </c>
      <c r="F119" t="s">
        <v>742</v>
      </c>
      <c r="G119" s="3">
        <v>0.1</v>
      </c>
      <c r="H119" s="3" t="s">
        <v>56</v>
      </c>
      <c r="I119" s="3">
        <v>1.7832440000000001</v>
      </c>
      <c r="J119" s="3">
        <v>25.477405999999998</v>
      </c>
      <c r="K119" s="3" t="s">
        <v>1010</v>
      </c>
      <c r="L119" s="3" t="s">
        <v>1011</v>
      </c>
      <c r="M1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20" spans="1:13" x14ac:dyDescent="0.35">
      <c r="A120" s="3" t="s">
        <v>833</v>
      </c>
      <c r="B120" s="3" t="s">
        <v>806</v>
      </c>
      <c r="C120">
        <v>45212.929166666669</v>
      </c>
      <c r="D120" t="s">
        <v>1088</v>
      </c>
      <c r="E120">
        <v>118</v>
      </c>
      <c r="F120" t="s">
        <v>748</v>
      </c>
      <c r="G120" s="3">
        <v>0.16666666666666666</v>
      </c>
      <c r="H120" s="3" t="s">
        <v>56</v>
      </c>
      <c r="I120" s="3">
        <v>-1.648326</v>
      </c>
      <c r="J120" s="3">
        <v>25.528901999999999</v>
      </c>
      <c r="K120" s="3" t="s">
        <v>1007</v>
      </c>
      <c r="L120" s="3" t="s">
        <v>1011</v>
      </c>
      <c r="M1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21" spans="1:13" x14ac:dyDescent="0.35">
      <c r="A121" s="3" t="s">
        <v>833</v>
      </c>
      <c r="B121" s="3" t="s">
        <v>838</v>
      </c>
      <c r="C121">
        <v>45217.175000000003</v>
      </c>
      <c r="D121" t="s">
        <v>979</v>
      </c>
      <c r="E121">
        <v>18</v>
      </c>
      <c r="F121" t="s">
        <v>748</v>
      </c>
      <c r="G121" s="3">
        <v>1.6166666666666667</v>
      </c>
      <c r="H121" s="3" t="s">
        <v>56</v>
      </c>
      <c r="I121" s="3">
        <v>-4.3639070000000002</v>
      </c>
      <c r="J121" s="3">
        <v>16.283307000000001</v>
      </c>
      <c r="K121" s="3" t="s">
        <v>1010</v>
      </c>
      <c r="L121" s="3" t="s">
        <v>1011</v>
      </c>
      <c r="M12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22" spans="1:13" x14ac:dyDescent="0.35">
      <c r="A122" s="3" t="s">
        <v>833</v>
      </c>
      <c r="B122" s="3" t="s">
        <v>839</v>
      </c>
      <c r="C122">
        <v>45213.89166666667</v>
      </c>
      <c r="D122" t="s">
        <v>1089</v>
      </c>
      <c r="E122">
        <v>104</v>
      </c>
      <c r="F122" t="s">
        <v>740</v>
      </c>
      <c r="G122" s="3">
        <v>1.1000000000000001</v>
      </c>
      <c r="H122" s="3" t="s">
        <v>56</v>
      </c>
      <c r="I122" s="3">
        <v>-5.4073029999999997</v>
      </c>
      <c r="J122" s="3">
        <v>29.762294000000001</v>
      </c>
      <c r="K122" s="3" t="s">
        <v>1012</v>
      </c>
      <c r="L122" s="3" t="s">
        <v>1013</v>
      </c>
      <c r="M12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23" spans="1:13" x14ac:dyDescent="0.35">
      <c r="A123" s="3" t="s">
        <v>833</v>
      </c>
      <c r="B123" s="3" t="s">
        <v>839</v>
      </c>
      <c r="C123">
        <v>45221.997916666667</v>
      </c>
      <c r="D123" t="s">
        <v>1090</v>
      </c>
      <c r="E123">
        <v>59</v>
      </c>
      <c r="F123" t="s">
        <v>740</v>
      </c>
      <c r="G123" s="3">
        <v>0.51666666666666672</v>
      </c>
      <c r="H123" s="3" t="s">
        <v>56</v>
      </c>
      <c r="I123" s="3">
        <v>-5.4073029999999997</v>
      </c>
      <c r="J123" s="3">
        <v>29.762294000000001</v>
      </c>
      <c r="K123" s="3" t="s">
        <v>1012</v>
      </c>
      <c r="L123" s="3" t="s">
        <v>1013</v>
      </c>
      <c r="M1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24" spans="1:13" x14ac:dyDescent="0.35">
      <c r="A124" s="3" t="s">
        <v>833</v>
      </c>
      <c r="B124" s="3" t="s">
        <v>976</v>
      </c>
      <c r="C124">
        <v>45205.816666666673</v>
      </c>
      <c r="D124" t="s">
        <v>1091</v>
      </c>
      <c r="E124">
        <v>33</v>
      </c>
      <c r="F124" t="s">
        <v>748</v>
      </c>
      <c r="G124" s="3">
        <v>8.3333333333333329E-2</v>
      </c>
      <c r="H124" s="3" t="s">
        <v>56</v>
      </c>
      <c r="I124" s="3">
        <v>2.486888</v>
      </c>
      <c r="J124" s="3">
        <v>23.798074</v>
      </c>
      <c r="K124" s="3" t="s">
        <v>1010</v>
      </c>
      <c r="L124" s="3" t="s">
        <v>1008</v>
      </c>
      <c r="M1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25" spans="1:13" x14ac:dyDescent="0.35">
      <c r="A125" s="3" t="s">
        <v>833</v>
      </c>
      <c r="B125" s="3" t="s">
        <v>976</v>
      </c>
      <c r="C125">
        <v>45209.524305555547</v>
      </c>
      <c r="D125" t="s">
        <v>955</v>
      </c>
      <c r="E125">
        <v>27</v>
      </c>
      <c r="F125" t="s">
        <v>748</v>
      </c>
      <c r="G125" s="3">
        <v>0.56666666666666665</v>
      </c>
      <c r="H125" s="3" t="s">
        <v>56</v>
      </c>
      <c r="I125" s="3">
        <v>2.486888</v>
      </c>
      <c r="J125" s="3">
        <v>23.798074</v>
      </c>
      <c r="K125" s="3" t="s">
        <v>1010</v>
      </c>
      <c r="L125" s="3" t="s">
        <v>1008</v>
      </c>
      <c r="M1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26" spans="1:13" x14ac:dyDescent="0.35">
      <c r="A126" s="3" t="s">
        <v>833</v>
      </c>
      <c r="B126" s="3" t="s">
        <v>1004</v>
      </c>
      <c r="C126">
        <v>45226.013194444437</v>
      </c>
      <c r="D126" t="s">
        <v>1092</v>
      </c>
      <c r="E126">
        <v>107</v>
      </c>
      <c r="F126" t="s">
        <v>742</v>
      </c>
      <c r="G126" s="3">
        <v>1.8166666666666667</v>
      </c>
      <c r="H126" s="3" t="s">
        <v>56</v>
      </c>
      <c r="I126" s="3">
        <v>0.639208</v>
      </c>
      <c r="J126" s="3">
        <v>20.701739</v>
      </c>
      <c r="K126" s="3" t="s">
        <v>1007</v>
      </c>
      <c r="L126" s="3" t="s">
        <v>1011</v>
      </c>
      <c r="M12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27" spans="1:13" x14ac:dyDescent="0.35">
      <c r="A127" s="3" t="s">
        <v>833</v>
      </c>
      <c r="B127" s="3" t="s">
        <v>755</v>
      </c>
      <c r="C127">
        <v>45209.268750000003</v>
      </c>
      <c r="D127" t="s">
        <v>1093</v>
      </c>
      <c r="E127">
        <v>94</v>
      </c>
      <c r="F127" t="s">
        <v>742</v>
      </c>
      <c r="G127" s="3">
        <v>1.8</v>
      </c>
      <c r="H127" s="3" t="s">
        <v>30</v>
      </c>
      <c r="I127" s="3">
        <v>-10.227569000000001</v>
      </c>
      <c r="J127" s="3">
        <v>18.887930999999998</v>
      </c>
      <c r="K127" s="3" t="s">
        <v>1012</v>
      </c>
      <c r="L127" s="3" t="s">
        <v>1008</v>
      </c>
      <c r="M12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28" spans="1:13" x14ac:dyDescent="0.35">
      <c r="A128" s="3" t="s">
        <v>833</v>
      </c>
      <c r="B128" s="3" t="s">
        <v>807</v>
      </c>
      <c r="C128">
        <v>45225.776388888888</v>
      </c>
      <c r="D128" t="s">
        <v>929</v>
      </c>
      <c r="E128">
        <v>71</v>
      </c>
      <c r="F128" t="s">
        <v>740</v>
      </c>
      <c r="G128" s="3">
        <v>0.38333333333333336</v>
      </c>
      <c r="H128" s="3" t="s">
        <v>30</v>
      </c>
      <c r="I128" s="3">
        <v>-11.389362</v>
      </c>
      <c r="J128" s="3">
        <v>22.240174</v>
      </c>
      <c r="K128" s="3" t="s">
        <v>1010</v>
      </c>
      <c r="L128" s="3" t="s">
        <v>1008</v>
      </c>
      <c r="M1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29" spans="1:13" x14ac:dyDescent="0.35">
      <c r="A129" s="3" t="s">
        <v>833</v>
      </c>
      <c r="B129" s="3" t="s">
        <v>807</v>
      </c>
      <c r="C129">
        <v>45220.436805555553</v>
      </c>
      <c r="D129" t="s">
        <v>832</v>
      </c>
      <c r="E129">
        <v>64</v>
      </c>
      <c r="F129" t="s">
        <v>742</v>
      </c>
      <c r="G129" s="3">
        <v>0.2</v>
      </c>
      <c r="H129" s="3" t="s">
        <v>30</v>
      </c>
      <c r="I129" s="3">
        <v>-11.389362</v>
      </c>
      <c r="J129" s="3">
        <v>22.240174</v>
      </c>
      <c r="K129" s="3" t="s">
        <v>1010</v>
      </c>
      <c r="L129" s="3" t="s">
        <v>1008</v>
      </c>
      <c r="M1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30" spans="1:13" x14ac:dyDescent="0.35">
      <c r="A130" s="3" t="s">
        <v>833</v>
      </c>
      <c r="B130" s="3" t="s">
        <v>807</v>
      </c>
      <c r="C130">
        <v>45214.613194444442</v>
      </c>
      <c r="D130" t="s">
        <v>1094</v>
      </c>
      <c r="E130">
        <v>11</v>
      </c>
      <c r="F130" t="s">
        <v>748</v>
      </c>
      <c r="G130" s="3">
        <v>1.2333333333333334</v>
      </c>
      <c r="H130" s="3" t="s">
        <v>30</v>
      </c>
      <c r="I130" s="3">
        <v>-11.389362</v>
      </c>
      <c r="J130" s="3">
        <v>22.240174</v>
      </c>
      <c r="K130" s="3" t="s">
        <v>1010</v>
      </c>
      <c r="L130" s="3" t="s">
        <v>1008</v>
      </c>
      <c r="M13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31" spans="1:13" x14ac:dyDescent="0.35">
      <c r="A131" s="3" t="s">
        <v>833</v>
      </c>
      <c r="B131" s="3" t="s">
        <v>831</v>
      </c>
      <c r="C131">
        <v>45206.6875</v>
      </c>
      <c r="D131" t="s">
        <v>1095</v>
      </c>
      <c r="E131">
        <v>76</v>
      </c>
      <c r="F131" t="s">
        <v>748</v>
      </c>
      <c r="G131" s="3">
        <v>1.4666666666666666</v>
      </c>
      <c r="H131" s="3" t="s">
        <v>30</v>
      </c>
      <c r="I131" s="3">
        <v>-1.6097570000000001</v>
      </c>
      <c r="J131" s="3">
        <v>30.661662</v>
      </c>
      <c r="K131" s="3" t="s">
        <v>1007</v>
      </c>
      <c r="L131" s="3" t="s">
        <v>1013</v>
      </c>
      <c r="M13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32" spans="1:13" x14ac:dyDescent="0.35">
      <c r="A132" s="3" t="s">
        <v>833</v>
      </c>
      <c r="B132" s="3" t="s">
        <v>831</v>
      </c>
      <c r="C132">
        <v>45225.965277777781</v>
      </c>
      <c r="D132" t="s">
        <v>1096</v>
      </c>
      <c r="E132">
        <v>36</v>
      </c>
      <c r="F132" t="s">
        <v>740</v>
      </c>
      <c r="G132" s="3">
        <v>0.8833333333333333</v>
      </c>
      <c r="H132" s="3" t="s">
        <v>30</v>
      </c>
      <c r="I132" s="3">
        <v>-1.6097570000000001</v>
      </c>
      <c r="J132" s="3">
        <v>30.661662</v>
      </c>
      <c r="K132" s="3" t="s">
        <v>1007</v>
      </c>
      <c r="L132" s="3" t="s">
        <v>1013</v>
      </c>
      <c r="M1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33" spans="1:13" x14ac:dyDescent="0.35">
      <c r="A133" s="3" t="s">
        <v>833</v>
      </c>
      <c r="B133" s="3" t="s">
        <v>847</v>
      </c>
      <c r="C133">
        <v>45221.095833333333</v>
      </c>
      <c r="D133" t="s">
        <v>1097</v>
      </c>
      <c r="E133">
        <v>113</v>
      </c>
      <c r="F133" t="s">
        <v>748</v>
      </c>
      <c r="G133" s="3">
        <v>0.46666666666666667</v>
      </c>
      <c r="H133" s="3" t="s">
        <v>30</v>
      </c>
      <c r="I133" s="3">
        <v>-0.90854400000000002</v>
      </c>
      <c r="J133" s="3">
        <v>17.154896999999998</v>
      </c>
      <c r="K133" s="3" t="s">
        <v>1012</v>
      </c>
      <c r="L133" s="3" t="s">
        <v>1011</v>
      </c>
      <c r="M1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34" spans="1:13" x14ac:dyDescent="0.35">
      <c r="A134" s="3" t="s">
        <v>833</v>
      </c>
      <c r="B134" s="3" t="s">
        <v>865</v>
      </c>
      <c r="C134">
        <v>45216.902777777781</v>
      </c>
      <c r="D134" t="s">
        <v>927</v>
      </c>
      <c r="E134">
        <v>20</v>
      </c>
      <c r="F134" t="s">
        <v>748</v>
      </c>
      <c r="G134" s="3">
        <v>1.4666666666666666</v>
      </c>
      <c r="H134" s="3" t="s">
        <v>30</v>
      </c>
      <c r="I134" s="3">
        <v>-1.339734</v>
      </c>
      <c r="J134" s="3">
        <v>15.243098</v>
      </c>
      <c r="K134" s="3" t="s">
        <v>1012</v>
      </c>
      <c r="L134" s="3" t="s">
        <v>1009</v>
      </c>
      <c r="M13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35" spans="1:13" x14ac:dyDescent="0.35">
      <c r="A135" s="3" t="s">
        <v>833</v>
      </c>
      <c r="B135" s="3" t="s">
        <v>897</v>
      </c>
      <c r="C135">
        <v>45219.420138888891</v>
      </c>
      <c r="D135" t="s">
        <v>1098</v>
      </c>
      <c r="E135">
        <v>63</v>
      </c>
      <c r="F135" t="s">
        <v>748</v>
      </c>
      <c r="G135" s="3">
        <v>1.65</v>
      </c>
      <c r="H135" s="3" t="s">
        <v>30</v>
      </c>
      <c r="I135" s="3">
        <v>-2.6665070000000002</v>
      </c>
      <c r="J135" s="3">
        <v>18.623692999999999</v>
      </c>
      <c r="K135" s="3" t="s">
        <v>1012</v>
      </c>
      <c r="L135" s="3" t="s">
        <v>1008</v>
      </c>
      <c r="M13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36" spans="1:13" x14ac:dyDescent="0.35">
      <c r="A136" s="3" t="s">
        <v>833</v>
      </c>
      <c r="B136" s="3" t="s">
        <v>897</v>
      </c>
      <c r="C136">
        <v>45226.321527777778</v>
      </c>
      <c r="D136" t="s">
        <v>1099</v>
      </c>
      <c r="E136">
        <v>22</v>
      </c>
      <c r="F136" t="s">
        <v>748</v>
      </c>
      <c r="G136" s="3">
        <v>0.36666666666666664</v>
      </c>
      <c r="H136" s="3" t="s">
        <v>30</v>
      </c>
      <c r="I136" s="3">
        <v>-2.6665070000000002</v>
      </c>
      <c r="J136" s="3">
        <v>18.623692999999999</v>
      </c>
      <c r="K136" s="3" t="s">
        <v>1012</v>
      </c>
      <c r="L136" s="3" t="s">
        <v>1008</v>
      </c>
      <c r="M1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37" spans="1:13" x14ac:dyDescent="0.35">
      <c r="A137" s="3" t="s">
        <v>833</v>
      </c>
      <c r="B137" s="3" t="s">
        <v>970</v>
      </c>
      <c r="C137">
        <v>45209.32708333333</v>
      </c>
      <c r="D137" t="s">
        <v>1100</v>
      </c>
      <c r="E137">
        <v>107</v>
      </c>
      <c r="F137" t="s">
        <v>742</v>
      </c>
      <c r="G137" s="3">
        <v>1.0166666666666666</v>
      </c>
      <c r="H137" s="3" t="s">
        <v>30</v>
      </c>
      <c r="I137" s="3">
        <v>-7.1079169999999996</v>
      </c>
      <c r="J137" s="3">
        <v>13.636272</v>
      </c>
      <c r="K137" s="3" t="s">
        <v>1010</v>
      </c>
      <c r="L137" s="3" t="s">
        <v>1009</v>
      </c>
      <c r="M13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38" spans="1:13" x14ac:dyDescent="0.35">
      <c r="A138" s="3" t="s">
        <v>833</v>
      </c>
      <c r="B138" s="3" t="s">
        <v>970</v>
      </c>
      <c r="C138">
        <v>45206.167361111111</v>
      </c>
      <c r="D138" t="s">
        <v>1101</v>
      </c>
      <c r="E138">
        <v>64</v>
      </c>
      <c r="F138" t="s">
        <v>742</v>
      </c>
      <c r="G138" s="3">
        <v>0.23333333333333334</v>
      </c>
      <c r="H138" s="3" t="s">
        <v>30</v>
      </c>
      <c r="I138" s="3">
        <v>-7.1079169999999996</v>
      </c>
      <c r="J138" s="3">
        <v>13.636272</v>
      </c>
      <c r="K138" s="3" t="s">
        <v>1010</v>
      </c>
      <c r="L138" s="3" t="s">
        <v>1009</v>
      </c>
      <c r="M1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39" spans="1:13" x14ac:dyDescent="0.35">
      <c r="A139" s="3" t="s">
        <v>833</v>
      </c>
      <c r="B139" s="3" t="s">
        <v>983</v>
      </c>
      <c r="C139">
        <v>45201.3125</v>
      </c>
      <c r="D139" t="s">
        <v>1102</v>
      </c>
      <c r="E139">
        <v>90</v>
      </c>
      <c r="F139" t="s">
        <v>742</v>
      </c>
      <c r="G139" s="3">
        <v>1.6</v>
      </c>
      <c r="H139" s="3" t="s">
        <v>30</v>
      </c>
      <c r="I139" s="3">
        <v>-5.4126279999999998</v>
      </c>
      <c r="J139" s="3">
        <v>25.498235999999999</v>
      </c>
      <c r="K139" s="3" t="s">
        <v>1010</v>
      </c>
      <c r="L139" s="3" t="s">
        <v>1008</v>
      </c>
      <c r="M13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0" spans="1:13" x14ac:dyDescent="0.35">
      <c r="A140" s="3" t="s">
        <v>833</v>
      </c>
      <c r="B140" s="3" t="s">
        <v>996</v>
      </c>
      <c r="C140">
        <v>45219.103472222218</v>
      </c>
      <c r="D140" t="s">
        <v>837</v>
      </c>
      <c r="E140">
        <v>72</v>
      </c>
      <c r="F140" t="s">
        <v>742</v>
      </c>
      <c r="G140" s="3">
        <v>1.2833333333333334</v>
      </c>
      <c r="H140" s="3" t="s">
        <v>30</v>
      </c>
      <c r="I140" s="3">
        <v>-0.57104900000000003</v>
      </c>
      <c r="J140" s="3">
        <v>15.317663</v>
      </c>
      <c r="K140" s="3" t="s">
        <v>1010</v>
      </c>
      <c r="L140" s="3" t="s">
        <v>1009</v>
      </c>
      <c r="M14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1" spans="1:13" x14ac:dyDescent="0.35">
      <c r="A141" s="3" t="s">
        <v>781</v>
      </c>
      <c r="B141" s="3" t="s">
        <v>787</v>
      </c>
      <c r="C141">
        <v>45200.51458333333</v>
      </c>
      <c r="D141" t="s">
        <v>834</v>
      </c>
      <c r="E141">
        <v>24</v>
      </c>
      <c r="F141" t="s">
        <v>748</v>
      </c>
      <c r="G141" s="3">
        <v>0.35</v>
      </c>
      <c r="H141" s="3" t="s">
        <v>104</v>
      </c>
      <c r="I141" s="3">
        <v>2.975352</v>
      </c>
      <c r="J141" s="3">
        <v>22.535886000000001</v>
      </c>
      <c r="K141" s="3" t="s">
        <v>1007</v>
      </c>
      <c r="L141" s="3" t="s">
        <v>1011</v>
      </c>
      <c r="M1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42" spans="1:13" x14ac:dyDescent="0.35">
      <c r="A142" s="3" t="s">
        <v>781</v>
      </c>
      <c r="B142" s="3" t="s">
        <v>787</v>
      </c>
      <c r="C142">
        <v>45221.910416666673</v>
      </c>
      <c r="D142" t="s">
        <v>982</v>
      </c>
      <c r="E142">
        <v>60</v>
      </c>
      <c r="F142" t="s">
        <v>742</v>
      </c>
      <c r="G142" s="3">
        <v>1.8833333333333333</v>
      </c>
      <c r="H142" s="3" t="s">
        <v>104</v>
      </c>
      <c r="I142" s="3">
        <v>2.975352</v>
      </c>
      <c r="J142" s="3">
        <v>22.535886000000001</v>
      </c>
      <c r="K142" s="3" t="s">
        <v>1007</v>
      </c>
      <c r="L142" s="3" t="s">
        <v>1011</v>
      </c>
      <c r="M14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3" spans="1:13" x14ac:dyDescent="0.35">
      <c r="A143" s="3" t="s">
        <v>781</v>
      </c>
      <c r="B143" s="3" t="s">
        <v>787</v>
      </c>
      <c r="C143">
        <v>45212.965277777781</v>
      </c>
      <c r="D143" t="s">
        <v>918</v>
      </c>
      <c r="E143">
        <v>27</v>
      </c>
      <c r="F143" t="s">
        <v>748</v>
      </c>
      <c r="G143" s="3">
        <v>0.1</v>
      </c>
      <c r="H143" s="3" t="s">
        <v>104</v>
      </c>
      <c r="I143" s="3">
        <v>2.975352</v>
      </c>
      <c r="J143" s="3">
        <v>22.535886000000001</v>
      </c>
      <c r="K143" s="3" t="s">
        <v>1007</v>
      </c>
      <c r="L143" s="3" t="s">
        <v>1011</v>
      </c>
      <c r="M14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44" spans="1:13" x14ac:dyDescent="0.35">
      <c r="A144" s="3" t="s">
        <v>781</v>
      </c>
      <c r="B144" s="3" t="s">
        <v>789</v>
      </c>
      <c r="C144">
        <v>45226.623611111107</v>
      </c>
      <c r="D144" t="s">
        <v>948</v>
      </c>
      <c r="E144">
        <v>98</v>
      </c>
      <c r="F144" t="s">
        <v>748</v>
      </c>
      <c r="G144" s="3">
        <v>1.8166666666666667</v>
      </c>
      <c r="H144" s="3" t="s">
        <v>104</v>
      </c>
      <c r="I144" s="3">
        <v>-11.157245</v>
      </c>
      <c r="J144" s="3">
        <v>21.262627999999999</v>
      </c>
      <c r="K144" s="3" t="s">
        <v>1010</v>
      </c>
      <c r="L144" s="3" t="s">
        <v>1008</v>
      </c>
      <c r="M14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5" spans="1:13" x14ac:dyDescent="0.35">
      <c r="A145" s="3" t="s">
        <v>781</v>
      </c>
      <c r="B145" s="3" t="s">
        <v>804</v>
      </c>
      <c r="C145">
        <v>45204.81527777778</v>
      </c>
      <c r="D145" t="s">
        <v>982</v>
      </c>
      <c r="E145">
        <v>71</v>
      </c>
      <c r="F145" t="s">
        <v>748</v>
      </c>
      <c r="G145" s="3">
        <v>1.05</v>
      </c>
      <c r="H145" s="3" t="s">
        <v>104</v>
      </c>
      <c r="I145" s="3">
        <v>-10.977309</v>
      </c>
      <c r="J145" s="3">
        <v>12.408281000000001</v>
      </c>
      <c r="K145" s="3" t="s">
        <v>1010</v>
      </c>
      <c r="L145" s="3" t="s">
        <v>1008</v>
      </c>
      <c r="M14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6" spans="1:13" x14ac:dyDescent="0.35">
      <c r="A146" s="3" t="s">
        <v>781</v>
      </c>
      <c r="B146" s="3" t="s">
        <v>848</v>
      </c>
      <c r="C146">
        <v>45200.525694444441</v>
      </c>
      <c r="D146" t="s">
        <v>831</v>
      </c>
      <c r="E146">
        <v>88</v>
      </c>
      <c r="F146" t="s">
        <v>748</v>
      </c>
      <c r="G146" s="3">
        <v>1.7333333333333334</v>
      </c>
      <c r="H146" s="3" t="s">
        <v>104</v>
      </c>
      <c r="I146" s="3">
        <v>1.2463919999999999</v>
      </c>
      <c r="J146" s="3">
        <v>13.266916999999999</v>
      </c>
      <c r="K146" s="3" t="s">
        <v>1010</v>
      </c>
      <c r="L146" s="3" t="s">
        <v>1011</v>
      </c>
      <c r="M14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7" spans="1:13" x14ac:dyDescent="0.35">
      <c r="A147" s="3" t="s">
        <v>781</v>
      </c>
      <c r="B147" s="3" t="s">
        <v>874</v>
      </c>
      <c r="C147">
        <v>45218.875694444447</v>
      </c>
      <c r="D147" t="s">
        <v>1103</v>
      </c>
      <c r="E147">
        <v>39</v>
      </c>
      <c r="F147" t="s">
        <v>740</v>
      </c>
      <c r="G147" s="3">
        <v>1.65</v>
      </c>
      <c r="H147" s="3" t="s">
        <v>104</v>
      </c>
      <c r="I147" s="3">
        <v>-9.5840350000000001</v>
      </c>
      <c r="J147" s="3">
        <v>15.966024000000001</v>
      </c>
      <c r="K147" s="3" t="s">
        <v>1010</v>
      </c>
      <c r="L147" s="3" t="s">
        <v>1009</v>
      </c>
      <c r="M14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8" spans="1:13" x14ac:dyDescent="0.35">
      <c r="A148" s="3" t="s">
        <v>781</v>
      </c>
      <c r="B148" s="3" t="s">
        <v>878</v>
      </c>
      <c r="C148">
        <v>45202.852083333331</v>
      </c>
      <c r="D148" t="s">
        <v>1104</v>
      </c>
      <c r="E148">
        <v>83</v>
      </c>
      <c r="F148" t="s">
        <v>740</v>
      </c>
      <c r="G148" s="3">
        <v>1.7833333333333334</v>
      </c>
      <c r="H148" s="3" t="s">
        <v>104</v>
      </c>
      <c r="I148" s="3">
        <v>-12.564277000000001</v>
      </c>
      <c r="J148" s="3">
        <v>28.480798</v>
      </c>
      <c r="K148" s="3" t="s">
        <v>1010</v>
      </c>
      <c r="L148" s="3" t="s">
        <v>1008</v>
      </c>
      <c r="M14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49" spans="1:13" x14ac:dyDescent="0.35">
      <c r="A149" s="3" t="s">
        <v>781</v>
      </c>
      <c r="B149" s="3" t="s">
        <v>878</v>
      </c>
      <c r="C149">
        <v>45204.59097222222</v>
      </c>
      <c r="D149" t="s">
        <v>892</v>
      </c>
      <c r="E149">
        <v>108</v>
      </c>
      <c r="F149" t="s">
        <v>742</v>
      </c>
      <c r="G149" s="3">
        <v>0.6166666666666667</v>
      </c>
      <c r="H149" s="3" t="s">
        <v>104</v>
      </c>
      <c r="I149" s="3">
        <v>-12.564277000000001</v>
      </c>
      <c r="J149" s="3">
        <v>28.480798</v>
      </c>
      <c r="K149" s="3" t="s">
        <v>1010</v>
      </c>
      <c r="L149" s="3" t="s">
        <v>1008</v>
      </c>
      <c r="M1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50" spans="1:13" x14ac:dyDescent="0.35">
      <c r="A150" s="3" t="s">
        <v>781</v>
      </c>
      <c r="B150" s="3" t="s">
        <v>918</v>
      </c>
      <c r="C150">
        <v>45201.35</v>
      </c>
      <c r="D150" t="s">
        <v>1105</v>
      </c>
      <c r="E150">
        <v>73</v>
      </c>
      <c r="F150" t="s">
        <v>740</v>
      </c>
      <c r="G150" s="3">
        <v>0.45</v>
      </c>
      <c r="H150" s="3" t="s">
        <v>104</v>
      </c>
      <c r="I150" s="3">
        <v>0.79124300000000003</v>
      </c>
      <c r="J150" s="3">
        <v>25.273389000000002</v>
      </c>
      <c r="K150" s="3" t="s">
        <v>1007</v>
      </c>
      <c r="L150" s="3" t="s">
        <v>1009</v>
      </c>
      <c r="M1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51" spans="1:13" x14ac:dyDescent="0.35">
      <c r="A151" s="3" t="s">
        <v>781</v>
      </c>
      <c r="B151" s="3" t="s">
        <v>932</v>
      </c>
      <c r="C151">
        <v>45210.270138888889</v>
      </c>
      <c r="D151" t="s">
        <v>1106</v>
      </c>
      <c r="E151">
        <v>104</v>
      </c>
      <c r="F151" t="s">
        <v>748</v>
      </c>
      <c r="G151" s="3">
        <v>0.8833333333333333</v>
      </c>
      <c r="H151" s="3" t="s">
        <v>104</v>
      </c>
      <c r="I151" s="3">
        <v>-9.8208710000000004</v>
      </c>
      <c r="J151" s="3">
        <v>23.229807000000001</v>
      </c>
      <c r="K151" s="3" t="s">
        <v>1010</v>
      </c>
      <c r="L151" s="3" t="s">
        <v>1009</v>
      </c>
      <c r="M1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52" spans="1:13" x14ac:dyDescent="0.35">
      <c r="A152" s="3" t="s">
        <v>781</v>
      </c>
      <c r="B152" s="3" t="s">
        <v>932</v>
      </c>
      <c r="C152">
        <v>45210.45</v>
      </c>
      <c r="D152" t="s">
        <v>782</v>
      </c>
      <c r="E152">
        <v>66</v>
      </c>
      <c r="F152" t="s">
        <v>740</v>
      </c>
      <c r="G152" s="3">
        <v>1.3833333333333333</v>
      </c>
      <c r="H152" s="3" t="s">
        <v>104</v>
      </c>
      <c r="I152" s="3">
        <v>-9.8208710000000004</v>
      </c>
      <c r="J152" s="3">
        <v>23.229807000000001</v>
      </c>
      <c r="K152" s="3" t="s">
        <v>1010</v>
      </c>
      <c r="L152" s="3" t="s">
        <v>1009</v>
      </c>
      <c r="M15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53" spans="1:13" x14ac:dyDescent="0.35">
      <c r="A153" s="3" t="s">
        <v>781</v>
      </c>
      <c r="B153" s="3" t="s">
        <v>937</v>
      </c>
      <c r="C153">
        <v>45228.511805555558</v>
      </c>
      <c r="D153" t="s">
        <v>822</v>
      </c>
      <c r="E153">
        <v>64</v>
      </c>
      <c r="F153" t="s">
        <v>742</v>
      </c>
      <c r="G153" s="3">
        <v>0.95</v>
      </c>
      <c r="H153" s="3" t="s">
        <v>104</v>
      </c>
      <c r="I153" s="3">
        <v>-7.1587569999999996</v>
      </c>
      <c r="J153" s="3">
        <v>18.975141000000001</v>
      </c>
      <c r="K153" s="3" t="s">
        <v>1010</v>
      </c>
      <c r="L153" s="3" t="s">
        <v>1013</v>
      </c>
      <c r="M15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54" spans="1:13" x14ac:dyDescent="0.35">
      <c r="A154" s="3" t="s">
        <v>781</v>
      </c>
      <c r="B154" s="3" t="s">
        <v>937</v>
      </c>
      <c r="C154">
        <v>45224.552777777782</v>
      </c>
      <c r="D154" t="s">
        <v>1107</v>
      </c>
      <c r="E154">
        <v>60</v>
      </c>
      <c r="F154" t="s">
        <v>742</v>
      </c>
      <c r="G154" s="3">
        <v>1.8833333333333333</v>
      </c>
      <c r="H154" s="3" t="s">
        <v>104</v>
      </c>
      <c r="I154" s="3">
        <v>-7.1587569999999996</v>
      </c>
      <c r="J154" s="3">
        <v>18.975141000000001</v>
      </c>
      <c r="K154" s="3" t="s">
        <v>1010</v>
      </c>
      <c r="L154" s="3" t="s">
        <v>1013</v>
      </c>
      <c r="M15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55" spans="1:13" x14ac:dyDescent="0.35">
      <c r="A155" s="3" t="s">
        <v>781</v>
      </c>
      <c r="B155" s="3" t="s">
        <v>937</v>
      </c>
      <c r="C155">
        <v>45226.104166666657</v>
      </c>
      <c r="D155" t="s">
        <v>1108</v>
      </c>
      <c r="E155">
        <v>110</v>
      </c>
      <c r="F155" t="s">
        <v>742</v>
      </c>
      <c r="G155" s="3">
        <v>1.6</v>
      </c>
      <c r="H155" s="3" t="s">
        <v>104</v>
      </c>
      <c r="I155" s="3">
        <v>-7.1587569999999996</v>
      </c>
      <c r="J155" s="3">
        <v>18.975141000000001</v>
      </c>
      <c r="K155" s="3" t="s">
        <v>1010</v>
      </c>
      <c r="L155" s="3" t="s">
        <v>1013</v>
      </c>
      <c r="M15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56" spans="1:13" x14ac:dyDescent="0.35">
      <c r="A156" s="3" t="s">
        <v>781</v>
      </c>
      <c r="B156" s="3" t="s">
        <v>947</v>
      </c>
      <c r="C156">
        <v>45200.981944444437</v>
      </c>
      <c r="D156" t="s">
        <v>1041</v>
      </c>
      <c r="E156">
        <v>98</v>
      </c>
      <c r="F156" t="s">
        <v>740</v>
      </c>
      <c r="G156" s="3">
        <v>1.7666666666666666</v>
      </c>
      <c r="H156" s="3" t="s">
        <v>104</v>
      </c>
      <c r="I156" s="3">
        <v>1.981107</v>
      </c>
      <c r="J156" s="3">
        <v>23.932569000000001</v>
      </c>
      <c r="K156" s="3" t="s">
        <v>1012</v>
      </c>
      <c r="L156" s="3" t="s">
        <v>1009</v>
      </c>
      <c r="M15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57" spans="1:13" x14ac:dyDescent="0.35">
      <c r="A157" s="3" t="s">
        <v>781</v>
      </c>
      <c r="B157" s="3" t="s">
        <v>947</v>
      </c>
      <c r="C157">
        <v>45201.468055555553</v>
      </c>
      <c r="D157" t="s">
        <v>905</v>
      </c>
      <c r="E157">
        <v>80</v>
      </c>
      <c r="F157" t="s">
        <v>740</v>
      </c>
      <c r="G157" s="3">
        <v>1.2</v>
      </c>
      <c r="H157" s="3" t="s">
        <v>104</v>
      </c>
      <c r="I157" s="3">
        <v>1.981107</v>
      </c>
      <c r="J157" s="3">
        <v>23.932569000000001</v>
      </c>
      <c r="K157" s="3" t="s">
        <v>1012</v>
      </c>
      <c r="L157" s="3" t="s">
        <v>1009</v>
      </c>
      <c r="M15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58" spans="1:13" x14ac:dyDescent="0.35">
      <c r="A158" s="3" t="s">
        <v>781</v>
      </c>
      <c r="B158" s="3" t="s">
        <v>947</v>
      </c>
      <c r="C158">
        <v>45220.117361111108</v>
      </c>
      <c r="D158" t="s">
        <v>1109</v>
      </c>
      <c r="E158">
        <v>39</v>
      </c>
      <c r="F158" t="s">
        <v>740</v>
      </c>
      <c r="G158" s="3">
        <v>1.95</v>
      </c>
      <c r="H158" s="3" t="s">
        <v>104</v>
      </c>
      <c r="I158" s="3">
        <v>1.981107</v>
      </c>
      <c r="J158" s="3">
        <v>23.932569000000001</v>
      </c>
      <c r="K158" s="3" t="s">
        <v>1012</v>
      </c>
      <c r="L158" s="3" t="s">
        <v>1009</v>
      </c>
      <c r="M15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59" spans="1:13" x14ac:dyDescent="0.35">
      <c r="A159" s="3" t="s">
        <v>781</v>
      </c>
      <c r="B159" s="3" t="s">
        <v>951</v>
      </c>
      <c r="C159">
        <v>45230.834722222222</v>
      </c>
      <c r="D159" t="s">
        <v>1048</v>
      </c>
      <c r="E159">
        <v>46</v>
      </c>
      <c r="F159" t="s">
        <v>742</v>
      </c>
      <c r="G159" s="3">
        <v>1.2666666666666666</v>
      </c>
      <c r="H159" s="3" t="s">
        <v>104</v>
      </c>
      <c r="I159" s="3">
        <v>-2.8211520000000001</v>
      </c>
      <c r="J159" s="3">
        <v>20.651419000000001</v>
      </c>
      <c r="K159" s="3" t="s">
        <v>1010</v>
      </c>
      <c r="L159" s="3" t="s">
        <v>1013</v>
      </c>
      <c r="M15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60" spans="1:13" x14ac:dyDescent="0.35">
      <c r="A160" s="3" t="s">
        <v>781</v>
      </c>
      <c r="B160" s="3" t="s">
        <v>951</v>
      </c>
      <c r="C160">
        <v>45224.010416666657</v>
      </c>
      <c r="D160" t="s">
        <v>944</v>
      </c>
      <c r="E160">
        <v>114</v>
      </c>
      <c r="F160" t="s">
        <v>748</v>
      </c>
      <c r="G160" s="3">
        <v>0.93333333333333335</v>
      </c>
      <c r="H160" s="3" t="s">
        <v>104</v>
      </c>
      <c r="I160" s="3">
        <v>-2.8211520000000001</v>
      </c>
      <c r="J160" s="3">
        <v>20.651419000000001</v>
      </c>
      <c r="K160" s="3" t="s">
        <v>1010</v>
      </c>
      <c r="L160" s="3" t="s">
        <v>1013</v>
      </c>
      <c r="M1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61" spans="1:13" x14ac:dyDescent="0.35">
      <c r="A161" s="3" t="s">
        <v>781</v>
      </c>
      <c r="B161" s="3" t="s">
        <v>951</v>
      </c>
      <c r="C161">
        <v>45206.027083333327</v>
      </c>
      <c r="D161" t="s">
        <v>876</v>
      </c>
      <c r="E161">
        <v>36</v>
      </c>
      <c r="F161" t="s">
        <v>748</v>
      </c>
      <c r="G161" s="3">
        <v>1.9833333333333334</v>
      </c>
      <c r="H161" s="3" t="s">
        <v>104</v>
      </c>
      <c r="I161" s="3">
        <v>-2.8211520000000001</v>
      </c>
      <c r="J161" s="3">
        <v>20.651419000000001</v>
      </c>
      <c r="K161" s="3" t="s">
        <v>1010</v>
      </c>
      <c r="L161" s="3" t="s">
        <v>1013</v>
      </c>
      <c r="M16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62" spans="1:13" x14ac:dyDescent="0.35">
      <c r="A162" s="3" t="s">
        <v>781</v>
      </c>
      <c r="B162" s="3" t="s">
        <v>951</v>
      </c>
      <c r="C162">
        <v>45204.297222222223</v>
      </c>
      <c r="D162" t="s">
        <v>930</v>
      </c>
      <c r="E162">
        <v>111</v>
      </c>
      <c r="F162" t="s">
        <v>742</v>
      </c>
      <c r="G162" s="3">
        <v>1.35</v>
      </c>
      <c r="H162" s="3" t="s">
        <v>104</v>
      </c>
      <c r="I162" s="3">
        <v>-2.8211520000000001</v>
      </c>
      <c r="J162" s="3">
        <v>20.651419000000001</v>
      </c>
      <c r="K162" s="3" t="s">
        <v>1010</v>
      </c>
      <c r="L162" s="3" t="s">
        <v>1013</v>
      </c>
      <c r="M16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63" spans="1:13" x14ac:dyDescent="0.35">
      <c r="A163" s="3" t="s">
        <v>781</v>
      </c>
      <c r="B163" s="3" t="s">
        <v>951</v>
      </c>
      <c r="C163">
        <v>45215.879861111112</v>
      </c>
      <c r="D163" t="s">
        <v>1110</v>
      </c>
      <c r="E163">
        <v>16</v>
      </c>
      <c r="F163" t="s">
        <v>742</v>
      </c>
      <c r="G163" s="3">
        <v>0.95</v>
      </c>
      <c r="H163" s="3" t="s">
        <v>104</v>
      </c>
      <c r="I163" s="3">
        <v>-2.8211520000000001</v>
      </c>
      <c r="J163" s="3">
        <v>20.651419000000001</v>
      </c>
      <c r="K163" s="3" t="s">
        <v>1010</v>
      </c>
      <c r="L163" s="3" t="s">
        <v>1013</v>
      </c>
      <c r="M16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64" spans="1:13" x14ac:dyDescent="0.35">
      <c r="A164" s="3" t="s">
        <v>781</v>
      </c>
      <c r="B164" s="3" t="s">
        <v>799</v>
      </c>
      <c r="C164">
        <v>45218.270138888889</v>
      </c>
      <c r="D164" t="s">
        <v>880</v>
      </c>
      <c r="E164">
        <v>40</v>
      </c>
      <c r="F164" t="s">
        <v>742</v>
      </c>
      <c r="G164" s="3">
        <v>0.71666666666666667</v>
      </c>
      <c r="H164" s="3" t="s">
        <v>24</v>
      </c>
      <c r="I164" s="3">
        <v>-10.963041</v>
      </c>
      <c r="J164" s="3">
        <v>12.269857</v>
      </c>
      <c r="K164" s="3" t="s">
        <v>1007</v>
      </c>
      <c r="L164" s="3" t="s">
        <v>1011</v>
      </c>
      <c r="M1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65" spans="1:13" x14ac:dyDescent="0.35">
      <c r="A165" s="3" t="s">
        <v>781</v>
      </c>
      <c r="B165" s="3" t="s">
        <v>799</v>
      </c>
      <c r="C165">
        <v>45222.367361111108</v>
      </c>
      <c r="D165" t="s">
        <v>1111</v>
      </c>
      <c r="E165">
        <v>117</v>
      </c>
      <c r="F165" t="s">
        <v>742</v>
      </c>
      <c r="G165" s="3">
        <v>0.96666666666666667</v>
      </c>
      <c r="H165" s="3" t="s">
        <v>24</v>
      </c>
      <c r="I165" s="3">
        <v>-10.963041</v>
      </c>
      <c r="J165" s="3">
        <v>12.269857</v>
      </c>
      <c r="K165" s="3" t="s">
        <v>1007</v>
      </c>
      <c r="L165" s="3" t="s">
        <v>1011</v>
      </c>
      <c r="M1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66" spans="1:13" x14ac:dyDescent="0.35">
      <c r="A166" s="3" t="s">
        <v>781</v>
      </c>
      <c r="B166" s="3" t="s">
        <v>799</v>
      </c>
      <c r="C166">
        <v>45211.234722222223</v>
      </c>
      <c r="D166" t="s">
        <v>962</v>
      </c>
      <c r="E166">
        <v>62</v>
      </c>
      <c r="F166" t="s">
        <v>748</v>
      </c>
      <c r="G166" s="3">
        <v>1.6333333333333333</v>
      </c>
      <c r="H166" s="3" t="s">
        <v>24</v>
      </c>
      <c r="I166" s="3">
        <v>-10.963041</v>
      </c>
      <c r="J166" s="3">
        <v>12.269857</v>
      </c>
      <c r="K166" s="3" t="s">
        <v>1007</v>
      </c>
      <c r="L166" s="3" t="s">
        <v>1011</v>
      </c>
      <c r="M16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67" spans="1:13" x14ac:dyDescent="0.35">
      <c r="A167" s="3" t="s">
        <v>781</v>
      </c>
      <c r="B167" s="3" t="s">
        <v>810</v>
      </c>
      <c r="C167">
        <v>45219.989583333343</v>
      </c>
      <c r="D167" t="s">
        <v>1112</v>
      </c>
      <c r="E167">
        <v>36</v>
      </c>
      <c r="F167" t="s">
        <v>740</v>
      </c>
      <c r="G167" s="3">
        <v>1.3166666666666667</v>
      </c>
      <c r="H167" s="3" t="s">
        <v>24</v>
      </c>
      <c r="I167" s="3">
        <v>4.8319039999999998</v>
      </c>
      <c r="J167" s="3">
        <v>20.733468999999999</v>
      </c>
      <c r="K167" s="3" t="s">
        <v>1010</v>
      </c>
      <c r="L167" s="3" t="s">
        <v>1013</v>
      </c>
      <c r="M16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68" spans="1:13" x14ac:dyDescent="0.35">
      <c r="A168" s="3" t="s">
        <v>781</v>
      </c>
      <c r="B168" s="3" t="s">
        <v>810</v>
      </c>
      <c r="C168">
        <v>45203.22152777778</v>
      </c>
      <c r="D168" t="s">
        <v>1113</v>
      </c>
      <c r="E168">
        <v>101</v>
      </c>
      <c r="F168" t="s">
        <v>740</v>
      </c>
      <c r="G168" s="3">
        <v>0.36666666666666664</v>
      </c>
      <c r="H168" s="3" t="s">
        <v>24</v>
      </c>
      <c r="I168" s="3">
        <v>4.8319039999999998</v>
      </c>
      <c r="J168" s="3">
        <v>20.733468999999999</v>
      </c>
      <c r="K168" s="3" t="s">
        <v>1010</v>
      </c>
      <c r="L168" s="3" t="s">
        <v>1013</v>
      </c>
      <c r="M1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69" spans="1:13" x14ac:dyDescent="0.35">
      <c r="A169" s="3" t="s">
        <v>781</v>
      </c>
      <c r="B169" s="3" t="s">
        <v>853</v>
      </c>
      <c r="C169">
        <v>45203.750694444447</v>
      </c>
      <c r="D169" t="s">
        <v>840</v>
      </c>
      <c r="E169">
        <v>64</v>
      </c>
      <c r="F169" t="s">
        <v>748</v>
      </c>
      <c r="G169" s="3">
        <v>0.5</v>
      </c>
      <c r="H169" s="3" t="s">
        <v>24</v>
      </c>
      <c r="I169" s="3">
        <v>-10.653247</v>
      </c>
      <c r="J169" s="3">
        <v>14.685601</v>
      </c>
      <c r="K169" s="3" t="s">
        <v>1007</v>
      </c>
      <c r="L169" s="3" t="s">
        <v>1013</v>
      </c>
      <c r="M1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70" spans="1:13" x14ac:dyDescent="0.35">
      <c r="A170" s="3" t="s">
        <v>781</v>
      </c>
      <c r="B170" s="3" t="s">
        <v>919</v>
      </c>
      <c r="C170">
        <v>45229.4</v>
      </c>
      <c r="D170" t="s">
        <v>1114</v>
      </c>
      <c r="E170">
        <v>77</v>
      </c>
      <c r="F170" t="s">
        <v>740</v>
      </c>
      <c r="G170" s="3">
        <v>1.4833333333333334</v>
      </c>
      <c r="H170" s="3" t="s">
        <v>24</v>
      </c>
      <c r="I170" s="3">
        <v>-7.5129409999999996</v>
      </c>
      <c r="J170" s="3">
        <v>18.701522000000001</v>
      </c>
      <c r="K170" s="3" t="s">
        <v>1007</v>
      </c>
      <c r="L170" s="3" t="s">
        <v>1009</v>
      </c>
      <c r="M17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71" spans="1:13" x14ac:dyDescent="0.35">
      <c r="A171" s="3" t="s">
        <v>781</v>
      </c>
      <c r="B171" s="3" t="s">
        <v>919</v>
      </c>
      <c r="C171">
        <v>45221.517361111109</v>
      </c>
      <c r="D171" t="s">
        <v>1115</v>
      </c>
      <c r="E171">
        <v>83</v>
      </c>
      <c r="F171" t="s">
        <v>748</v>
      </c>
      <c r="G171" s="3">
        <v>1.0166666666666666</v>
      </c>
      <c r="H171" s="3" t="s">
        <v>24</v>
      </c>
      <c r="I171" s="3">
        <v>-7.5129409999999996</v>
      </c>
      <c r="J171" s="3">
        <v>18.701522000000001</v>
      </c>
      <c r="K171" s="3" t="s">
        <v>1007</v>
      </c>
      <c r="L171" s="3" t="s">
        <v>1009</v>
      </c>
      <c r="M17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72" spans="1:13" x14ac:dyDescent="0.35">
      <c r="A172" s="3" t="s">
        <v>781</v>
      </c>
      <c r="B172" s="3" t="s">
        <v>935</v>
      </c>
      <c r="C172">
        <v>45230.925000000003</v>
      </c>
      <c r="D172" t="s">
        <v>1116</v>
      </c>
      <c r="E172">
        <v>90</v>
      </c>
      <c r="F172" t="s">
        <v>740</v>
      </c>
      <c r="G172" s="3">
        <v>1.2333333333333334</v>
      </c>
      <c r="H172" s="3" t="s">
        <v>24</v>
      </c>
      <c r="I172" s="3">
        <v>-4.6957509999999996</v>
      </c>
      <c r="J172" s="3">
        <v>14.233525999999999</v>
      </c>
      <c r="K172" s="3" t="s">
        <v>1007</v>
      </c>
      <c r="L172" s="3" t="s">
        <v>1009</v>
      </c>
      <c r="M17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73" spans="1:13" x14ac:dyDescent="0.35">
      <c r="A173" s="3" t="s">
        <v>781</v>
      </c>
      <c r="B173" s="3" t="s">
        <v>944</v>
      </c>
      <c r="C173">
        <v>45202.780555555553</v>
      </c>
      <c r="D173" t="s">
        <v>823</v>
      </c>
      <c r="E173">
        <v>53</v>
      </c>
      <c r="F173" t="s">
        <v>748</v>
      </c>
      <c r="G173" s="3">
        <v>0.1</v>
      </c>
      <c r="H173" s="3" t="s">
        <v>24</v>
      </c>
      <c r="I173" s="3">
        <v>-9.7712979999999998</v>
      </c>
      <c r="J173" s="3">
        <v>19.827895999999999</v>
      </c>
      <c r="K173" s="3" t="s">
        <v>1012</v>
      </c>
      <c r="L173" s="3" t="s">
        <v>1008</v>
      </c>
      <c r="M1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74" spans="1:13" x14ac:dyDescent="0.35">
      <c r="A174" s="3" t="s">
        <v>781</v>
      </c>
      <c r="B174" s="3" t="s">
        <v>944</v>
      </c>
      <c r="C174">
        <v>45226.84375</v>
      </c>
      <c r="D174" t="s">
        <v>1117</v>
      </c>
      <c r="E174">
        <v>48</v>
      </c>
      <c r="F174" t="s">
        <v>740</v>
      </c>
      <c r="G174" s="3">
        <v>0.31666666666666665</v>
      </c>
      <c r="H174" s="3" t="s">
        <v>24</v>
      </c>
      <c r="I174" s="3">
        <v>-9.7712979999999998</v>
      </c>
      <c r="J174" s="3">
        <v>19.827895999999999</v>
      </c>
      <c r="K174" s="3" t="s">
        <v>1012</v>
      </c>
      <c r="L174" s="3" t="s">
        <v>1008</v>
      </c>
      <c r="M1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75" spans="1:13" x14ac:dyDescent="0.35">
      <c r="A175" s="3" t="s">
        <v>781</v>
      </c>
      <c r="B175" s="3" t="s">
        <v>944</v>
      </c>
      <c r="C175">
        <v>45203.950694444437</v>
      </c>
      <c r="D175" t="s">
        <v>938</v>
      </c>
      <c r="E175">
        <v>8</v>
      </c>
      <c r="F175" t="s">
        <v>742</v>
      </c>
      <c r="G175" s="3">
        <v>1.9</v>
      </c>
      <c r="H175" s="3" t="s">
        <v>24</v>
      </c>
      <c r="I175" s="3">
        <v>-9.7712979999999998</v>
      </c>
      <c r="J175" s="3">
        <v>19.827895999999999</v>
      </c>
      <c r="K175" s="3" t="s">
        <v>1012</v>
      </c>
      <c r="L175" s="3" t="s">
        <v>1008</v>
      </c>
      <c r="M17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76" spans="1:13" x14ac:dyDescent="0.35">
      <c r="A176" s="3" t="s">
        <v>781</v>
      </c>
      <c r="B176" s="3" t="s">
        <v>968</v>
      </c>
      <c r="C176">
        <v>45209.901388888888</v>
      </c>
      <c r="D176" t="s">
        <v>913</v>
      </c>
      <c r="E176">
        <v>68</v>
      </c>
      <c r="F176" t="s">
        <v>742</v>
      </c>
      <c r="G176" s="3">
        <v>0.36666666666666664</v>
      </c>
      <c r="H176" s="3" t="s">
        <v>24</v>
      </c>
      <c r="I176" s="3">
        <v>0.65288900000000005</v>
      </c>
      <c r="J176" s="3">
        <v>24.243953999999999</v>
      </c>
      <c r="K176" s="3" t="s">
        <v>1010</v>
      </c>
      <c r="L176" s="3" t="s">
        <v>1013</v>
      </c>
      <c r="M1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77" spans="1:13" x14ac:dyDescent="0.35">
      <c r="A177" s="3" t="s">
        <v>781</v>
      </c>
      <c r="B177" s="3" t="s">
        <v>1001</v>
      </c>
      <c r="C177">
        <v>45225.159722222219</v>
      </c>
      <c r="D177" t="s">
        <v>1118</v>
      </c>
      <c r="E177">
        <v>113</v>
      </c>
      <c r="F177" t="s">
        <v>740</v>
      </c>
      <c r="G177" s="3">
        <v>1.5166666666666666</v>
      </c>
      <c r="H177" s="3" t="s">
        <v>24</v>
      </c>
      <c r="I177" s="3">
        <v>-12.431227</v>
      </c>
      <c r="J177" s="3">
        <v>18.414290999999999</v>
      </c>
      <c r="K177" s="3" t="s">
        <v>1010</v>
      </c>
      <c r="L177" s="3" t="s">
        <v>1011</v>
      </c>
      <c r="M17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78" spans="1:13" x14ac:dyDescent="0.35">
      <c r="A178" s="3" t="s">
        <v>781</v>
      </c>
      <c r="B178" s="3" t="s">
        <v>798</v>
      </c>
      <c r="C178">
        <v>45218.056944444441</v>
      </c>
      <c r="D178" t="s">
        <v>1119</v>
      </c>
      <c r="E178">
        <v>46</v>
      </c>
      <c r="F178" t="s">
        <v>748</v>
      </c>
      <c r="G178" s="3">
        <v>0.38333333333333336</v>
      </c>
      <c r="H178" s="3" t="s">
        <v>34</v>
      </c>
      <c r="I178" s="3">
        <v>1.2691650000000001</v>
      </c>
      <c r="J178" s="3">
        <v>18.789956</v>
      </c>
      <c r="K178" s="3" t="s">
        <v>1012</v>
      </c>
      <c r="L178" s="3" t="s">
        <v>1009</v>
      </c>
      <c r="M1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79" spans="1:13" x14ac:dyDescent="0.35">
      <c r="A179" s="3" t="s">
        <v>781</v>
      </c>
      <c r="B179" s="3" t="s">
        <v>811</v>
      </c>
      <c r="C179">
        <v>45217.570833333331</v>
      </c>
      <c r="D179" t="s">
        <v>1120</v>
      </c>
      <c r="E179">
        <v>28</v>
      </c>
      <c r="F179" t="s">
        <v>740</v>
      </c>
      <c r="G179" s="3">
        <v>1.8666666666666667</v>
      </c>
      <c r="H179" s="3" t="s">
        <v>34</v>
      </c>
      <c r="I179" s="3">
        <v>-10.161428000000001</v>
      </c>
      <c r="J179" s="3">
        <v>19.362325999999999</v>
      </c>
      <c r="K179" s="3" t="s">
        <v>1012</v>
      </c>
      <c r="L179" s="3" t="s">
        <v>1009</v>
      </c>
      <c r="M17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80" spans="1:13" x14ac:dyDescent="0.35">
      <c r="A180" s="3" t="s">
        <v>781</v>
      </c>
      <c r="B180" s="3" t="s">
        <v>821</v>
      </c>
      <c r="C180">
        <v>45211.105555555558</v>
      </c>
      <c r="D180" t="s">
        <v>1039</v>
      </c>
      <c r="E180">
        <v>67</v>
      </c>
      <c r="F180" t="s">
        <v>740</v>
      </c>
      <c r="G180" s="3">
        <v>0.5</v>
      </c>
      <c r="H180" s="3" t="s">
        <v>34</v>
      </c>
      <c r="I180" s="3">
        <v>0.62055499999999997</v>
      </c>
      <c r="J180" s="3">
        <v>21.222035000000002</v>
      </c>
      <c r="K180" s="3" t="s">
        <v>1010</v>
      </c>
      <c r="L180" s="3" t="s">
        <v>1009</v>
      </c>
      <c r="M1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81" spans="1:13" x14ac:dyDescent="0.35">
      <c r="A181" s="3" t="s">
        <v>781</v>
      </c>
      <c r="B181" s="3" t="s">
        <v>821</v>
      </c>
      <c r="C181">
        <v>45220.416666666657</v>
      </c>
      <c r="D181" t="s">
        <v>1121</v>
      </c>
      <c r="E181">
        <v>32</v>
      </c>
      <c r="F181" t="s">
        <v>742</v>
      </c>
      <c r="G181" s="3">
        <v>1.3333333333333333</v>
      </c>
      <c r="H181" s="3" t="s">
        <v>34</v>
      </c>
      <c r="I181" s="3">
        <v>0.62055499999999997</v>
      </c>
      <c r="J181" s="3">
        <v>21.222035000000002</v>
      </c>
      <c r="K181" s="3" t="s">
        <v>1010</v>
      </c>
      <c r="L181" s="3" t="s">
        <v>1009</v>
      </c>
      <c r="M18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82" spans="1:13" x14ac:dyDescent="0.35">
      <c r="A182" s="3" t="s">
        <v>781</v>
      </c>
      <c r="B182" s="3" t="s">
        <v>861</v>
      </c>
      <c r="C182">
        <v>45227.577777777777</v>
      </c>
      <c r="D182" t="s">
        <v>864</v>
      </c>
      <c r="E182">
        <v>50</v>
      </c>
      <c r="F182" t="s">
        <v>748</v>
      </c>
      <c r="G182" s="3">
        <v>0.36666666666666664</v>
      </c>
      <c r="H182" s="3" t="s">
        <v>34</v>
      </c>
      <c r="I182" s="3">
        <v>-10.939712999999999</v>
      </c>
      <c r="J182" s="3">
        <v>18.276230999999999</v>
      </c>
      <c r="K182" s="3" t="s">
        <v>1007</v>
      </c>
      <c r="L182" s="3" t="s">
        <v>1008</v>
      </c>
      <c r="M1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83" spans="1:13" x14ac:dyDescent="0.35">
      <c r="A183" s="3" t="s">
        <v>781</v>
      </c>
      <c r="B183" s="3" t="s">
        <v>861</v>
      </c>
      <c r="C183">
        <v>45215.143750000003</v>
      </c>
      <c r="D183" t="s">
        <v>1122</v>
      </c>
      <c r="E183">
        <v>107</v>
      </c>
      <c r="F183" t="s">
        <v>742</v>
      </c>
      <c r="G183" s="3">
        <v>1.75</v>
      </c>
      <c r="H183" s="3" t="s">
        <v>34</v>
      </c>
      <c r="I183" s="3">
        <v>-10.939712999999999</v>
      </c>
      <c r="J183" s="3">
        <v>18.276230999999999</v>
      </c>
      <c r="K183" s="3" t="s">
        <v>1007</v>
      </c>
      <c r="L183" s="3" t="s">
        <v>1008</v>
      </c>
      <c r="M18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84" spans="1:13" x14ac:dyDescent="0.35">
      <c r="A184" s="3" t="s">
        <v>781</v>
      </c>
      <c r="B184" s="3" t="s">
        <v>888</v>
      </c>
      <c r="C184">
        <v>45230.486111111109</v>
      </c>
      <c r="D184" t="s">
        <v>904</v>
      </c>
      <c r="E184">
        <v>38</v>
      </c>
      <c r="F184" t="s">
        <v>740</v>
      </c>
      <c r="G184" s="3">
        <v>0.46666666666666667</v>
      </c>
      <c r="H184" s="3" t="s">
        <v>34</v>
      </c>
      <c r="I184" s="3">
        <v>-7.402336</v>
      </c>
      <c r="J184" s="3">
        <v>27.376697</v>
      </c>
      <c r="K184" s="3" t="s">
        <v>1007</v>
      </c>
      <c r="L184" s="3" t="s">
        <v>1011</v>
      </c>
      <c r="M1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85" spans="1:13" x14ac:dyDescent="0.35">
      <c r="A185" s="3" t="s">
        <v>781</v>
      </c>
      <c r="B185" s="3" t="s">
        <v>888</v>
      </c>
      <c r="C185">
        <v>45228.614583333343</v>
      </c>
      <c r="D185" t="s">
        <v>844</v>
      </c>
      <c r="E185">
        <v>48</v>
      </c>
      <c r="F185" t="s">
        <v>742</v>
      </c>
      <c r="G185" s="3">
        <v>0.18333333333333332</v>
      </c>
      <c r="H185" s="3" t="s">
        <v>34</v>
      </c>
      <c r="I185" s="3">
        <v>-7.402336</v>
      </c>
      <c r="J185" s="3">
        <v>27.376697</v>
      </c>
      <c r="K185" s="3" t="s">
        <v>1007</v>
      </c>
      <c r="L185" s="3" t="s">
        <v>1011</v>
      </c>
      <c r="M1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86" spans="1:13" x14ac:dyDescent="0.35">
      <c r="A186" s="3" t="s">
        <v>744</v>
      </c>
      <c r="B186" s="3" t="s">
        <v>888</v>
      </c>
      <c r="C186">
        <v>45215.597916666673</v>
      </c>
      <c r="D186" t="s">
        <v>1123</v>
      </c>
      <c r="E186">
        <v>7</v>
      </c>
      <c r="F186" t="s">
        <v>748</v>
      </c>
      <c r="G186" s="3">
        <v>1.4666666666666666</v>
      </c>
      <c r="H186" s="3" t="s">
        <v>34</v>
      </c>
      <c r="I186" s="3">
        <v>-7.402336</v>
      </c>
      <c r="J186" s="3">
        <v>27.376697</v>
      </c>
      <c r="K186" s="3" t="s">
        <v>1007</v>
      </c>
      <c r="L186" s="3" t="s">
        <v>1011</v>
      </c>
      <c r="M18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87" spans="1:13" x14ac:dyDescent="0.35">
      <c r="A187" s="3" t="s">
        <v>744</v>
      </c>
      <c r="B187" s="3" t="s">
        <v>892</v>
      </c>
      <c r="C187">
        <v>45205.052777777782</v>
      </c>
      <c r="D187" t="s">
        <v>843</v>
      </c>
      <c r="E187">
        <v>102</v>
      </c>
      <c r="F187" t="s">
        <v>742</v>
      </c>
      <c r="G187" s="3">
        <v>1.8</v>
      </c>
      <c r="H187" s="3" t="s">
        <v>34</v>
      </c>
      <c r="I187" s="3">
        <v>-8.5675749999999997</v>
      </c>
      <c r="J187" s="3">
        <v>26.994581</v>
      </c>
      <c r="K187" s="3" t="s">
        <v>1012</v>
      </c>
      <c r="L187" s="3" t="s">
        <v>1009</v>
      </c>
      <c r="M18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88" spans="1:13" x14ac:dyDescent="0.35">
      <c r="A188" s="3" t="s">
        <v>744</v>
      </c>
      <c r="B188" s="3" t="s">
        <v>892</v>
      </c>
      <c r="C188">
        <v>45230.629861111112</v>
      </c>
      <c r="D188" t="s">
        <v>1124</v>
      </c>
      <c r="E188">
        <v>91</v>
      </c>
      <c r="F188" t="s">
        <v>740</v>
      </c>
      <c r="G188" s="3">
        <v>0.6333333333333333</v>
      </c>
      <c r="H188" s="3" t="s">
        <v>34</v>
      </c>
      <c r="I188" s="3">
        <v>-8.5675749999999997</v>
      </c>
      <c r="J188" s="3">
        <v>26.994581</v>
      </c>
      <c r="K188" s="3" t="s">
        <v>1012</v>
      </c>
      <c r="L188" s="3" t="s">
        <v>1009</v>
      </c>
      <c r="M18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89" spans="1:13" x14ac:dyDescent="0.35">
      <c r="A189" s="3" t="s">
        <v>744</v>
      </c>
      <c r="B189" s="3" t="s">
        <v>892</v>
      </c>
      <c r="C189">
        <v>45226.100694444453</v>
      </c>
      <c r="D189" t="s">
        <v>1002</v>
      </c>
      <c r="E189">
        <v>110</v>
      </c>
      <c r="F189" t="s">
        <v>742</v>
      </c>
      <c r="G189" s="3">
        <v>0.6166666666666667</v>
      </c>
      <c r="H189" s="3" t="s">
        <v>34</v>
      </c>
      <c r="I189" s="3">
        <v>-8.5675749999999997</v>
      </c>
      <c r="J189" s="3">
        <v>26.994581</v>
      </c>
      <c r="K189" s="3" t="s">
        <v>1012</v>
      </c>
      <c r="L189" s="3" t="s">
        <v>1009</v>
      </c>
      <c r="M18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90" spans="1:13" x14ac:dyDescent="0.35">
      <c r="A190" s="3" t="s">
        <v>744</v>
      </c>
      <c r="B190" s="3" t="s">
        <v>927</v>
      </c>
      <c r="C190">
        <v>45215.10833333333</v>
      </c>
      <c r="D190" t="s">
        <v>1125</v>
      </c>
      <c r="E190">
        <v>39</v>
      </c>
      <c r="F190" t="s">
        <v>748</v>
      </c>
      <c r="G190" s="3">
        <v>0.33333333333333331</v>
      </c>
      <c r="H190" s="3" t="s">
        <v>34</v>
      </c>
      <c r="I190" s="3">
        <v>-4.2408359999999998</v>
      </c>
      <c r="J190" s="3">
        <v>26.210014000000001</v>
      </c>
      <c r="K190" s="3" t="s">
        <v>1007</v>
      </c>
      <c r="L190" s="3" t="s">
        <v>1011</v>
      </c>
      <c r="M19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91" spans="1:13" x14ac:dyDescent="0.35">
      <c r="A191" s="3" t="s">
        <v>744</v>
      </c>
      <c r="B191" s="3" t="s">
        <v>955</v>
      </c>
      <c r="C191">
        <v>45220.877083333333</v>
      </c>
      <c r="D191" t="s">
        <v>1126</v>
      </c>
      <c r="E191">
        <v>78</v>
      </c>
      <c r="F191" t="s">
        <v>740</v>
      </c>
      <c r="G191" s="3">
        <v>0.45</v>
      </c>
      <c r="H191" s="3" t="s">
        <v>34</v>
      </c>
      <c r="I191" s="3">
        <v>2.4741019999999998</v>
      </c>
      <c r="J191" s="3">
        <v>29.297391000000001</v>
      </c>
      <c r="K191" s="3" t="s">
        <v>1007</v>
      </c>
      <c r="L191" s="3" t="s">
        <v>1013</v>
      </c>
      <c r="M19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92" spans="1:13" x14ac:dyDescent="0.35">
      <c r="A192" s="3" t="s">
        <v>744</v>
      </c>
      <c r="B192" s="3" t="s">
        <v>955</v>
      </c>
      <c r="C192">
        <v>45204.20208333333</v>
      </c>
      <c r="D192" t="s">
        <v>1127</v>
      </c>
      <c r="E192">
        <v>10</v>
      </c>
      <c r="F192" t="s">
        <v>740</v>
      </c>
      <c r="G192" s="3">
        <v>1.8666666666666667</v>
      </c>
      <c r="H192" s="3" t="s">
        <v>34</v>
      </c>
      <c r="I192" s="3">
        <v>2.4741019999999998</v>
      </c>
      <c r="J192" s="3">
        <v>29.297391000000001</v>
      </c>
      <c r="K192" s="3" t="s">
        <v>1007</v>
      </c>
      <c r="L192" s="3" t="s">
        <v>1013</v>
      </c>
      <c r="M19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93" spans="1:13" x14ac:dyDescent="0.35">
      <c r="A193" s="3" t="s">
        <v>744</v>
      </c>
      <c r="B193" s="3" t="s">
        <v>955</v>
      </c>
      <c r="C193">
        <v>45218.378472222219</v>
      </c>
      <c r="D193" t="s">
        <v>890</v>
      </c>
      <c r="E193">
        <v>102</v>
      </c>
      <c r="F193" t="s">
        <v>740</v>
      </c>
      <c r="G193" s="3">
        <v>1.3</v>
      </c>
      <c r="H193" s="3" t="s">
        <v>34</v>
      </c>
      <c r="I193" s="3">
        <v>2.4741019999999998</v>
      </c>
      <c r="J193" s="3">
        <v>29.297391000000001</v>
      </c>
      <c r="K193" s="3" t="s">
        <v>1007</v>
      </c>
      <c r="L193" s="3" t="s">
        <v>1013</v>
      </c>
      <c r="M19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94" spans="1:13" x14ac:dyDescent="0.35">
      <c r="A194" s="3" t="s">
        <v>744</v>
      </c>
      <c r="B194" s="3" t="s">
        <v>995</v>
      </c>
      <c r="C194">
        <v>45207.149305555547</v>
      </c>
      <c r="D194" t="s">
        <v>969</v>
      </c>
      <c r="E194">
        <v>101</v>
      </c>
      <c r="F194" t="s">
        <v>748</v>
      </c>
      <c r="G194" s="3">
        <v>1.5333333333333334</v>
      </c>
      <c r="H194" s="3" t="s">
        <v>34</v>
      </c>
      <c r="I194" s="3">
        <v>-0.77432100000000004</v>
      </c>
      <c r="J194" s="3">
        <v>18.628658999999999</v>
      </c>
      <c r="K194" s="3" t="s">
        <v>1007</v>
      </c>
      <c r="L194" s="3" t="s">
        <v>1011</v>
      </c>
      <c r="M19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95" spans="1:13" x14ac:dyDescent="0.35">
      <c r="A195" s="3" t="s">
        <v>744</v>
      </c>
      <c r="B195" s="3" t="s">
        <v>995</v>
      </c>
      <c r="C195">
        <v>45224.568055555559</v>
      </c>
      <c r="D195" t="s">
        <v>745</v>
      </c>
      <c r="E195">
        <v>27</v>
      </c>
      <c r="F195" t="s">
        <v>740</v>
      </c>
      <c r="G195" s="3">
        <v>0.7</v>
      </c>
      <c r="H195" s="3" t="s">
        <v>34</v>
      </c>
      <c r="I195" s="3">
        <v>-0.77432100000000004</v>
      </c>
      <c r="J195" s="3">
        <v>18.628658999999999</v>
      </c>
      <c r="K195" s="3" t="s">
        <v>1007</v>
      </c>
      <c r="L195" s="3" t="s">
        <v>1011</v>
      </c>
      <c r="M19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96" spans="1:13" x14ac:dyDescent="0.35">
      <c r="A196" s="3" t="s">
        <v>744</v>
      </c>
      <c r="B196" s="3" t="s">
        <v>757</v>
      </c>
      <c r="C196">
        <v>45219.801388888889</v>
      </c>
      <c r="D196" t="s">
        <v>934</v>
      </c>
      <c r="E196">
        <v>65</v>
      </c>
      <c r="F196" t="s">
        <v>742</v>
      </c>
      <c r="G196" s="3">
        <v>0.76666666666666672</v>
      </c>
      <c r="H196" s="3" t="s">
        <v>60</v>
      </c>
      <c r="I196" s="3">
        <v>-11.266565999999999</v>
      </c>
      <c r="J196" s="3">
        <v>26.245055000000001</v>
      </c>
      <c r="K196" s="3" t="s">
        <v>1012</v>
      </c>
      <c r="L196" s="3" t="s">
        <v>1013</v>
      </c>
      <c r="M1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97" spans="1:13" x14ac:dyDescent="0.35">
      <c r="A197" s="3" t="s">
        <v>744</v>
      </c>
      <c r="B197" s="3" t="s">
        <v>827</v>
      </c>
      <c r="C197">
        <v>45224.683333333327</v>
      </c>
      <c r="D197" t="s">
        <v>1128</v>
      </c>
      <c r="E197">
        <v>71</v>
      </c>
      <c r="F197" t="s">
        <v>740</v>
      </c>
      <c r="G197" s="3">
        <v>0.51666666666666672</v>
      </c>
      <c r="H197" s="3" t="s">
        <v>60</v>
      </c>
      <c r="I197" s="3">
        <v>-9.5619429999999994</v>
      </c>
      <c r="J197" s="3">
        <v>21.445726000000001</v>
      </c>
      <c r="K197" s="3" t="s">
        <v>1007</v>
      </c>
      <c r="L197" s="3" t="s">
        <v>1009</v>
      </c>
      <c r="M1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98" spans="1:13" x14ac:dyDescent="0.35">
      <c r="A198" s="3" t="s">
        <v>744</v>
      </c>
      <c r="B198" s="3" t="s">
        <v>827</v>
      </c>
      <c r="C198">
        <v>45214.59652777778</v>
      </c>
      <c r="D198" t="s">
        <v>1129</v>
      </c>
      <c r="E198">
        <v>88</v>
      </c>
      <c r="F198" t="s">
        <v>748</v>
      </c>
      <c r="G198" s="3">
        <v>1.5833333333333333</v>
      </c>
      <c r="H198" s="3" t="s">
        <v>60</v>
      </c>
      <c r="I198" s="3">
        <v>-9.5619429999999994</v>
      </c>
      <c r="J198" s="3">
        <v>21.445726000000001</v>
      </c>
      <c r="K198" s="3" t="s">
        <v>1007</v>
      </c>
      <c r="L198" s="3" t="s">
        <v>1009</v>
      </c>
      <c r="M19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199" spans="1:13" x14ac:dyDescent="0.35">
      <c r="A199" s="3" t="s">
        <v>744</v>
      </c>
      <c r="B199" s="3" t="s">
        <v>837</v>
      </c>
      <c r="C199">
        <v>45227.768750000003</v>
      </c>
      <c r="D199" t="s">
        <v>1130</v>
      </c>
      <c r="E199">
        <v>61</v>
      </c>
      <c r="F199" t="s">
        <v>742</v>
      </c>
      <c r="G199" s="3">
        <v>1.2</v>
      </c>
      <c r="H199" s="3" t="s">
        <v>60</v>
      </c>
      <c r="I199" s="3">
        <v>-5.7035130000000001</v>
      </c>
      <c r="J199" s="3">
        <v>14.331479</v>
      </c>
      <c r="K199" s="3" t="s">
        <v>1010</v>
      </c>
      <c r="L199" s="3" t="s">
        <v>1009</v>
      </c>
      <c r="M19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00" spans="1:13" x14ac:dyDescent="0.35">
      <c r="A200" s="3" t="s">
        <v>744</v>
      </c>
      <c r="B200" s="3" t="s">
        <v>837</v>
      </c>
      <c r="C200">
        <v>45209.777083333327</v>
      </c>
      <c r="D200" t="s">
        <v>860</v>
      </c>
      <c r="E200">
        <v>40</v>
      </c>
      <c r="F200" t="s">
        <v>748</v>
      </c>
      <c r="G200" s="3">
        <v>0.65</v>
      </c>
      <c r="H200" s="3" t="s">
        <v>60</v>
      </c>
      <c r="I200" s="3">
        <v>-5.7035130000000001</v>
      </c>
      <c r="J200" s="3">
        <v>14.331479</v>
      </c>
      <c r="K200" s="3" t="s">
        <v>1010</v>
      </c>
      <c r="L200" s="3" t="s">
        <v>1009</v>
      </c>
      <c r="M20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01" spans="1:13" x14ac:dyDescent="0.35">
      <c r="A201" s="3" t="s">
        <v>744</v>
      </c>
      <c r="B201" s="3" t="s">
        <v>875</v>
      </c>
      <c r="C201">
        <v>45201.824305555558</v>
      </c>
      <c r="D201" t="s">
        <v>766</v>
      </c>
      <c r="E201">
        <v>28</v>
      </c>
      <c r="F201" t="s">
        <v>742</v>
      </c>
      <c r="G201" s="3">
        <v>0.8833333333333333</v>
      </c>
      <c r="H201" s="3" t="s">
        <v>60</v>
      </c>
      <c r="I201" s="3">
        <v>-7.8770429999999996</v>
      </c>
      <c r="J201" s="3">
        <v>16.357762999999998</v>
      </c>
      <c r="K201" s="3" t="s">
        <v>1007</v>
      </c>
      <c r="L201" s="3" t="s">
        <v>1013</v>
      </c>
      <c r="M20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02" spans="1:13" x14ac:dyDescent="0.35">
      <c r="A202" s="3" t="s">
        <v>744</v>
      </c>
      <c r="B202" s="3" t="s">
        <v>885</v>
      </c>
      <c r="C202">
        <v>45203.277777777781</v>
      </c>
      <c r="D202" t="s">
        <v>1131</v>
      </c>
      <c r="E202">
        <v>79</v>
      </c>
      <c r="F202" t="s">
        <v>742</v>
      </c>
      <c r="G202" s="3">
        <v>1.4166666666666667</v>
      </c>
      <c r="H202" s="3" t="s">
        <v>60</v>
      </c>
      <c r="I202" s="3">
        <v>-8.4227860000000003</v>
      </c>
      <c r="J202" s="3">
        <v>16.781293000000002</v>
      </c>
      <c r="K202" s="3" t="s">
        <v>1007</v>
      </c>
      <c r="L202" s="3" t="s">
        <v>1011</v>
      </c>
      <c r="M20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03" spans="1:13" x14ac:dyDescent="0.35">
      <c r="A203" s="3" t="s">
        <v>744</v>
      </c>
      <c r="B203" s="3" t="s">
        <v>885</v>
      </c>
      <c r="C203">
        <v>45206.362500000003</v>
      </c>
      <c r="D203" t="s">
        <v>893</v>
      </c>
      <c r="E203">
        <v>60</v>
      </c>
      <c r="F203" t="s">
        <v>748</v>
      </c>
      <c r="G203" s="3">
        <v>1.1666666666666667</v>
      </c>
      <c r="H203" s="3" t="s">
        <v>60</v>
      </c>
      <c r="I203" s="3">
        <v>-8.4227860000000003</v>
      </c>
      <c r="J203" s="3">
        <v>16.781293000000002</v>
      </c>
      <c r="K203" s="3" t="s">
        <v>1007</v>
      </c>
      <c r="L203" s="3" t="s">
        <v>1011</v>
      </c>
      <c r="M20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04" spans="1:13" x14ac:dyDescent="0.35">
      <c r="A204" s="3" t="s">
        <v>744</v>
      </c>
      <c r="B204" s="3" t="s">
        <v>894</v>
      </c>
      <c r="C204">
        <v>45202.21875</v>
      </c>
      <c r="D204" t="s">
        <v>850</v>
      </c>
      <c r="E204">
        <v>86</v>
      </c>
      <c r="F204" t="s">
        <v>748</v>
      </c>
      <c r="G204" s="3">
        <v>1.4666666666666666</v>
      </c>
      <c r="H204" s="3" t="s">
        <v>60</v>
      </c>
      <c r="I204" s="3">
        <v>4.8265669999999998</v>
      </c>
      <c r="J204" s="3">
        <v>28.535277000000001</v>
      </c>
      <c r="K204" s="3" t="s">
        <v>1012</v>
      </c>
      <c r="L204" s="3" t="s">
        <v>1011</v>
      </c>
      <c r="M20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05" spans="1:13" x14ac:dyDescent="0.35">
      <c r="A205" s="3" t="s">
        <v>744</v>
      </c>
      <c r="B205" s="3" t="s">
        <v>894</v>
      </c>
      <c r="C205">
        <v>45205.711111111108</v>
      </c>
      <c r="D205" t="s">
        <v>1132</v>
      </c>
      <c r="E205">
        <v>109</v>
      </c>
      <c r="F205" t="s">
        <v>748</v>
      </c>
      <c r="G205" s="3">
        <v>1.2333333333333334</v>
      </c>
      <c r="H205" s="3" t="s">
        <v>60</v>
      </c>
      <c r="I205" s="3">
        <v>4.8265669999999998</v>
      </c>
      <c r="J205" s="3">
        <v>28.535277000000001</v>
      </c>
      <c r="K205" s="3" t="s">
        <v>1012</v>
      </c>
      <c r="L205" s="3" t="s">
        <v>1011</v>
      </c>
      <c r="M20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06" spans="1:13" x14ac:dyDescent="0.35">
      <c r="A206" s="3" t="s">
        <v>744</v>
      </c>
      <c r="B206" s="3" t="s">
        <v>926</v>
      </c>
      <c r="C206">
        <v>45205.018055555563</v>
      </c>
      <c r="D206" t="s">
        <v>956</v>
      </c>
      <c r="E206">
        <v>67</v>
      </c>
      <c r="F206" t="s">
        <v>748</v>
      </c>
      <c r="G206" s="3">
        <v>0.18333333333333332</v>
      </c>
      <c r="H206" s="3" t="s">
        <v>60</v>
      </c>
      <c r="I206" s="3">
        <v>-2.2371569999999998</v>
      </c>
      <c r="J206" s="3">
        <v>25.926188</v>
      </c>
      <c r="K206" s="3" t="s">
        <v>1012</v>
      </c>
      <c r="L206" s="3" t="s">
        <v>1009</v>
      </c>
      <c r="M2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07" spans="1:13" x14ac:dyDescent="0.35">
      <c r="A207" s="3" t="s">
        <v>744</v>
      </c>
      <c r="B207" s="3" t="s">
        <v>926</v>
      </c>
      <c r="C207">
        <v>45214.943055555559</v>
      </c>
      <c r="D207" t="s">
        <v>883</v>
      </c>
      <c r="E207">
        <v>16</v>
      </c>
      <c r="F207" t="s">
        <v>740</v>
      </c>
      <c r="G207" s="3">
        <v>1.0833333333333333</v>
      </c>
      <c r="H207" s="3" t="s">
        <v>60</v>
      </c>
      <c r="I207" s="3">
        <v>-2.2371569999999998</v>
      </c>
      <c r="J207" s="3">
        <v>25.926188</v>
      </c>
      <c r="K207" s="3" t="s">
        <v>1012</v>
      </c>
      <c r="L207" s="3" t="s">
        <v>1009</v>
      </c>
      <c r="M20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08" spans="1:13" x14ac:dyDescent="0.35">
      <c r="A208" s="3" t="s">
        <v>744</v>
      </c>
      <c r="B208" s="3" t="s">
        <v>926</v>
      </c>
      <c r="C208">
        <v>45215.376388888893</v>
      </c>
      <c r="D208" t="s">
        <v>926</v>
      </c>
      <c r="E208">
        <v>65</v>
      </c>
      <c r="F208" t="s">
        <v>748</v>
      </c>
      <c r="G208" s="3">
        <v>1.5833333333333333</v>
      </c>
      <c r="H208" s="3" t="s">
        <v>60</v>
      </c>
      <c r="I208" s="3">
        <v>-2.2371569999999998</v>
      </c>
      <c r="J208" s="3">
        <v>25.926188</v>
      </c>
      <c r="K208" s="3" t="s">
        <v>1012</v>
      </c>
      <c r="L208" s="3" t="s">
        <v>1009</v>
      </c>
      <c r="M20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09" spans="1:13" x14ac:dyDescent="0.35">
      <c r="A209" s="3" t="s">
        <v>744</v>
      </c>
      <c r="B209" s="3" t="s">
        <v>984</v>
      </c>
      <c r="C209">
        <v>45207.40625</v>
      </c>
      <c r="D209" t="s">
        <v>1063</v>
      </c>
      <c r="E209">
        <v>49</v>
      </c>
      <c r="F209" t="s">
        <v>742</v>
      </c>
      <c r="G209" s="3">
        <v>1.9833333333333334</v>
      </c>
      <c r="H209" s="3" t="s">
        <v>60</v>
      </c>
      <c r="I209" s="3">
        <v>-11.218453999999999</v>
      </c>
      <c r="J209" s="3">
        <v>28.230025000000001</v>
      </c>
      <c r="K209" s="3" t="s">
        <v>1010</v>
      </c>
      <c r="L209" s="3" t="s">
        <v>1008</v>
      </c>
      <c r="M20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10" spans="1:13" x14ac:dyDescent="0.35">
      <c r="A210" s="3" t="s">
        <v>744</v>
      </c>
      <c r="B210" s="3" t="s">
        <v>984</v>
      </c>
      <c r="C210">
        <v>45209.954861111109</v>
      </c>
      <c r="D210" t="s">
        <v>1133</v>
      </c>
      <c r="E210">
        <v>57</v>
      </c>
      <c r="F210" t="s">
        <v>740</v>
      </c>
      <c r="G210" s="3">
        <v>0.6</v>
      </c>
      <c r="H210" s="3" t="s">
        <v>60</v>
      </c>
      <c r="I210" s="3">
        <v>-11.218453999999999</v>
      </c>
      <c r="J210" s="3">
        <v>28.230025000000001</v>
      </c>
      <c r="K210" s="3" t="s">
        <v>1010</v>
      </c>
      <c r="L210" s="3" t="s">
        <v>1008</v>
      </c>
      <c r="M2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11" spans="1:13" x14ac:dyDescent="0.35">
      <c r="A211" s="3" t="s">
        <v>744</v>
      </c>
      <c r="B211" s="3" t="s">
        <v>1002</v>
      </c>
      <c r="C211">
        <v>45214.113194444442</v>
      </c>
      <c r="D211" t="s">
        <v>1057</v>
      </c>
      <c r="E211">
        <v>47</v>
      </c>
      <c r="F211" t="s">
        <v>748</v>
      </c>
      <c r="G211" s="3">
        <v>1.8166666666666667</v>
      </c>
      <c r="H211" s="3" t="s">
        <v>60</v>
      </c>
      <c r="I211" s="3">
        <v>-2.2681789999999999</v>
      </c>
      <c r="J211" s="3">
        <v>25.699068</v>
      </c>
      <c r="K211" s="3" t="s">
        <v>1012</v>
      </c>
      <c r="L211" s="3" t="s">
        <v>1008</v>
      </c>
      <c r="M21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12" spans="1:13" x14ac:dyDescent="0.35">
      <c r="A212" s="3" t="s">
        <v>744</v>
      </c>
      <c r="B212" s="3" t="s">
        <v>1002</v>
      </c>
      <c r="C212">
        <v>45207.368055555547</v>
      </c>
      <c r="D212" t="s">
        <v>814</v>
      </c>
      <c r="E212">
        <v>46</v>
      </c>
      <c r="F212" t="s">
        <v>740</v>
      </c>
      <c r="G212" s="3">
        <v>1.8333333333333333</v>
      </c>
      <c r="H212" s="3" t="s">
        <v>60</v>
      </c>
      <c r="I212" s="3">
        <v>-2.2681789999999999</v>
      </c>
      <c r="J212" s="3">
        <v>25.699068</v>
      </c>
      <c r="K212" s="3" t="s">
        <v>1012</v>
      </c>
      <c r="L212" s="3" t="s">
        <v>1008</v>
      </c>
      <c r="M21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13" spans="1:13" x14ac:dyDescent="0.35">
      <c r="A213" s="3" t="s">
        <v>744</v>
      </c>
      <c r="B213" s="3" t="s">
        <v>782</v>
      </c>
      <c r="C213">
        <v>45225.859027777777</v>
      </c>
      <c r="D213" t="s">
        <v>1134</v>
      </c>
      <c r="E213">
        <v>90</v>
      </c>
      <c r="F213" t="s">
        <v>742</v>
      </c>
      <c r="G213" s="3">
        <v>1.1000000000000001</v>
      </c>
      <c r="H213" s="3" t="s">
        <v>131</v>
      </c>
      <c r="I213" s="3">
        <v>-9.7803979999999999</v>
      </c>
      <c r="J213" s="3">
        <v>17.686595000000001</v>
      </c>
      <c r="K213" s="3" t="s">
        <v>1007</v>
      </c>
      <c r="L213" s="3" t="s">
        <v>1013</v>
      </c>
      <c r="M21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14" spans="1:13" x14ac:dyDescent="0.35">
      <c r="A214" s="3" t="s">
        <v>744</v>
      </c>
      <c r="B214" s="3" t="s">
        <v>782</v>
      </c>
      <c r="C214">
        <v>45221.268750000003</v>
      </c>
      <c r="D214" t="s">
        <v>903</v>
      </c>
      <c r="E214">
        <v>18</v>
      </c>
      <c r="F214" t="s">
        <v>742</v>
      </c>
      <c r="G214" s="3">
        <v>1.4166666666666667</v>
      </c>
      <c r="H214" s="3" t="s">
        <v>131</v>
      </c>
      <c r="I214" s="3">
        <v>-9.7803979999999999</v>
      </c>
      <c r="J214" s="3">
        <v>17.686595000000001</v>
      </c>
      <c r="K214" s="3" t="s">
        <v>1007</v>
      </c>
      <c r="L214" s="3" t="s">
        <v>1013</v>
      </c>
      <c r="M21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15" spans="1:13" x14ac:dyDescent="0.35">
      <c r="A215" s="3" t="s">
        <v>744</v>
      </c>
      <c r="B215" s="3" t="s">
        <v>826</v>
      </c>
      <c r="C215">
        <v>45203.718055555553</v>
      </c>
      <c r="D215" t="s">
        <v>1135</v>
      </c>
      <c r="E215">
        <v>114</v>
      </c>
      <c r="F215" t="s">
        <v>742</v>
      </c>
      <c r="G215" s="3">
        <v>0.6333333333333333</v>
      </c>
      <c r="H215" s="3" t="s">
        <v>131</v>
      </c>
      <c r="I215" s="3">
        <v>-11.710407999999999</v>
      </c>
      <c r="J215" s="3">
        <v>23.741330999999999</v>
      </c>
      <c r="K215" s="3" t="s">
        <v>1012</v>
      </c>
      <c r="L215" s="3" t="s">
        <v>1011</v>
      </c>
      <c r="M21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16" spans="1:13" x14ac:dyDescent="0.35">
      <c r="A216" s="3" t="s">
        <v>744</v>
      </c>
      <c r="B216" s="3" t="s">
        <v>860</v>
      </c>
      <c r="C216">
        <v>45220.206944444442</v>
      </c>
      <c r="D216" t="s">
        <v>994</v>
      </c>
      <c r="E216">
        <v>25</v>
      </c>
      <c r="F216" t="s">
        <v>740</v>
      </c>
      <c r="G216" s="3">
        <v>0.66666666666666663</v>
      </c>
      <c r="H216" s="3" t="s">
        <v>131</v>
      </c>
      <c r="I216" s="3">
        <v>-9.5243310000000001</v>
      </c>
      <c r="J216" s="3">
        <v>30.541212000000002</v>
      </c>
      <c r="K216" s="3" t="s">
        <v>1012</v>
      </c>
      <c r="L216" s="3" t="s">
        <v>1013</v>
      </c>
      <c r="M2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17" spans="1:13" x14ac:dyDescent="0.35">
      <c r="A217" s="3" t="s">
        <v>744</v>
      </c>
      <c r="B217" s="3" t="s">
        <v>860</v>
      </c>
      <c r="C217">
        <v>45208.169444444437</v>
      </c>
      <c r="D217" t="s">
        <v>1136</v>
      </c>
      <c r="E217">
        <v>47</v>
      </c>
      <c r="F217" t="s">
        <v>740</v>
      </c>
      <c r="G217" s="3">
        <v>1.3</v>
      </c>
      <c r="H217" s="3" t="s">
        <v>131</v>
      </c>
      <c r="I217" s="3">
        <v>-9.5243310000000001</v>
      </c>
      <c r="J217" s="3">
        <v>30.541212000000002</v>
      </c>
      <c r="K217" s="3" t="s">
        <v>1012</v>
      </c>
      <c r="L217" s="3" t="s">
        <v>1013</v>
      </c>
      <c r="M21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18" spans="1:13" x14ac:dyDescent="0.35">
      <c r="A218" s="3" t="s">
        <v>744</v>
      </c>
      <c r="B218" s="3" t="s">
        <v>860</v>
      </c>
      <c r="C218">
        <v>45201.243055555547</v>
      </c>
      <c r="D218" t="s">
        <v>1137</v>
      </c>
      <c r="E218">
        <v>57</v>
      </c>
      <c r="F218" t="s">
        <v>748</v>
      </c>
      <c r="G218" s="3">
        <v>0.13333333333333333</v>
      </c>
      <c r="H218" s="3" t="s">
        <v>131</v>
      </c>
      <c r="I218" s="3">
        <v>-9.5243310000000001</v>
      </c>
      <c r="J218" s="3">
        <v>30.541212000000002</v>
      </c>
      <c r="K218" s="3" t="s">
        <v>1012</v>
      </c>
      <c r="L218" s="3" t="s">
        <v>1013</v>
      </c>
      <c r="M2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19" spans="1:13" x14ac:dyDescent="0.35">
      <c r="A219" s="3" t="s">
        <v>744</v>
      </c>
      <c r="B219" s="3" t="s">
        <v>867</v>
      </c>
      <c r="C219">
        <v>45209.824305555558</v>
      </c>
      <c r="D219" t="s">
        <v>982</v>
      </c>
      <c r="E219">
        <v>93</v>
      </c>
      <c r="F219" t="s">
        <v>748</v>
      </c>
      <c r="G219" s="3">
        <v>1.55</v>
      </c>
      <c r="H219" s="3" t="s">
        <v>131</v>
      </c>
      <c r="I219" s="3">
        <v>1.286548</v>
      </c>
      <c r="J219" s="3">
        <v>29.823702999999998</v>
      </c>
      <c r="K219" s="3" t="s">
        <v>1007</v>
      </c>
      <c r="L219" s="3" t="s">
        <v>1008</v>
      </c>
      <c r="M21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20" spans="1:13" x14ac:dyDescent="0.35">
      <c r="A220" s="3" t="s">
        <v>744</v>
      </c>
      <c r="B220" s="3" t="s">
        <v>867</v>
      </c>
      <c r="C220">
        <v>45226.790277777778</v>
      </c>
      <c r="D220" t="s">
        <v>946</v>
      </c>
      <c r="E220">
        <v>68</v>
      </c>
      <c r="F220" t="s">
        <v>748</v>
      </c>
      <c r="G220" s="3">
        <v>0.8833333333333333</v>
      </c>
      <c r="H220" s="3" t="s">
        <v>131</v>
      </c>
      <c r="I220" s="3">
        <v>1.286548</v>
      </c>
      <c r="J220" s="3">
        <v>29.823702999999998</v>
      </c>
      <c r="K220" s="3" t="s">
        <v>1007</v>
      </c>
      <c r="L220" s="3" t="s">
        <v>1008</v>
      </c>
      <c r="M2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21" spans="1:13" x14ac:dyDescent="0.35">
      <c r="A221" s="3" t="s">
        <v>744</v>
      </c>
      <c r="B221" s="3" t="s">
        <v>884</v>
      </c>
      <c r="C221">
        <v>45209.588194444441</v>
      </c>
      <c r="D221" t="s">
        <v>1097</v>
      </c>
      <c r="E221">
        <v>41</v>
      </c>
      <c r="F221" t="s">
        <v>742</v>
      </c>
      <c r="G221" s="3">
        <v>1.1166666666666667</v>
      </c>
      <c r="H221" s="3" t="s">
        <v>131</v>
      </c>
      <c r="I221" s="3">
        <v>-10.967288</v>
      </c>
      <c r="J221" s="3">
        <v>17.617781000000001</v>
      </c>
      <c r="K221" s="3" t="s">
        <v>1007</v>
      </c>
      <c r="L221" s="3" t="s">
        <v>1013</v>
      </c>
      <c r="M22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22" spans="1:13" x14ac:dyDescent="0.35">
      <c r="A222" s="3" t="s">
        <v>744</v>
      </c>
      <c r="B222" s="3" t="s">
        <v>884</v>
      </c>
      <c r="C222">
        <v>45214.929861111108</v>
      </c>
      <c r="D222" t="s">
        <v>1138</v>
      </c>
      <c r="E222">
        <v>89</v>
      </c>
      <c r="F222" t="s">
        <v>748</v>
      </c>
      <c r="G222" s="3">
        <v>0.6333333333333333</v>
      </c>
      <c r="H222" s="3" t="s">
        <v>131</v>
      </c>
      <c r="I222" s="3">
        <v>-10.967288</v>
      </c>
      <c r="J222" s="3">
        <v>17.617781000000001</v>
      </c>
      <c r="K222" s="3" t="s">
        <v>1007</v>
      </c>
      <c r="L222" s="3" t="s">
        <v>1013</v>
      </c>
      <c r="M2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23" spans="1:13" x14ac:dyDescent="0.35">
      <c r="A223" s="3" t="s">
        <v>744</v>
      </c>
      <c r="B223" s="3" t="s">
        <v>884</v>
      </c>
      <c r="C223">
        <v>45222.511805555558</v>
      </c>
      <c r="D223" t="s">
        <v>1139</v>
      </c>
      <c r="E223">
        <v>56</v>
      </c>
      <c r="F223" t="s">
        <v>740</v>
      </c>
      <c r="G223" s="3">
        <v>0.46666666666666667</v>
      </c>
      <c r="H223" s="3" t="s">
        <v>131</v>
      </c>
      <c r="I223" s="3">
        <v>-10.967288</v>
      </c>
      <c r="J223" s="3">
        <v>17.617781000000001</v>
      </c>
      <c r="K223" s="3" t="s">
        <v>1007</v>
      </c>
      <c r="L223" s="3" t="s">
        <v>1013</v>
      </c>
      <c r="M2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24" spans="1:13" x14ac:dyDescent="0.35">
      <c r="A224" s="3" t="s">
        <v>744</v>
      </c>
      <c r="B224" s="3" t="s">
        <v>909</v>
      </c>
      <c r="C224">
        <v>45216.729861111111</v>
      </c>
      <c r="D224" t="s">
        <v>1004</v>
      </c>
      <c r="E224">
        <v>109</v>
      </c>
      <c r="F224" t="s">
        <v>748</v>
      </c>
      <c r="G224" s="3">
        <v>0.45</v>
      </c>
      <c r="H224" s="3" t="s">
        <v>131</v>
      </c>
      <c r="I224" s="3">
        <v>-11.354772000000001</v>
      </c>
      <c r="J224" s="3">
        <v>21.957325999999998</v>
      </c>
      <c r="K224" s="3" t="s">
        <v>1012</v>
      </c>
      <c r="L224" s="3" t="s">
        <v>1009</v>
      </c>
      <c r="M2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25" spans="1:13" x14ac:dyDescent="0.35">
      <c r="A225" s="3" t="s">
        <v>744</v>
      </c>
      <c r="B225" s="3" t="s">
        <v>969</v>
      </c>
      <c r="C225">
        <v>45214.109722222223</v>
      </c>
      <c r="D225" t="s">
        <v>1140</v>
      </c>
      <c r="E225">
        <v>102</v>
      </c>
      <c r="F225" t="s">
        <v>742</v>
      </c>
      <c r="G225" s="3">
        <v>1.6833333333333333</v>
      </c>
      <c r="H225" s="3" t="s">
        <v>131</v>
      </c>
      <c r="I225" s="3">
        <v>-10.872631999999999</v>
      </c>
      <c r="J225" s="3">
        <v>12.773279</v>
      </c>
      <c r="K225" s="3" t="s">
        <v>1012</v>
      </c>
      <c r="L225" s="3" t="s">
        <v>1008</v>
      </c>
      <c r="M22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26" spans="1:13" x14ac:dyDescent="0.35">
      <c r="A226" s="3" t="s">
        <v>744</v>
      </c>
      <c r="B226" s="3" t="s">
        <v>969</v>
      </c>
      <c r="C226">
        <v>45201.574305555558</v>
      </c>
      <c r="D226" t="s">
        <v>1033</v>
      </c>
      <c r="E226">
        <v>75</v>
      </c>
      <c r="F226" t="s">
        <v>748</v>
      </c>
      <c r="G226" s="3">
        <v>0.55000000000000004</v>
      </c>
      <c r="H226" s="3" t="s">
        <v>131</v>
      </c>
      <c r="I226" s="3">
        <v>-10.872631999999999</v>
      </c>
      <c r="J226" s="3">
        <v>12.773279</v>
      </c>
      <c r="K226" s="3" t="s">
        <v>1012</v>
      </c>
      <c r="L226" s="3" t="s">
        <v>1008</v>
      </c>
      <c r="M2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27" spans="1:13" x14ac:dyDescent="0.35">
      <c r="A227" s="3" t="s">
        <v>744</v>
      </c>
      <c r="B227" s="3" t="s">
        <v>969</v>
      </c>
      <c r="C227">
        <v>45210.802777777782</v>
      </c>
      <c r="D227" t="s">
        <v>1141</v>
      </c>
      <c r="E227">
        <v>9</v>
      </c>
      <c r="F227" t="s">
        <v>742</v>
      </c>
      <c r="G227" s="3">
        <v>0.48333333333333334</v>
      </c>
      <c r="H227" s="3" t="s">
        <v>131</v>
      </c>
      <c r="I227" s="3">
        <v>-10.872631999999999</v>
      </c>
      <c r="J227" s="3">
        <v>12.773279</v>
      </c>
      <c r="K227" s="3" t="s">
        <v>1012</v>
      </c>
      <c r="L227" s="3" t="s">
        <v>1008</v>
      </c>
      <c r="M2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28" spans="1:13" x14ac:dyDescent="0.35">
      <c r="A228" s="3" t="s">
        <v>744</v>
      </c>
      <c r="B228" s="3" t="s">
        <v>745</v>
      </c>
      <c r="C228">
        <v>45200.093055555553</v>
      </c>
      <c r="D228" t="s">
        <v>1046</v>
      </c>
      <c r="E228">
        <v>63</v>
      </c>
      <c r="F228" t="s">
        <v>742</v>
      </c>
      <c r="G228" s="3">
        <v>0.45</v>
      </c>
      <c r="H228" s="3" t="s">
        <v>92</v>
      </c>
      <c r="I228" s="3">
        <v>-10.442425</v>
      </c>
      <c r="J228" s="3">
        <v>23.243632000000002</v>
      </c>
      <c r="K228" s="3" t="s">
        <v>1007</v>
      </c>
      <c r="L228" s="3" t="s">
        <v>1009</v>
      </c>
      <c r="M2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29" spans="1:13" x14ac:dyDescent="0.35">
      <c r="A229" s="3" t="s">
        <v>744</v>
      </c>
      <c r="B229" s="3" t="s">
        <v>766</v>
      </c>
      <c r="C229">
        <v>45230.911805555559</v>
      </c>
      <c r="D229" t="s">
        <v>1142</v>
      </c>
      <c r="E229">
        <v>16</v>
      </c>
      <c r="F229" t="s">
        <v>742</v>
      </c>
      <c r="G229" s="3">
        <v>0.46666666666666667</v>
      </c>
      <c r="H229" s="3" t="s">
        <v>92</v>
      </c>
      <c r="I229" s="3">
        <v>-9.3652280000000001</v>
      </c>
      <c r="J229" s="3">
        <v>18.674116000000001</v>
      </c>
      <c r="K229" s="3" t="s">
        <v>1007</v>
      </c>
      <c r="L229" s="3" t="s">
        <v>1011</v>
      </c>
      <c r="M2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30" spans="1:13" x14ac:dyDescent="0.35">
      <c r="A230" s="3" t="s">
        <v>744</v>
      </c>
      <c r="B230" s="3" t="s">
        <v>766</v>
      </c>
      <c r="C230">
        <v>45227.775694444441</v>
      </c>
      <c r="D230" t="s">
        <v>1087</v>
      </c>
      <c r="E230">
        <v>45</v>
      </c>
      <c r="F230" t="s">
        <v>748</v>
      </c>
      <c r="G230" s="3">
        <v>0.53333333333333333</v>
      </c>
      <c r="H230" s="3" t="s">
        <v>92</v>
      </c>
      <c r="I230" s="3">
        <v>-9.3652280000000001</v>
      </c>
      <c r="J230" s="3">
        <v>18.674116000000001</v>
      </c>
      <c r="K230" s="3" t="s">
        <v>1007</v>
      </c>
      <c r="L230" s="3" t="s">
        <v>1011</v>
      </c>
      <c r="M2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31" spans="1:13" x14ac:dyDescent="0.35">
      <c r="A231" s="3" t="s">
        <v>758</v>
      </c>
      <c r="B231" s="3" t="s">
        <v>766</v>
      </c>
      <c r="C231">
        <v>45212.624305555553</v>
      </c>
      <c r="D231" t="s">
        <v>1143</v>
      </c>
      <c r="E231">
        <v>113</v>
      </c>
      <c r="F231" t="s">
        <v>748</v>
      </c>
      <c r="G231" s="3">
        <v>0.16666666666666666</v>
      </c>
      <c r="H231" s="3" t="s">
        <v>92</v>
      </c>
      <c r="I231" s="3">
        <v>-9.3652280000000001</v>
      </c>
      <c r="J231" s="3">
        <v>18.674116000000001</v>
      </c>
      <c r="K231" s="3" t="s">
        <v>1007</v>
      </c>
      <c r="L231" s="3" t="s">
        <v>1011</v>
      </c>
      <c r="M23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32" spans="1:13" x14ac:dyDescent="0.35">
      <c r="A232" s="3" t="s">
        <v>758</v>
      </c>
      <c r="B232" s="3" t="s">
        <v>766</v>
      </c>
      <c r="C232">
        <v>45210.280555555553</v>
      </c>
      <c r="D232" t="s">
        <v>957</v>
      </c>
      <c r="E232">
        <v>43</v>
      </c>
      <c r="F232" t="s">
        <v>742</v>
      </c>
      <c r="G232" s="3">
        <v>1.7833333333333334</v>
      </c>
      <c r="H232" s="3" t="s">
        <v>92</v>
      </c>
      <c r="I232" s="3">
        <v>-9.3652280000000001</v>
      </c>
      <c r="J232" s="3">
        <v>18.674116000000001</v>
      </c>
      <c r="K232" s="3" t="s">
        <v>1007</v>
      </c>
      <c r="L232" s="3" t="s">
        <v>1011</v>
      </c>
      <c r="M23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33" spans="1:13" x14ac:dyDescent="0.35">
      <c r="A233" s="3" t="s">
        <v>758</v>
      </c>
      <c r="B233" s="3" t="s">
        <v>820</v>
      </c>
      <c r="C233">
        <v>45207.76666666667</v>
      </c>
      <c r="E233">
        <v>30</v>
      </c>
      <c r="F233" t="s">
        <v>748</v>
      </c>
      <c r="G233" s="3">
        <v>1.6333333333333333</v>
      </c>
      <c r="H233" s="3" t="s">
        <v>92</v>
      </c>
      <c r="I233" s="3">
        <v>-12.192204</v>
      </c>
      <c r="J233" s="3">
        <v>28.468682000000001</v>
      </c>
      <c r="K233" s="3" t="s">
        <v>1012</v>
      </c>
      <c r="L233" s="3" t="s">
        <v>1008</v>
      </c>
      <c r="M23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34" spans="1:13" x14ac:dyDescent="0.35">
      <c r="A234" s="3" t="s">
        <v>758</v>
      </c>
      <c r="B234" s="3" t="s">
        <v>862</v>
      </c>
      <c r="C234">
        <v>45207.543055555558</v>
      </c>
      <c r="D234" t="s">
        <v>1144</v>
      </c>
      <c r="E234">
        <v>54</v>
      </c>
      <c r="F234" t="s">
        <v>740</v>
      </c>
      <c r="G234" s="3">
        <v>0.43333333333333335</v>
      </c>
      <c r="H234" s="3" t="s">
        <v>92</v>
      </c>
      <c r="I234" s="3">
        <v>-4.6311460000000002</v>
      </c>
      <c r="J234" s="3">
        <v>25.314723000000001</v>
      </c>
      <c r="K234" s="3" t="s">
        <v>1007</v>
      </c>
      <c r="L234" s="3" t="s">
        <v>1011</v>
      </c>
      <c r="M2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35" spans="1:13" x14ac:dyDescent="0.35">
      <c r="A235" s="3" t="s">
        <v>758</v>
      </c>
      <c r="B235" s="3" t="s">
        <v>898</v>
      </c>
      <c r="C235">
        <v>45210.979166666657</v>
      </c>
      <c r="D235" t="s">
        <v>1145</v>
      </c>
      <c r="E235">
        <v>114</v>
      </c>
      <c r="F235" t="s">
        <v>748</v>
      </c>
      <c r="G235" s="3">
        <v>0.36666666666666664</v>
      </c>
      <c r="H235" s="3" t="s">
        <v>92</v>
      </c>
      <c r="I235" s="3">
        <v>-0.47411900000000001</v>
      </c>
      <c r="J235" s="3">
        <v>27.184329000000002</v>
      </c>
      <c r="K235" s="3" t="s">
        <v>1010</v>
      </c>
      <c r="L235" s="3" t="s">
        <v>1008</v>
      </c>
      <c r="M2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36" spans="1:13" x14ac:dyDescent="0.35">
      <c r="A236" s="3" t="s">
        <v>758</v>
      </c>
      <c r="B236" s="3" t="s">
        <v>898</v>
      </c>
      <c r="C236">
        <v>45222.51666666667</v>
      </c>
      <c r="D236" t="s">
        <v>1146</v>
      </c>
      <c r="E236">
        <v>66</v>
      </c>
      <c r="F236" t="s">
        <v>740</v>
      </c>
      <c r="G236" s="3">
        <v>1.1166666666666667</v>
      </c>
      <c r="H236" s="3" t="s">
        <v>92</v>
      </c>
      <c r="I236" s="3">
        <v>-0.47411900000000001</v>
      </c>
      <c r="J236" s="3">
        <v>27.184329000000002</v>
      </c>
      <c r="K236" s="3" t="s">
        <v>1010</v>
      </c>
      <c r="L236" s="3" t="s">
        <v>1008</v>
      </c>
      <c r="M23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37" spans="1:13" x14ac:dyDescent="0.35">
      <c r="A237" s="3" t="s">
        <v>758</v>
      </c>
      <c r="B237" s="3" t="s">
        <v>777</v>
      </c>
      <c r="C237">
        <v>45221.839583333327</v>
      </c>
      <c r="D237" t="s">
        <v>1147</v>
      </c>
      <c r="E237">
        <v>18</v>
      </c>
      <c r="F237" t="s">
        <v>740</v>
      </c>
      <c r="G237" s="3">
        <v>0.98333333333333328</v>
      </c>
      <c r="H237" s="3" t="s">
        <v>58</v>
      </c>
      <c r="I237" s="3">
        <v>-8.4824669999999998</v>
      </c>
      <c r="J237" s="3">
        <v>21.897777999999999</v>
      </c>
      <c r="K237" s="3" t="s">
        <v>1010</v>
      </c>
      <c r="L237" s="3" t="s">
        <v>1013</v>
      </c>
      <c r="M23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38" spans="1:13" x14ac:dyDescent="0.35">
      <c r="A238" s="3" t="s">
        <v>758</v>
      </c>
      <c r="B238" s="3" t="s">
        <v>788</v>
      </c>
      <c r="C238">
        <v>45215.047222222223</v>
      </c>
      <c r="D238" t="s">
        <v>1148</v>
      </c>
      <c r="E238">
        <v>35</v>
      </c>
      <c r="F238" t="s">
        <v>740</v>
      </c>
      <c r="G238" s="3">
        <v>1.6833333333333333</v>
      </c>
      <c r="H238" s="3" t="s">
        <v>58</v>
      </c>
      <c r="I238" s="3">
        <v>-10.650321</v>
      </c>
      <c r="J238" s="3">
        <v>15.917044000000001</v>
      </c>
      <c r="K238" s="3" t="s">
        <v>1007</v>
      </c>
      <c r="L238" s="3" t="s">
        <v>1009</v>
      </c>
      <c r="M23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39" spans="1:13" x14ac:dyDescent="0.35">
      <c r="A239" s="3" t="s">
        <v>758</v>
      </c>
      <c r="B239" s="3" t="s">
        <v>801</v>
      </c>
      <c r="C239">
        <v>45216.76458333333</v>
      </c>
      <c r="D239" t="s">
        <v>987</v>
      </c>
      <c r="E239">
        <v>53</v>
      </c>
      <c r="F239" t="s">
        <v>742</v>
      </c>
      <c r="G239" s="3">
        <v>1.4333333333333333</v>
      </c>
      <c r="H239" s="3" t="s">
        <v>58</v>
      </c>
      <c r="I239" s="3">
        <v>4.8228650000000002</v>
      </c>
      <c r="J239" s="3">
        <v>30.555627000000001</v>
      </c>
      <c r="K239" s="3" t="s">
        <v>1007</v>
      </c>
      <c r="L239" s="3" t="s">
        <v>1011</v>
      </c>
      <c r="M23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40" spans="1:13" x14ac:dyDescent="0.35">
      <c r="A240" s="3" t="s">
        <v>758</v>
      </c>
      <c r="B240" s="3" t="s">
        <v>823</v>
      </c>
      <c r="C240">
        <v>45227.163194444453</v>
      </c>
      <c r="D240" t="s">
        <v>1149</v>
      </c>
      <c r="E240">
        <v>78</v>
      </c>
      <c r="F240" t="s">
        <v>742</v>
      </c>
      <c r="G240" s="3">
        <v>0.8833333333333333</v>
      </c>
      <c r="H240" s="3" t="s">
        <v>58</v>
      </c>
      <c r="I240" s="3">
        <v>-2.3743210000000001</v>
      </c>
      <c r="J240" s="3">
        <v>22.399491000000001</v>
      </c>
      <c r="K240" s="3" t="s">
        <v>1010</v>
      </c>
      <c r="L240" s="3" t="s">
        <v>1013</v>
      </c>
      <c r="M2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41" spans="1:13" x14ac:dyDescent="0.35">
      <c r="A241" s="3" t="s">
        <v>758</v>
      </c>
      <c r="B241" s="3" t="s">
        <v>823</v>
      </c>
      <c r="C241">
        <v>45227.587500000001</v>
      </c>
      <c r="D241" t="s">
        <v>930</v>
      </c>
      <c r="E241">
        <v>50</v>
      </c>
      <c r="F241" t="s">
        <v>742</v>
      </c>
      <c r="G241" s="3">
        <v>1.5</v>
      </c>
      <c r="H241" s="3" t="s">
        <v>58</v>
      </c>
      <c r="I241" s="3">
        <v>-2.3743210000000001</v>
      </c>
      <c r="J241" s="3">
        <v>22.399491000000001</v>
      </c>
      <c r="K241" s="3" t="s">
        <v>1010</v>
      </c>
      <c r="L241" s="3" t="s">
        <v>1013</v>
      </c>
      <c r="M24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42" spans="1:13" x14ac:dyDescent="0.35">
      <c r="A242" s="3" t="s">
        <v>758</v>
      </c>
      <c r="B242" s="3" t="s">
        <v>823</v>
      </c>
      <c r="C242">
        <v>45216.583333333343</v>
      </c>
      <c r="D242" t="s">
        <v>1150</v>
      </c>
      <c r="E242">
        <v>78</v>
      </c>
      <c r="F242" t="s">
        <v>748</v>
      </c>
      <c r="G242" s="3">
        <v>1.4</v>
      </c>
      <c r="H242" s="3" t="s">
        <v>58</v>
      </c>
      <c r="I242" s="3">
        <v>-2.3743210000000001</v>
      </c>
      <c r="J242" s="3">
        <v>22.399491000000001</v>
      </c>
      <c r="K242" s="3" t="s">
        <v>1010</v>
      </c>
      <c r="L242" s="3" t="s">
        <v>1013</v>
      </c>
      <c r="M24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43" spans="1:13" x14ac:dyDescent="0.35">
      <c r="A243" s="3" t="s">
        <v>758</v>
      </c>
      <c r="B243" s="3" t="s">
        <v>840</v>
      </c>
      <c r="C243">
        <v>45223.18472222222</v>
      </c>
      <c r="D243" t="s">
        <v>1151</v>
      </c>
      <c r="E243">
        <v>42</v>
      </c>
      <c r="F243" t="s">
        <v>742</v>
      </c>
      <c r="G243" s="3">
        <v>1.0666666666666667</v>
      </c>
      <c r="H243" s="3" t="s">
        <v>58</v>
      </c>
      <c r="I243" s="3">
        <v>-4.6818410000000004</v>
      </c>
      <c r="J243" s="3">
        <v>17.541618</v>
      </c>
      <c r="K243" s="3" t="s">
        <v>1007</v>
      </c>
      <c r="L243" s="3" t="s">
        <v>1013</v>
      </c>
      <c r="M24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44" spans="1:13" x14ac:dyDescent="0.35">
      <c r="A244" s="3" t="s">
        <v>758</v>
      </c>
      <c r="B244" s="3" t="s">
        <v>840</v>
      </c>
      <c r="C244">
        <v>45227.839583333327</v>
      </c>
      <c r="D244" t="s">
        <v>1152</v>
      </c>
      <c r="E244">
        <v>94</v>
      </c>
      <c r="F244" t="s">
        <v>748</v>
      </c>
      <c r="G244" s="3">
        <v>0.71666666666666667</v>
      </c>
      <c r="H244" s="3" t="s">
        <v>58</v>
      </c>
      <c r="I244" s="3">
        <v>-4.6818410000000004</v>
      </c>
      <c r="J244" s="3">
        <v>17.541618</v>
      </c>
      <c r="K244" s="3" t="s">
        <v>1007</v>
      </c>
      <c r="L244" s="3" t="s">
        <v>1013</v>
      </c>
      <c r="M24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45" spans="1:13" x14ac:dyDescent="0.35">
      <c r="A245" s="3" t="s">
        <v>758</v>
      </c>
      <c r="B245" s="3" t="s">
        <v>856</v>
      </c>
      <c r="C245">
        <v>45202.659722222219</v>
      </c>
      <c r="D245" t="s">
        <v>1153</v>
      </c>
      <c r="E245">
        <v>42</v>
      </c>
      <c r="F245" t="s">
        <v>740</v>
      </c>
      <c r="G245" s="3">
        <v>0.55000000000000004</v>
      </c>
      <c r="H245" s="3" t="s">
        <v>58</v>
      </c>
      <c r="I245" s="3">
        <v>2.5458379999999998</v>
      </c>
      <c r="J245" s="3">
        <v>13.308655</v>
      </c>
      <c r="K245" s="3" t="s">
        <v>1010</v>
      </c>
      <c r="L245" s="3" t="s">
        <v>1008</v>
      </c>
      <c r="M2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46" spans="1:13" x14ac:dyDescent="0.35">
      <c r="A246" s="3" t="s">
        <v>758</v>
      </c>
      <c r="B246" s="3" t="s">
        <v>856</v>
      </c>
      <c r="C246">
        <v>45208.443749999999</v>
      </c>
      <c r="D246" t="s">
        <v>759</v>
      </c>
      <c r="E246">
        <v>7</v>
      </c>
      <c r="F246" t="s">
        <v>748</v>
      </c>
      <c r="G246" s="3">
        <v>0.4</v>
      </c>
      <c r="H246" s="3" t="s">
        <v>58</v>
      </c>
      <c r="I246" s="3">
        <v>2.5458379999999998</v>
      </c>
      <c r="J246" s="3">
        <v>13.308655</v>
      </c>
      <c r="K246" s="3" t="s">
        <v>1010</v>
      </c>
      <c r="L246" s="3" t="s">
        <v>1008</v>
      </c>
      <c r="M2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47" spans="1:13" x14ac:dyDescent="0.35">
      <c r="A247" s="3" t="s">
        <v>758</v>
      </c>
      <c r="B247" s="3" t="s">
        <v>886</v>
      </c>
      <c r="C247">
        <v>45222.52847222222</v>
      </c>
      <c r="D247" t="s">
        <v>1154</v>
      </c>
      <c r="E247">
        <v>111</v>
      </c>
      <c r="F247" t="s">
        <v>740</v>
      </c>
      <c r="G247" s="3">
        <v>0.55000000000000004</v>
      </c>
      <c r="H247" s="3" t="s">
        <v>58</v>
      </c>
      <c r="I247" s="3">
        <v>-10.318835</v>
      </c>
      <c r="J247" s="3">
        <v>21.252382000000001</v>
      </c>
      <c r="K247" s="3" t="s">
        <v>1007</v>
      </c>
      <c r="L247" s="3" t="s">
        <v>1013</v>
      </c>
      <c r="M24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48" spans="1:13" x14ac:dyDescent="0.35">
      <c r="A248" s="3" t="s">
        <v>758</v>
      </c>
      <c r="B248" s="3" t="s">
        <v>893</v>
      </c>
      <c r="C248">
        <v>45202.45416666667</v>
      </c>
      <c r="D248" t="s">
        <v>1155</v>
      </c>
      <c r="E248">
        <v>89</v>
      </c>
      <c r="F248" t="s">
        <v>748</v>
      </c>
      <c r="G248" s="3">
        <v>1</v>
      </c>
      <c r="H248" s="3" t="s">
        <v>58</v>
      </c>
      <c r="I248" s="3">
        <v>-4.2645619999999997</v>
      </c>
      <c r="J248" s="3">
        <v>18.960726000000001</v>
      </c>
      <c r="K248" s="3" t="s">
        <v>1007</v>
      </c>
      <c r="L248" s="3" t="s">
        <v>1011</v>
      </c>
      <c r="M24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49" spans="1:13" x14ac:dyDescent="0.35">
      <c r="A249" s="3" t="s">
        <v>758</v>
      </c>
      <c r="B249" s="3" t="s">
        <v>893</v>
      </c>
      <c r="C249">
        <v>45221.724999999999</v>
      </c>
      <c r="D249" t="s">
        <v>1156</v>
      </c>
      <c r="E249">
        <v>55</v>
      </c>
      <c r="F249" t="s">
        <v>742</v>
      </c>
      <c r="G249" s="3">
        <v>1.4166666666666667</v>
      </c>
      <c r="H249" s="3" t="s">
        <v>58</v>
      </c>
      <c r="I249" s="3">
        <v>-4.2645619999999997</v>
      </c>
      <c r="J249" s="3">
        <v>18.960726000000001</v>
      </c>
      <c r="K249" s="3" t="s">
        <v>1007</v>
      </c>
      <c r="L249" s="3" t="s">
        <v>1011</v>
      </c>
      <c r="M24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50" spans="1:13" x14ac:dyDescent="0.35">
      <c r="A250" s="3" t="s">
        <v>758</v>
      </c>
      <c r="B250" s="3" t="s">
        <v>908</v>
      </c>
      <c r="C250">
        <v>45230.444444444453</v>
      </c>
      <c r="D250" t="s">
        <v>1135</v>
      </c>
      <c r="E250">
        <v>40</v>
      </c>
      <c r="F250" t="s">
        <v>740</v>
      </c>
      <c r="G250" s="3">
        <v>0.2</v>
      </c>
      <c r="H250" s="3" t="s">
        <v>58</v>
      </c>
      <c r="I250" s="3">
        <v>-1.6488929999999999</v>
      </c>
      <c r="J250" s="3">
        <v>27.284617000000001</v>
      </c>
      <c r="K250" s="3" t="s">
        <v>1010</v>
      </c>
      <c r="L250" s="3" t="s">
        <v>1009</v>
      </c>
      <c r="M2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51" spans="1:13" x14ac:dyDescent="0.35">
      <c r="A251" s="3" t="s">
        <v>758</v>
      </c>
      <c r="B251" s="3" t="s">
        <v>765</v>
      </c>
      <c r="C251">
        <v>45222.663194444453</v>
      </c>
      <c r="D251" t="s">
        <v>787</v>
      </c>
      <c r="E251">
        <v>6</v>
      </c>
      <c r="F251" t="s">
        <v>748</v>
      </c>
      <c r="G251" s="3">
        <v>0.85</v>
      </c>
      <c r="H251" s="3" t="s">
        <v>19</v>
      </c>
      <c r="I251" s="3">
        <v>-1.231033</v>
      </c>
      <c r="J251" s="3">
        <v>28.851388</v>
      </c>
      <c r="K251" s="3" t="s">
        <v>1012</v>
      </c>
      <c r="L251" s="3" t="s">
        <v>1013</v>
      </c>
      <c r="M2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52" spans="1:13" x14ac:dyDescent="0.35">
      <c r="A252" s="3" t="s">
        <v>758</v>
      </c>
      <c r="B252" s="3" t="s">
        <v>765</v>
      </c>
      <c r="C252">
        <v>45217.068749999999</v>
      </c>
      <c r="D252" t="s">
        <v>1157</v>
      </c>
      <c r="E252">
        <v>77</v>
      </c>
      <c r="F252" t="s">
        <v>748</v>
      </c>
      <c r="G252" s="3">
        <v>0.68333333333333335</v>
      </c>
      <c r="H252" s="3" t="s">
        <v>19</v>
      </c>
      <c r="I252" s="3">
        <v>-1.231033</v>
      </c>
      <c r="J252" s="3">
        <v>28.851388</v>
      </c>
      <c r="K252" s="3" t="s">
        <v>1012</v>
      </c>
      <c r="L252" s="3" t="s">
        <v>1013</v>
      </c>
      <c r="M2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53" spans="1:13" x14ac:dyDescent="0.35">
      <c r="A253" s="3" t="s">
        <v>758</v>
      </c>
      <c r="B253" s="3" t="s">
        <v>849</v>
      </c>
      <c r="C253">
        <v>45202.319444444453</v>
      </c>
      <c r="D253" t="s">
        <v>1158</v>
      </c>
      <c r="E253">
        <v>115</v>
      </c>
      <c r="F253" t="s">
        <v>742</v>
      </c>
      <c r="G253" s="3">
        <v>1.45</v>
      </c>
      <c r="H253" s="3" t="s">
        <v>19</v>
      </c>
      <c r="I253" s="3">
        <v>-7.6951369999999999</v>
      </c>
      <c r="J253" s="3">
        <v>13.346605</v>
      </c>
      <c r="K253" s="3" t="s">
        <v>1007</v>
      </c>
      <c r="L253" s="3" t="s">
        <v>1013</v>
      </c>
      <c r="M25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54" spans="1:13" x14ac:dyDescent="0.35">
      <c r="A254" s="3" t="s">
        <v>758</v>
      </c>
      <c r="B254" s="3" t="s">
        <v>879</v>
      </c>
      <c r="C254">
        <v>45221.384722222218</v>
      </c>
      <c r="D254" t="s">
        <v>1159</v>
      </c>
      <c r="E254">
        <v>92</v>
      </c>
      <c r="F254" t="s">
        <v>742</v>
      </c>
      <c r="G254" s="3">
        <v>2</v>
      </c>
      <c r="H254" s="3" t="s">
        <v>19</v>
      </c>
      <c r="I254" s="3">
        <v>-7.2267089999999996</v>
      </c>
      <c r="J254" s="3">
        <v>28.421362999999999</v>
      </c>
      <c r="K254" s="3" t="s">
        <v>1010</v>
      </c>
      <c r="L254" s="3" t="s">
        <v>1013</v>
      </c>
      <c r="M254" s="3" t="str">
        <f>IF(LOGS_RESEAU[[#This Row],[Duree_Panne_Heure]]&lt;1,"Moins d'1h",IF(LOGS_RESEAU[[#This Row],[Duree_Panne_Heure]]&lt;2,"Plus d'1h et moins de 2 h",IF(LOGS_RESEAU[[#This Row],[Duree_Panne_Heure]]&gt;=2,"2h ou plus","Pas de panne")))</f>
        <v>2h ou plus</v>
      </c>
    </row>
    <row r="255" spans="1:13" x14ac:dyDescent="0.35">
      <c r="A255" s="3" t="s">
        <v>758</v>
      </c>
      <c r="B255" s="3" t="s">
        <v>891</v>
      </c>
      <c r="C255">
        <v>45223.102083333331</v>
      </c>
      <c r="D255" t="s">
        <v>1160</v>
      </c>
      <c r="E255">
        <v>104</v>
      </c>
      <c r="F255" t="s">
        <v>742</v>
      </c>
      <c r="G255" s="3">
        <v>1.0333333333333334</v>
      </c>
      <c r="H255" s="3" t="s">
        <v>19</v>
      </c>
      <c r="I255" s="3">
        <v>3.6344850000000002</v>
      </c>
      <c r="J255" s="3">
        <v>12.158348999999999</v>
      </c>
      <c r="K255" s="3" t="s">
        <v>1010</v>
      </c>
      <c r="L255" s="3" t="s">
        <v>1013</v>
      </c>
      <c r="M25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56" spans="1:13" x14ac:dyDescent="0.35">
      <c r="A256" s="3" t="s">
        <v>758</v>
      </c>
      <c r="B256" s="3" t="s">
        <v>945</v>
      </c>
      <c r="C256">
        <v>45203.864583333343</v>
      </c>
      <c r="D256" t="s">
        <v>1161</v>
      </c>
      <c r="E256">
        <v>100</v>
      </c>
      <c r="F256" t="s">
        <v>748</v>
      </c>
      <c r="G256" s="3">
        <v>1.9666666666666666</v>
      </c>
      <c r="H256" s="3" t="s">
        <v>19</v>
      </c>
      <c r="I256" s="3">
        <v>-11.407966</v>
      </c>
      <c r="J256" s="3">
        <v>28.378274000000001</v>
      </c>
      <c r="K256" s="3" t="s">
        <v>1007</v>
      </c>
      <c r="L256" s="3" t="s">
        <v>1008</v>
      </c>
      <c r="M25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57" spans="1:13" x14ac:dyDescent="0.35">
      <c r="A257" s="3" t="s">
        <v>758</v>
      </c>
      <c r="B257" s="3" t="s">
        <v>945</v>
      </c>
      <c r="C257">
        <v>45227.144444444442</v>
      </c>
      <c r="D257" t="s">
        <v>809</v>
      </c>
      <c r="E257">
        <v>11</v>
      </c>
      <c r="F257" t="s">
        <v>742</v>
      </c>
      <c r="G257" s="3">
        <v>1.8</v>
      </c>
      <c r="H257" s="3" t="s">
        <v>19</v>
      </c>
      <c r="I257" s="3">
        <v>-11.407966</v>
      </c>
      <c r="J257" s="3">
        <v>28.378274000000001</v>
      </c>
      <c r="K257" s="3" t="s">
        <v>1007</v>
      </c>
      <c r="L257" s="3" t="s">
        <v>1008</v>
      </c>
      <c r="M25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58" spans="1:13" x14ac:dyDescent="0.35">
      <c r="A258" s="3" t="s">
        <v>758</v>
      </c>
      <c r="B258" s="3" t="s">
        <v>965</v>
      </c>
      <c r="C258">
        <v>45205.929861111108</v>
      </c>
      <c r="D258" t="s">
        <v>1162</v>
      </c>
      <c r="E258">
        <v>82</v>
      </c>
      <c r="F258" t="s">
        <v>748</v>
      </c>
      <c r="G258" s="3">
        <v>1.2333333333333334</v>
      </c>
      <c r="H258" s="3" t="s">
        <v>19</v>
      </c>
      <c r="I258" s="3">
        <v>4.6809229999999999</v>
      </c>
      <c r="J258" s="3">
        <v>28.934242000000001</v>
      </c>
      <c r="K258" s="3" t="s">
        <v>1010</v>
      </c>
      <c r="L258" s="3" t="s">
        <v>1009</v>
      </c>
      <c r="M25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59" spans="1:13" x14ac:dyDescent="0.35">
      <c r="A259" s="3" t="s">
        <v>758</v>
      </c>
      <c r="B259" s="3" t="s">
        <v>966</v>
      </c>
      <c r="C259">
        <v>45228.001388888893</v>
      </c>
      <c r="D259" t="s">
        <v>1163</v>
      </c>
      <c r="E259">
        <v>100</v>
      </c>
      <c r="F259" t="s">
        <v>742</v>
      </c>
      <c r="G259" s="3">
        <v>0.3</v>
      </c>
      <c r="H259" s="3" t="s">
        <v>19</v>
      </c>
      <c r="I259" s="3">
        <v>-5.3762689999999997</v>
      </c>
      <c r="J259" s="3">
        <v>28.189575999999999</v>
      </c>
      <c r="K259" s="3" t="s">
        <v>1010</v>
      </c>
      <c r="L259" s="3" t="s">
        <v>1011</v>
      </c>
      <c r="M2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60" spans="1:13" x14ac:dyDescent="0.35">
      <c r="A260" s="3" t="s">
        <v>758</v>
      </c>
      <c r="B260" s="3" t="s">
        <v>966</v>
      </c>
      <c r="C260">
        <v>45210.054166666669</v>
      </c>
      <c r="D260" t="s">
        <v>1164</v>
      </c>
      <c r="E260">
        <v>68</v>
      </c>
      <c r="F260" t="s">
        <v>748</v>
      </c>
      <c r="G260" s="3">
        <v>1.8</v>
      </c>
      <c r="H260" s="3" t="s">
        <v>19</v>
      </c>
      <c r="I260" s="3">
        <v>-5.3762689999999997</v>
      </c>
      <c r="J260" s="3">
        <v>28.189575999999999</v>
      </c>
      <c r="K260" s="3" t="s">
        <v>1010</v>
      </c>
      <c r="L260" s="3" t="s">
        <v>1011</v>
      </c>
      <c r="M26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61" spans="1:13" x14ac:dyDescent="0.35">
      <c r="A261" s="3" t="s">
        <v>758</v>
      </c>
      <c r="B261" s="3" t="s">
        <v>966</v>
      </c>
      <c r="C261">
        <v>45211.477083333331</v>
      </c>
      <c r="D261" t="s">
        <v>900</v>
      </c>
      <c r="E261">
        <v>111</v>
      </c>
      <c r="F261" t="s">
        <v>740</v>
      </c>
      <c r="G261" s="3">
        <v>0.55000000000000004</v>
      </c>
      <c r="H261" s="3" t="s">
        <v>19</v>
      </c>
      <c r="I261" s="3">
        <v>-5.3762689999999997</v>
      </c>
      <c r="J261" s="3">
        <v>28.189575999999999</v>
      </c>
      <c r="K261" s="3" t="s">
        <v>1010</v>
      </c>
      <c r="L261" s="3" t="s">
        <v>1011</v>
      </c>
      <c r="M2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62" spans="1:13" x14ac:dyDescent="0.35">
      <c r="A262" s="3" t="s">
        <v>758</v>
      </c>
      <c r="B262" s="3" t="s">
        <v>966</v>
      </c>
      <c r="C262">
        <v>45204.314583333333</v>
      </c>
      <c r="D262" t="s">
        <v>1165</v>
      </c>
      <c r="E262">
        <v>120</v>
      </c>
      <c r="F262" t="s">
        <v>742</v>
      </c>
      <c r="G262" s="3">
        <v>1.3</v>
      </c>
      <c r="H262" s="3" t="s">
        <v>19</v>
      </c>
      <c r="I262" s="3">
        <v>-5.3762689999999997</v>
      </c>
      <c r="J262" s="3">
        <v>28.189575999999999</v>
      </c>
      <c r="K262" s="3" t="s">
        <v>1010</v>
      </c>
      <c r="L262" s="3" t="s">
        <v>1011</v>
      </c>
      <c r="M26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63" spans="1:13" x14ac:dyDescent="0.35">
      <c r="A263" s="3" t="s">
        <v>758</v>
      </c>
      <c r="B263" s="3" t="s">
        <v>971</v>
      </c>
      <c r="C263">
        <v>45213.779861111107</v>
      </c>
      <c r="D263" t="s">
        <v>1003</v>
      </c>
      <c r="E263">
        <v>120</v>
      </c>
      <c r="F263" t="s">
        <v>740</v>
      </c>
      <c r="G263" s="3">
        <v>1.2333333333333334</v>
      </c>
      <c r="H263" s="3" t="s">
        <v>19</v>
      </c>
      <c r="I263" s="3">
        <v>-11.514188000000001</v>
      </c>
      <c r="J263" s="3">
        <v>15.971181</v>
      </c>
      <c r="K263" s="3" t="s">
        <v>1010</v>
      </c>
      <c r="L263" s="3" t="s">
        <v>1013</v>
      </c>
      <c r="M26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64" spans="1:13" x14ac:dyDescent="0.35">
      <c r="A264" s="3" t="s">
        <v>758</v>
      </c>
      <c r="B264" s="3" t="s">
        <v>971</v>
      </c>
      <c r="C264">
        <v>45225.215277777781</v>
      </c>
      <c r="D264" t="s">
        <v>1166</v>
      </c>
      <c r="E264">
        <v>41</v>
      </c>
      <c r="F264" t="s">
        <v>748</v>
      </c>
      <c r="G264" s="3">
        <v>0.4</v>
      </c>
      <c r="H264" s="3" t="s">
        <v>19</v>
      </c>
      <c r="I264" s="3">
        <v>-11.514188000000001</v>
      </c>
      <c r="J264" s="3">
        <v>15.971181</v>
      </c>
      <c r="K264" s="3" t="s">
        <v>1010</v>
      </c>
      <c r="L264" s="3" t="s">
        <v>1013</v>
      </c>
      <c r="M2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65" spans="1:13" x14ac:dyDescent="0.35">
      <c r="A265" s="3" t="s">
        <v>758</v>
      </c>
      <c r="B265" s="3" t="s">
        <v>761</v>
      </c>
      <c r="C265">
        <v>45205.11041666667</v>
      </c>
      <c r="D265" t="s">
        <v>1039</v>
      </c>
      <c r="E265">
        <v>104</v>
      </c>
      <c r="F265" t="s">
        <v>740</v>
      </c>
      <c r="G265" s="3">
        <v>1.0166666666666666</v>
      </c>
      <c r="H265" s="3" t="s">
        <v>41</v>
      </c>
      <c r="I265" s="3">
        <v>-6.5529849999999996</v>
      </c>
      <c r="J265" s="3">
        <v>21.990606</v>
      </c>
      <c r="K265" s="3" t="s">
        <v>1012</v>
      </c>
      <c r="L265" s="3" t="s">
        <v>1011</v>
      </c>
      <c r="M26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66" spans="1:13" x14ac:dyDescent="0.35">
      <c r="A266" s="3" t="s">
        <v>758</v>
      </c>
      <c r="B266" s="3" t="s">
        <v>763</v>
      </c>
      <c r="C266">
        <v>45227.527083333327</v>
      </c>
      <c r="D266" t="s">
        <v>1167</v>
      </c>
      <c r="E266">
        <v>107</v>
      </c>
      <c r="F266" t="s">
        <v>742</v>
      </c>
      <c r="G266" s="3">
        <v>1.7166666666666666</v>
      </c>
      <c r="H266" s="3" t="s">
        <v>41</v>
      </c>
      <c r="I266" s="3">
        <v>-0.17258100000000001</v>
      </c>
      <c r="J266" s="3">
        <v>23.775555000000001</v>
      </c>
      <c r="K266" s="3" t="s">
        <v>1010</v>
      </c>
      <c r="L266" s="3" t="s">
        <v>1009</v>
      </c>
      <c r="M26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67" spans="1:13" x14ac:dyDescent="0.35">
      <c r="A267" s="3" t="s">
        <v>758</v>
      </c>
      <c r="B267" s="3" t="s">
        <v>869</v>
      </c>
      <c r="C267">
        <v>45221.313194444447</v>
      </c>
      <c r="D267" t="s">
        <v>991</v>
      </c>
      <c r="E267">
        <v>34</v>
      </c>
      <c r="F267" t="s">
        <v>742</v>
      </c>
      <c r="G267" s="3">
        <v>1.5666666666666667</v>
      </c>
      <c r="H267" s="3" t="s">
        <v>41</v>
      </c>
      <c r="I267" s="3">
        <v>1.8103860000000001</v>
      </c>
      <c r="J267" s="3">
        <v>15.175582</v>
      </c>
      <c r="K267" s="3" t="s">
        <v>1012</v>
      </c>
      <c r="L267" s="3" t="s">
        <v>1011</v>
      </c>
      <c r="M26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68" spans="1:13" x14ac:dyDescent="0.35">
      <c r="A268" s="3" t="s">
        <v>758</v>
      </c>
      <c r="B268" s="3" t="s">
        <v>870</v>
      </c>
      <c r="C268">
        <v>45229.756249999999</v>
      </c>
      <c r="D268" t="s">
        <v>1168</v>
      </c>
      <c r="E268">
        <v>82</v>
      </c>
      <c r="F268" t="s">
        <v>748</v>
      </c>
      <c r="G268" s="3">
        <v>1.6833333333333333</v>
      </c>
      <c r="H268" s="3" t="s">
        <v>41</v>
      </c>
      <c r="I268" s="3">
        <v>-6.3148239999999998</v>
      </c>
      <c r="J268" s="3">
        <v>24.507498999999999</v>
      </c>
      <c r="K268" s="3" t="s">
        <v>1012</v>
      </c>
      <c r="L268" s="3" t="s">
        <v>1008</v>
      </c>
      <c r="M26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69" spans="1:13" x14ac:dyDescent="0.35">
      <c r="A269" s="3" t="s">
        <v>758</v>
      </c>
      <c r="B269" s="3" t="s">
        <v>900</v>
      </c>
      <c r="C269">
        <v>45207.611111111109</v>
      </c>
      <c r="D269" t="s">
        <v>1084</v>
      </c>
      <c r="E269">
        <v>107</v>
      </c>
      <c r="F269" t="s">
        <v>742</v>
      </c>
      <c r="G269" s="3">
        <v>0.9</v>
      </c>
      <c r="H269" s="3" t="s">
        <v>41</v>
      </c>
      <c r="I269" s="3">
        <v>4.6287159999999998</v>
      </c>
      <c r="J269" s="3">
        <v>19.407077999999998</v>
      </c>
      <c r="K269" s="3" t="s">
        <v>1007</v>
      </c>
      <c r="L269" s="3" t="s">
        <v>1013</v>
      </c>
      <c r="M2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70" spans="1:13" x14ac:dyDescent="0.35">
      <c r="A270" s="3" t="s">
        <v>758</v>
      </c>
      <c r="B270" s="3" t="s">
        <v>900</v>
      </c>
      <c r="C270">
        <v>45208.594444444447</v>
      </c>
      <c r="D270" t="s">
        <v>1169</v>
      </c>
      <c r="E270">
        <v>50</v>
      </c>
      <c r="F270" t="s">
        <v>740</v>
      </c>
      <c r="G270" s="3">
        <v>1.85</v>
      </c>
      <c r="H270" s="3" t="s">
        <v>41</v>
      </c>
      <c r="I270" s="3">
        <v>4.6287159999999998</v>
      </c>
      <c r="J270" s="3">
        <v>19.407077999999998</v>
      </c>
      <c r="K270" s="3" t="s">
        <v>1007</v>
      </c>
      <c r="L270" s="3" t="s">
        <v>1013</v>
      </c>
      <c r="M27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71" spans="1:13" x14ac:dyDescent="0.35">
      <c r="A271" s="3" t="s">
        <v>758</v>
      </c>
      <c r="B271" s="3" t="s">
        <v>903</v>
      </c>
      <c r="C271">
        <v>45221.039583333331</v>
      </c>
      <c r="D271" t="s">
        <v>1170</v>
      </c>
      <c r="E271">
        <v>33</v>
      </c>
      <c r="F271" t="s">
        <v>742</v>
      </c>
      <c r="G271" s="3">
        <v>0.91666666666666663</v>
      </c>
      <c r="H271" s="3" t="s">
        <v>41</v>
      </c>
      <c r="I271" s="3">
        <v>-1.8555980000000001</v>
      </c>
      <c r="J271" s="3">
        <v>30.421918000000002</v>
      </c>
      <c r="K271" s="3" t="s">
        <v>1012</v>
      </c>
      <c r="L271" s="3" t="s">
        <v>1008</v>
      </c>
      <c r="M27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72" spans="1:13" x14ac:dyDescent="0.35">
      <c r="A272" s="3" t="s">
        <v>758</v>
      </c>
      <c r="B272" s="3" t="s">
        <v>903</v>
      </c>
      <c r="C272">
        <v>45225.622916666667</v>
      </c>
      <c r="D272" t="s">
        <v>991</v>
      </c>
      <c r="E272">
        <v>86</v>
      </c>
      <c r="F272" t="s">
        <v>740</v>
      </c>
      <c r="G272" s="3">
        <v>1.9333333333333333</v>
      </c>
      <c r="H272" s="3" t="s">
        <v>41</v>
      </c>
      <c r="I272" s="3">
        <v>-1.8555980000000001</v>
      </c>
      <c r="J272" s="3">
        <v>30.421918000000002</v>
      </c>
      <c r="K272" s="3" t="s">
        <v>1012</v>
      </c>
      <c r="L272" s="3" t="s">
        <v>1008</v>
      </c>
      <c r="M27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73" spans="1:13" x14ac:dyDescent="0.35">
      <c r="A273" s="3" t="s">
        <v>758</v>
      </c>
      <c r="B273" s="3" t="s">
        <v>903</v>
      </c>
      <c r="C273">
        <v>45209.898611111108</v>
      </c>
      <c r="D273" t="s">
        <v>969</v>
      </c>
      <c r="E273">
        <v>29</v>
      </c>
      <c r="F273" t="s">
        <v>742</v>
      </c>
      <c r="G273" s="3">
        <v>0.25</v>
      </c>
      <c r="H273" s="3" t="s">
        <v>41</v>
      </c>
      <c r="I273" s="3">
        <v>-1.8555980000000001</v>
      </c>
      <c r="J273" s="3">
        <v>30.421918000000002</v>
      </c>
      <c r="K273" s="3" t="s">
        <v>1012</v>
      </c>
      <c r="L273" s="3" t="s">
        <v>1008</v>
      </c>
      <c r="M2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74" spans="1:13" x14ac:dyDescent="0.35">
      <c r="A274" s="3" t="s">
        <v>758</v>
      </c>
      <c r="B274" s="3" t="s">
        <v>903</v>
      </c>
      <c r="C274">
        <v>45205.102777777778</v>
      </c>
      <c r="D274" t="s">
        <v>1171</v>
      </c>
      <c r="E274">
        <v>84</v>
      </c>
      <c r="F274" t="s">
        <v>748</v>
      </c>
      <c r="G274" s="3">
        <v>0.3</v>
      </c>
      <c r="H274" s="3" t="s">
        <v>41</v>
      </c>
      <c r="I274" s="3">
        <v>-1.8555980000000001</v>
      </c>
      <c r="J274" s="3">
        <v>30.421918000000002</v>
      </c>
      <c r="K274" s="3" t="s">
        <v>1012</v>
      </c>
      <c r="L274" s="3" t="s">
        <v>1008</v>
      </c>
      <c r="M2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75" spans="1:13" x14ac:dyDescent="0.35">
      <c r="A275" s="3" t="s">
        <v>758</v>
      </c>
      <c r="B275" s="3" t="s">
        <v>903</v>
      </c>
      <c r="C275">
        <v>45230.484027777777</v>
      </c>
      <c r="D275" t="s">
        <v>878</v>
      </c>
      <c r="E275">
        <v>37</v>
      </c>
      <c r="F275" t="s">
        <v>742</v>
      </c>
      <c r="G275" s="3">
        <v>0.36666666666666664</v>
      </c>
      <c r="H275" s="3" t="s">
        <v>41</v>
      </c>
      <c r="I275" s="3">
        <v>-1.8555980000000001</v>
      </c>
      <c r="J275" s="3">
        <v>30.421918000000002</v>
      </c>
      <c r="K275" s="3" t="s">
        <v>1012</v>
      </c>
      <c r="L275" s="3" t="s">
        <v>1008</v>
      </c>
      <c r="M2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76" spans="1:13" x14ac:dyDescent="0.35">
      <c r="A276" s="3" t="s">
        <v>758</v>
      </c>
      <c r="B276" s="3" t="s">
        <v>904</v>
      </c>
      <c r="C276">
        <v>45209.852083333331</v>
      </c>
      <c r="D276" t="s">
        <v>1001</v>
      </c>
      <c r="E276">
        <v>91</v>
      </c>
      <c r="F276" t="s">
        <v>748</v>
      </c>
      <c r="G276" s="3">
        <v>1.3666666666666667</v>
      </c>
      <c r="H276" s="3" t="s">
        <v>41</v>
      </c>
      <c r="I276" s="3">
        <v>-12.336202</v>
      </c>
      <c r="J276" s="3">
        <v>13.693683999999999</v>
      </c>
      <c r="K276" s="3" t="s">
        <v>1010</v>
      </c>
      <c r="L276" s="3" t="s">
        <v>1011</v>
      </c>
      <c r="M27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77" spans="1:13" x14ac:dyDescent="0.35">
      <c r="A277" s="3" t="s">
        <v>758</v>
      </c>
      <c r="B277" s="3" t="s">
        <v>904</v>
      </c>
      <c r="C277">
        <v>45222.353472222218</v>
      </c>
      <c r="D277" t="s">
        <v>964</v>
      </c>
      <c r="E277">
        <v>101</v>
      </c>
      <c r="F277" t="s">
        <v>742</v>
      </c>
      <c r="G277" s="3">
        <v>0.78333333333333333</v>
      </c>
      <c r="H277" s="3" t="s">
        <v>41</v>
      </c>
      <c r="I277" s="3">
        <v>-12.336202</v>
      </c>
      <c r="J277" s="3">
        <v>13.693683999999999</v>
      </c>
      <c r="K277" s="3" t="s">
        <v>1010</v>
      </c>
      <c r="L277" s="3" t="s">
        <v>1011</v>
      </c>
      <c r="M2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78" spans="1:13" x14ac:dyDescent="0.35">
      <c r="A278" s="3" t="s">
        <v>841</v>
      </c>
      <c r="B278" s="3" t="s">
        <v>904</v>
      </c>
      <c r="C278">
        <v>45207.713888888888</v>
      </c>
      <c r="D278" t="s">
        <v>1172</v>
      </c>
      <c r="E278">
        <v>99</v>
      </c>
      <c r="F278" t="s">
        <v>742</v>
      </c>
      <c r="G278" s="3">
        <v>0.38333333333333336</v>
      </c>
      <c r="H278" s="3" t="s">
        <v>41</v>
      </c>
      <c r="I278" s="3">
        <v>-12.336202</v>
      </c>
      <c r="J278" s="3">
        <v>13.693683999999999</v>
      </c>
      <c r="K278" s="3" t="s">
        <v>1010</v>
      </c>
      <c r="L278" s="3" t="s">
        <v>1011</v>
      </c>
      <c r="M2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79" spans="1:13" x14ac:dyDescent="0.35">
      <c r="A279" s="3" t="s">
        <v>841</v>
      </c>
      <c r="B279" s="3" t="s">
        <v>904</v>
      </c>
      <c r="C279">
        <v>45212.599305555559</v>
      </c>
      <c r="D279" t="s">
        <v>880</v>
      </c>
      <c r="E279">
        <v>58</v>
      </c>
      <c r="F279" t="s">
        <v>742</v>
      </c>
      <c r="G279" s="3">
        <v>0.6333333333333333</v>
      </c>
      <c r="H279" s="3" t="s">
        <v>41</v>
      </c>
      <c r="I279" s="3">
        <v>-12.336202</v>
      </c>
      <c r="J279" s="3">
        <v>13.693683999999999</v>
      </c>
      <c r="K279" s="3" t="s">
        <v>1010</v>
      </c>
      <c r="L279" s="3" t="s">
        <v>1011</v>
      </c>
      <c r="M2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80" spans="1:13" x14ac:dyDescent="0.35">
      <c r="A280" s="3" t="s">
        <v>841</v>
      </c>
      <c r="B280" s="3" t="s">
        <v>923</v>
      </c>
      <c r="C280">
        <v>45221.988888888889</v>
      </c>
      <c r="D280" t="s">
        <v>1173</v>
      </c>
      <c r="E280">
        <v>72</v>
      </c>
      <c r="F280" t="s">
        <v>742</v>
      </c>
      <c r="G280" s="3">
        <v>0.13333333333333333</v>
      </c>
      <c r="H280" s="3" t="s">
        <v>41</v>
      </c>
      <c r="I280" s="3">
        <v>-4.1754939999999996</v>
      </c>
      <c r="J280" s="3">
        <v>16.704664999999999</v>
      </c>
      <c r="K280" s="3" t="s">
        <v>1012</v>
      </c>
      <c r="L280" s="3" t="s">
        <v>1013</v>
      </c>
      <c r="M2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81" spans="1:13" x14ac:dyDescent="0.35">
      <c r="A281" s="3" t="s">
        <v>841</v>
      </c>
      <c r="B281" s="3" t="s">
        <v>923</v>
      </c>
      <c r="C281">
        <v>45230.726388888892</v>
      </c>
      <c r="D281" t="s">
        <v>1157</v>
      </c>
      <c r="E281">
        <v>19</v>
      </c>
      <c r="F281" t="s">
        <v>742</v>
      </c>
      <c r="G281" s="3">
        <v>1.6166666666666667</v>
      </c>
      <c r="H281" s="3" t="s">
        <v>41</v>
      </c>
      <c r="I281" s="3">
        <v>-4.1754939999999996</v>
      </c>
      <c r="J281" s="3">
        <v>16.704664999999999</v>
      </c>
      <c r="K281" s="3" t="s">
        <v>1012</v>
      </c>
      <c r="L281" s="3" t="s">
        <v>1013</v>
      </c>
      <c r="M28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82" spans="1:13" x14ac:dyDescent="0.35">
      <c r="A282" s="3" t="s">
        <v>841</v>
      </c>
      <c r="B282" s="3" t="s">
        <v>929</v>
      </c>
      <c r="C282">
        <v>45218.990277777782</v>
      </c>
      <c r="D282" t="s">
        <v>1174</v>
      </c>
      <c r="E282">
        <v>100</v>
      </c>
      <c r="F282" t="s">
        <v>740</v>
      </c>
      <c r="G282" s="3">
        <v>0.66666666666666663</v>
      </c>
      <c r="H282" s="3" t="s">
        <v>41</v>
      </c>
      <c r="I282" s="3">
        <v>0.82868600000000003</v>
      </c>
      <c r="J282" s="3">
        <v>26.958843999999999</v>
      </c>
      <c r="K282" s="3" t="s">
        <v>1010</v>
      </c>
      <c r="L282" s="3" t="s">
        <v>1008</v>
      </c>
      <c r="M2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83" spans="1:13" x14ac:dyDescent="0.35">
      <c r="A283" s="3" t="s">
        <v>841</v>
      </c>
      <c r="B283" s="3" t="s">
        <v>929</v>
      </c>
      <c r="C283">
        <v>45204.570138888892</v>
      </c>
      <c r="D283" t="s">
        <v>1175</v>
      </c>
      <c r="E283">
        <v>13</v>
      </c>
      <c r="F283" t="s">
        <v>748</v>
      </c>
      <c r="G283" s="3">
        <v>1.3833333333333333</v>
      </c>
      <c r="H283" s="3" t="s">
        <v>41</v>
      </c>
      <c r="I283" s="3">
        <v>0.82868600000000003</v>
      </c>
      <c r="J283" s="3">
        <v>26.958843999999999</v>
      </c>
      <c r="K283" s="3" t="s">
        <v>1010</v>
      </c>
      <c r="L283" s="3" t="s">
        <v>1008</v>
      </c>
      <c r="M28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84" spans="1:13" x14ac:dyDescent="0.35">
      <c r="A284" s="3" t="s">
        <v>841</v>
      </c>
      <c r="B284" s="3" t="s">
        <v>929</v>
      </c>
      <c r="C284">
        <v>45203.652083333327</v>
      </c>
      <c r="D284" t="s">
        <v>1176</v>
      </c>
      <c r="E284">
        <v>65</v>
      </c>
      <c r="F284" t="s">
        <v>748</v>
      </c>
      <c r="G284" s="3">
        <v>1.6333333333333333</v>
      </c>
      <c r="H284" s="3" t="s">
        <v>41</v>
      </c>
      <c r="I284" s="3">
        <v>0.82868600000000003</v>
      </c>
      <c r="J284" s="3">
        <v>26.958843999999999</v>
      </c>
      <c r="K284" s="3" t="s">
        <v>1010</v>
      </c>
      <c r="L284" s="3" t="s">
        <v>1008</v>
      </c>
      <c r="M28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85" spans="1:13" x14ac:dyDescent="0.35">
      <c r="A285" s="3" t="s">
        <v>841</v>
      </c>
      <c r="B285" s="3" t="s">
        <v>929</v>
      </c>
      <c r="C285">
        <v>45213.334722222222</v>
      </c>
      <c r="D285" t="s">
        <v>1177</v>
      </c>
      <c r="E285">
        <v>62</v>
      </c>
      <c r="F285" t="s">
        <v>740</v>
      </c>
      <c r="G285" s="3">
        <v>1.1833333333333333</v>
      </c>
      <c r="H285" s="3" t="s">
        <v>41</v>
      </c>
      <c r="I285" s="3">
        <v>0.82868600000000003</v>
      </c>
      <c r="J285" s="3">
        <v>26.958843999999999</v>
      </c>
      <c r="K285" s="3" t="s">
        <v>1010</v>
      </c>
      <c r="L285" s="3" t="s">
        <v>1008</v>
      </c>
      <c r="M28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86" spans="1:13" x14ac:dyDescent="0.35">
      <c r="A286" s="3" t="s">
        <v>841</v>
      </c>
      <c r="B286" s="3" t="s">
        <v>929</v>
      </c>
      <c r="C286">
        <v>45222.467361111107</v>
      </c>
      <c r="D286" t="s">
        <v>1178</v>
      </c>
      <c r="E286">
        <v>104</v>
      </c>
      <c r="F286" t="s">
        <v>748</v>
      </c>
      <c r="G286" s="3">
        <v>1.55</v>
      </c>
      <c r="H286" s="3" t="s">
        <v>41</v>
      </c>
      <c r="I286" s="3">
        <v>0.82868600000000003</v>
      </c>
      <c r="J286" s="3">
        <v>26.958843999999999</v>
      </c>
      <c r="K286" s="3" t="s">
        <v>1010</v>
      </c>
      <c r="L286" s="3" t="s">
        <v>1008</v>
      </c>
      <c r="M28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87" spans="1:13" x14ac:dyDescent="0.35">
      <c r="A287" s="3" t="s">
        <v>841</v>
      </c>
      <c r="B287" s="3" t="s">
        <v>936</v>
      </c>
      <c r="C287">
        <v>45214.59375</v>
      </c>
      <c r="D287" t="s">
        <v>1179</v>
      </c>
      <c r="E287">
        <v>51</v>
      </c>
      <c r="F287" t="s">
        <v>748</v>
      </c>
      <c r="G287" s="3">
        <v>0.8666666666666667</v>
      </c>
      <c r="H287" s="3" t="s">
        <v>41</v>
      </c>
      <c r="I287" s="3">
        <v>-10.298385</v>
      </c>
      <c r="J287" s="3">
        <v>29.698117</v>
      </c>
      <c r="K287" s="3" t="s">
        <v>1010</v>
      </c>
      <c r="L287" s="3" t="s">
        <v>1009</v>
      </c>
      <c r="M28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88" spans="1:13" x14ac:dyDescent="0.35">
      <c r="A288" s="3" t="s">
        <v>841</v>
      </c>
      <c r="B288" s="3" t="s">
        <v>936</v>
      </c>
      <c r="C288">
        <v>45227.462500000001</v>
      </c>
      <c r="D288" t="s">
        <v>1073</v>
      </c>
      <c r="E288">
        <v>70</v>
      </c>
      <c r="F288" t="s">
        <v>748</v>
      </c>
      <c r="G288" s="3">
        <v>0.33333333333333331</v>
      </c>
      <c r="H288" s="3" t="s">
        <v>41</v>
      </c>
      <c r="I288" s="3">
        <v>-10.298385</v>
      </c>
      <c r="J288" s="3">
        <v>29.698117</v>
      </c>
      <c r="K288" s="3" t="s">
        <v>1010</v>
      </c>
      <c r="L288" s="3" t="s">
        <v>1009</v>
      </c>
      <c r="M28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89" spans="1:13" x14ac:dyDescent="0.35">
      <c r="A289" s="3" t="s">
        <v>841</v>
      </c>
      <c r="B289" s="3" t="s">
        <v>962</v>
      </c>
      <c r="C289">
        <v>45221.481944444437</v>
      </c>
      <c r="D289" t="s">
        <v>1180</v>
      </c>
      <c r="E289">
        <v>80</v>
      </c>
      <c r="F289" t="s">
        <v>748</v>
      </c>
      <c r="G289" s="3">
        <v>1.0333333333333334</v>
      </c>
      <c r="H289" s="3" t="s">
        <v>41</v>
      </c>
      <c r="I289" s="3">
        <v>-2.3102109999999998</v>
      </c>
      <c r="J289" s="3">
        <v>12.362488000000001</v>
      </c>
      <c r="K289" s="3" t="s">
        <v>1010</v>
      </c>
      <c r="L289" s="3" t="s">
        <v>1009</v>
      </c>
      <c r="M28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90" spans="1:13" x14ac:dyDescent="0.35">
      <c r="A290" s="3" t="s">
        <v>841</v>
      </c>
      <c r="B290" s="3" t="s">
        <v>964</v>
      </c>
      <c r="C290">
        <v>45228.848611111112</v>
      </c>
      <c r="D290" t="s">
        <v>1181</v>
      </c>
      <c r="E290">
        <v>18</v>
      </c>
      <c r="F290" t="s">
        <v>748</v>
      </c>
      <c r="G290" s="3">
        <v>0.13333333333333333</v>
      </c>
      <c r="H290" s="3" t="s">
        <v>41</v>
      </c>
      <c r="I290" s="3">
        <v>-10.846306999999999</v>
      </c>
      <c r="J290" s="3">
        <v>19.201827999999999</v>
      </c>
      <c r="K290" s="3" t="s">
        <v>1007</v>
      </c>
      <c r="L290" s="3" t="s">
        <v>1013</v>
      </c>
      <c r="M29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91" spans="1:13" x14ac:dyDescent="0.35">
      <c r="A291" s="3" t="s">
        <v>841</v>
      </c>
      <c r="B291" s="3" t="s">
        <v>964</v>
      </c>
      <c r="C291">
        <v>45201.511805555558</v>
      </c>
      <c r="D291" t="s">
        <v>1099</v>
      </c>
      <c r="E291">
        <v>62</v>
      </c>
      <c r="F291" t="s">
        <v>742</v>
      </c>
      <c r="G291" s="3">
        <v>1.6833333333333333</v>
      </c>
      <c r="H291" s="3" t="s">
        <v>41</v>
      </c>
      <c r="I291" s="3">
        <v>-10.846306999999999</v>
      </c>
      <c r="J291" s="3">
        <v>19.201827999999999</v>
      </c>
      <c r="K291" s="3" t="s">
        <v>1007</v>
      </c>
      <c r="L291" s="3" t="s">
        <v>1013</v>
      </c>
      <c r="M29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92" spans="1:13" x14ac:dyDescent="0.35">
      <c r="A292" s="3" t="s">
        <v>841</v>
      </c>
      <c r="B292" s="3" t="s">
        <v>964</v>
      </c>
      <c r="C292">
        <v>45206.162499999999</v>
      </c>
      <c r="D292" t="s">
        <v>1182</v>
      </c>
      <c r="E292">
        <v>69</v>
      </c>
      <c r="F292" t="s">
        <v>740</v>
      </c>
      <c r="G292" s="3">
        <v>0.2</v>
      </c>
      <c r="H292" s="3" t="s">
        <v>41</v>
      </c>
      <c r="I292" s="3">
        <v>-10.846306999999999</v>
      </c>
      <c r="J292" s="3">
        <v>19.201827999999999</v>
      </c>
      <c r="K292" s="3" t="s">
        <v>1007</v>
      </c>
      <c r="L292" s="3" t="s">
        <v>1013</v>
      </c>
      <c r="M2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93" spans="1:13" x14ac:dyDescent="0.35">
      <c r="A293" s="3" t="s">
        <v>841</v>
      </c>
      <c r="B293" s="3" t="s">
        <v>980</v>
      </c>
      <c r="C293">
        <v>45226.586805555547</v>
      </c>
      <c r="D293" t="s">
        <v>928</v>
      </c>
      <c r="E293">
        <v>33</v>
      </c>
      <c r="F293" t="s">
        <v>748</v>
      </c>
      <c r="G293" s="3">
        <v>0.16666666666666666</v>
      </c>
      <c r="H293" s="3" t="s">
        <v>41</v>
      </c>
      <c r="I293" s="3">
        <v>4.9455159999999996</v>
      </c>
      <c r="J293" s="3">
        <v>23.647746000000001</v>
      </c>
      <c r="K293" s="3" t="s">
        <v>1010</v>
      </c>
      <c r="L293" s="3" t="s">
        <v>1011</v>
      </c>
      <c r="M29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94" spans="1:13" x14ac:dyDescent="0.35">
      <c r="A294" s="3" t="s">
        <v>841</v>
      </c>
      <c r="B294" s="3" t="s">
        <v>985</v>
      </c>
      <c r="C294">
        <v>45221.27847222222</v>
      </c>
      <c r="D294" t="s">
        <v>915</v>
      </c>
      <c r="E294">
        <v>83</v>
      </c>
      <c r="F294" t="s">
        <v>748</v>
      </c>
      <c r="G294" s="3">
        <v>0.6</v>
      </c>
      <c r="H294" s="3" t="s">
        <v>41</v>
      </c>
      <c r="I294" s="3">
        <v>-11.231472</v>
      </c>
      <c r="J294" s="3">
        <v>25.388874000000001</v>
      </c>
      <c r="K294" s="3" t="s">
        <v>1007</v>
      </c>
      <c r="L294" s="3" t="s">
        <v>1011</v>
      </c>
      <c r="M29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95" spans="1:13" x14ac:dyDescent="0.35">
      <c r="A295" s="3" t="s">
        <v>841</v>
      </c>
      <c r="B295" s="3" t="s">
        <v>739</v>
      </c>
      <c r="C295">
        <v>45220.792361111111</v>
      </c>
      <c r="D295" t="s">
        <v>1085</v>
      </c>
      <c r="E295">
        <v>10</v>
      </c>
      <c r="F295" t="s">
        <v>748</v>
      </c>
      <c r="G295" s="3">
        <v>0.43333333333333335</v>
      </c>
      <c r="H295" s="3" t="s">
        <v>66</v>
      </c>
      <c r="I295" s="3">
        <v>-8.1437910000000002</v>
      </c>
      <c r="J295" s="3">
        <v>28.946161</v>
      </c>
      <c r="K295" s="3" t="s">
        <v>1007</v>
      </c>
      <c r="L295" s="3" t="s">
        <v>1008</v>
      </c>
      <c r="M29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96" spans="1:13" x14ac:dyDescent="0.35">
      <c r="A296" s="3" t="s">
        <v>841</v>
      </c>
      <c r="B296" s="3" t="s">
        <v>739</v>
      </c>
      <c r="C296">
        <v>45201.427083333343</v>
      </c>
      <c r="D296" t="s">
        <v>1173</v>
      </c>
      <c r="E296">
        <v>98</v>
      </c>
      <c r="F296" t="s">
        <v>742</v>
      </c>
      <c r="G296" s="3">
        <v>0.58333333333333337</v>
      </c>
      <c r="H296" s="3" t="s">
        <v>66</v>
      </c>
      <c r="I296" s="3">
        <v>-8.1437910000000002</v>
      </c>
      <c r="J296" s="3">
        <v>28.946161</v>
      </c>
      <c r="K296" s="3" t="s">
        <v>1007</v>
      </c>
      <c r="L296" s="3" t="s">
        <v>1008</v>
      </c>
      <c r="M2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97" spans="1:13" x14ac:dyDescent="0.35">
      <c r="A297" s="3" t="s">
        <v>841</v>
      </c>
      <c r="B297" s="3" t="s">
        <v>739</v>
      </c>
      <c r="C297">
        <v>45204.759027777778</v>
      </c>
      <c r="D297" t="s">
        <v>1183</v>
      </c>
      <c r="E297">
        <v>105</v>
      </c>
      <c r="F297" t="s">
        <v>748</v>
      </c>
      <c r="G297" s="3">
        <v>1.25</v>
      </c>
      <c r="H297" s="3" t="s">
        <v>66</v>
      </c>
      <c r="I297" s="3">
        <v>-8.1437910000000002</v>
      </c>
      <c r="J297" s="3">
        <v>28.946161</v>
      </c>
      <c r="K297" s="3" t="s">
        <v>1007</v>
      </c>
      <c r="L297" s="3" t="s">
        <v>1008</v>
      </c>
      <c r="M29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298" spans="1:13" x14ac:dyDescent="0.35">
      <c r="A298" s="3" t="s">
        <v>841</v>
      </c>
      <c r="B298" s="3" t="s">
        <v>803</v>
      </c>
      <c r="C298">
        <v>45202.717361111107</v>
      </c>
      <c r="D298" t="s">
        <v>854</v>
      </c>
      <c r="E298">
        <v>115</v>
      </c>
      <c r="F298" t="s">
        <v>748</v>
      </c>
      <c r="G298" s="3">
        <v>0.3</v>
      </c>
      <c r="H298" s="3" t="s">
        <v>66</v>
      </c>
      <c r="I298" s="3">
        <v>0.94539899999999999</v>
      </c>
      <c r="J298" s="3">
        <v>14.401821999999999</v>
      </c>
      <c r="K298" s="3" t="s">
        <v>1010</v>
      </c>
      <c r="L298" s="3" t="s">
        <v>1009</v>
      </c>
      <c r="M29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299" spans="1:13" x14ac:dyDescent="0.35">
      <c r="A299" s="3" t="s">
        <v>841</v>
      </c>
      <c r="B299" s="3" t="s">
        <v>803</v>
      </c>
      <c r="C299">
        <v>45218.286111111112</v>
      </c>
      <c r="D299" t="s">
        <v>919</v>
      </c>
      <c r="E299">
        <v>89</v>
      </c>
      <c r="F299" t="s">
        <v>740</v>
      </c>
      <c r="G299" s="3">
        <v>0.18333333333333332</v>
      </c>
      <c r="H299" s="3" t="s">
        <v>66</v>
      </c>
      <c r="I299" s="3">
        <v>0.94539899999999999</v>
      </c>
      <c r="J299" s="3">
        <v>14.401821999999999</v>
      </c>
      <c r="K299" s="3" t="s">
        <v>1010</v>
      </c>
      <c r="L299" s="3" t="s">
        <v>1009</v>
      </c>
      <c r="M29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00" spans="1:13" x14ac:dyDescent="0.35">
      <c r="A300" s="3" t="s">
        <v>841</v>
      </c>
      <c r="B300" s="3" t="s">
        <v>830</v>
      </c>
      <c r="C300">
        <v>45227.306250000001</v>
      </c>
      <c r="D300" t="s">
        <v>1039</v>
      </c>
      <c r="E300">
        <v>71</v>
      </c>
      <c r="F300" t="s">
        <v>742</v>
      </c>
      <c r="G300" s="3">
        <v>1.7666666666666666</v>
      </c>
      <c r="H300" s="3" t="s">
        <v>66</v>
      </c>
      <c r="I300" s="3">
        <v>-6.8149179999999996</v>
      </c>
      <c r="J300" s="3">
        <v>23.258102000000001</v>
      </c>
      <c r="K300" s="3" t="s">
        <v>1010</v>
      </c>
      <c r="L300" s="3" t="s">
        <v>1011</v>
      </c>
      <c r="M30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01" spans="1:13" x14ac:dyDescent="0.35">
      <c r="A301" s="3" t="s">
        <v>841</v>
      </c>
      <c r="B301" s="3" t="s">
        <v>855</v>
      </c>
      <c r="C301">
        <v>45224.201388888891</v>
      </c>
      <c r="D301" t="s">
        <v>840</v>
      </c>
      <c r="E301">
        <v>43</v>
      </c>
      <c r="F301" t="s">
        <v>748</v>
      </c>
      <c r="G301" s="3">
        <v>1.5333333333333334</v>
      </c>
      <c r="H301" s="3" t="s">
        <v>66</v>
      </c>
      <c r="I301" s="3">
        <v>-11.588665000000001</v>
      </c>
      <c r="J301" s="3">
        <v>15.241552</v>
      </c>
      <c r="K301" s="3" t="s">
        <v>1007</v>
      </c>
      <c r="L301" s="3" t="s">
        <v>1009</v>
      </c>
      <c r="M30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02" spans="1:13" x14ac:dyDescent="0.35">
      <c r="A302" s="3" t="s">
        <v>841</v>
      </c>
      <c r="B302" s="3" t="s">
        <v>914</v>
      </c>
      <c r="C302">
        <v>45228.791666666657</v>
      </c>
      <c r="D302" t="s">
        <v>871</v>
      </c>
      <c r="E302">
        <v>63</v>
      </c>
      <c r="F302" t="s">
        <v>740</v>
      </c>
      <c r="G302" s="3">
        <v>0.68333333333333335</v>
      </c>
      <c r="H302" s="3" t="s">
        <v>66</v>
      </c>
      <c r="I302" s="3">
        <v>-9.3066320000000005</v>
      </c>
      <c r="J302" s="3">
        <v>20.470889</v>
      </c>
      <c r="K302" s="3" t="s">
        <v>1010</v>
      </c>
      <c r="L302" s="3" t="s">
        <v>1008</v>
      </c>
      <c r="M30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03" spans="1:13" x14ac:dyDescent="0.35">
      <c r="A303" s="3" t="s">
        <v>841</v>
      </c>
      <c r="B303" s="3" t="s">
        <v>917</v>
      </c>
      <c r="C303">
        <v>45208.172222222223</v>
      </c>
      <c r="D303" t="s">
        <v>1054</v>
      </c>
      <c r="E303">
        <v>87</v>
      </c>
      <c r="F303" t="s">
        <v>740</v>
      </c>
      <c r="G303" s="3">
        <v>0.8833333333333333</v>
      </c>
      <c r="H303" s="3" t="s">
        <v>66</v>
      </c>
      <c r="I303" s="3">
        <v>-8.4985189999999999</v>
      </c>
      <c r="J303" s="3">
        <v>12.929456999999999</v>
      </c>
      <c r="K303" s="3" t="s">
        <v>1007</v>
      </c>
      <c r="L303" s="3" t="s">
        <v>1013</v>
      </c>
      <c r="M3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04" spans="1:13" x14ac:dyDescent="0.35">
      <c r="A304" s="3" t="s">
        <v>841</v>
      </c>
      <c r="B304" s="3" t="s">
        <v>917</v>
      </c>
      <c r="C304">
        <v>45217.368750000001</v>
      </c>
      <c r="D304" t="s">
        <v>923</v>
      </c>
      <c r="E304">
        <v>8</v>
      </c>
      <c r="F304" t="s">
        <v>740</v>
      </c>
      <c r="G304" s="3">
        <v>1.35</v>
      </c>
      <c r="H304" s="3" t="s">
        <v>66</v>
      </c>
      <c r="I304" s="3">
        <v>-8.4985189999999999</v>
      </c>
      <c r="J304" s="3">
        <v>12.929456999999999</v>
      </c>
      <c r="K304" s="3" t="s">
        <v>1007</v>
      </c>
      <c r="L304" s="3" t="s">
        <v>1013</v>
      </c>
      <c r="M30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05" spans="1:13" x14ac:dyDescent="0.35">
      <c r="A305" s="3" t="s">
        <v>841</v>
      </c>
      <c r="B305" s="3" t="s">
        <v>917</v>
      </c>
      <c r="C305">
        <v>45205.154166666667</v>
      </c>
      <c r="D305" t="s">
        <v>866</v>
      </c>
      <c r="E305">
        <v>12</v>
      </c>
      <c r="F305" t="s">
        <v>740</v>
      </c>
      <c r="G305" s="3">
        <v>8.3333333333333329E-2</v>
      </c>
      <c r="H305" s="3" t="s">
        <v>66</v>
      </c>
      <c r="I305" s="3">
        <v>-8.4985189999999999</v>
      </c>
      <c r="J305" s="3">
        <v>12.929456999999999</v>
      </c>
      <c r="K305" s="3" t="s">
        <v>1007</v>
      </c>
      <c r="L305" s="3" t="s">
        <v>1013</v>
      </c>
      <c r="M3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06" spans="1:13" x14ac:dyDescent="0.35">
      <c r="A306" s="3" t="s">
        <v>841</v>
      </c>
      <c r="B306" s="3" t="s">
        <v>928</v>
      </c>
      <c r="C306">
        <v>45227.005555555559</v>
      </c>
      <c r="D306" t="s">
        <v>1184</v>
      </c>
      <c r="E306">
        <v>66</v>
      </c>
      <c r="F306" t="s">
        <v>748</v>
      </c>
      <c r="G306" s="3">
        <v>0.93333333333333335</v>
      </c>
      <c r="H306" s="3" t="s">
        <v>66</v>
      </c>
      <c r="I306" s="3">
        <v>-7.7839049999999999</v>
      </c>
      <c r="J306" s="3">
        <v>14.114281999999999</v>
      </c>
      <c r="K306" s="3" t="s">
        <v>1012</v>
      </c>
      <c r="L306" s="3" t="s">
        <v>1008</v>
      </c>
      <c r="M3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07" spans="1:13" x14ac:dyDescent="0.35">
      <c r="A307" s="3" t="s">
        <v>841</v>
      </c>
      <c r="B307" s="3" t="s">
        <v>928</v>
      </c>
      <c r="C307">
        <v>45200.493055555547</v>
      </c>
      <c r="D307" t="s">
        <v>963</v>
      </c>
      <c r="E307">
        <v>113</v>
      </c>
      <c r="F307" t="s">
        <v>740</v>
      </c>
      <c r="G307" s="3">
        <v>1.1166666666666667</v>
      </c>
      <c r="H307" s="3" t="s">
        <v>66</v>
      </c>
      <c r="I307" s="3">
        <v>-7.7839049999999999</v>
      </c>
      <c r="J307" s="3">
        <v>14.114281999999999</v>
      </c>
      <c r="K307" s="3" t="s">
        <v>1012</v>
      </c>
      <c r="L307" s="3" t="s">
        <v>1008</v>
      </c>
      <c r="M30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08" spans="1:13" x14ac:dyDescent="0.35">
      <c r="A308" s="3" t="s">
        <v>841</v>
      </c>
      <c r="B308" s="3" t="s">
        <v>928</v>
      </c>
      <c r="C308">
        <v>45225.317361111112</v>
      </c>
      <c r="D308" t="s">
        <v>948</v>
      </c>
      <c r="E308">
        <v>56</v>
      </c>
      <c r="F308" t="s">
        <v>742</v>
      </c>
      <c r="G308" s="3">
        <v>0.55000000000000004</v>
      </c>
      <c r="H308" s="3" t="s">
        <v>66</v>
      </c>
      <c r="I308" s="3">
        <v>-7.7839049999999999</v>
      </c>
      <c r="J308" s="3">
        <v>14.114281999999999</v>
      </c>
      <c r="K308" s="3" t="s">
        <v>1012</v>
      </c>
      <c r="L308" s="3" t="s">
        <v>1008</v>
      </c>
      <c r="M30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09" spans="1:13" x14ac:dyDescent="0.35">
      <c r="A309" s="3" t="s">
        <v>841</v>
      </c>
      <c r="B309" s="3" t="s">
        <v>930</v>
      </c>
      <c r="C309">
        <v>45210.007638888892</v>
      </c>
      <c r="D309" t="s">
        <v>1185</v>
      </c>
      <c r="E309">
        <v>59</v>
      </c>
      <c r="F309" t="s">
        <v>742</v>
      </c>
      <c r="G309" s="3">
        <v>1.85</v>
      </c>
      <c r="H309" s="3" t="s">
        <v>66</v>
      </c>
      <c r="I309" s="3">
        <v>-1.342476</v>
      </c>
      <c r="J309" s="3">
        <v>15.986086</v>
      </c>
      <c r="K309" s="3" t="s">
        <v>1007</v>
      </c>
      <c r="L309" s="3" t="s">
        <v>1013</v>
      </c>
      <c r="M30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10" spans="1:13" x14ac:dyDescent="0.35">
      <c r="A310" s="3" t="s">
        <v>841</v>
      </c>
      <c r="B310" s="3" t="s">
        <v>930</v>
      </c>
      <c r="C310">
        <v>45208.047222222223</v>
      </c>
      <c r="D310" t="s">
        <v>1052</v>
      </c>
      <c r="E310">
        <v>92</v>
      </c>
      <c r="F310" t="s">
        <v>748</v>
      </c>
      <c r="G310" s="3">
        <v>1.9166666666666667</v>
      </c>
      <c r="H310" s="3" t="s">
        <v>66</v>
      </c>
      <c r="I310" s="3">
        <v>-1.342476</v>
      </c>
      <c r="J310" s="3">
        <v>15.986086</v>
      </c>
      <c r="K310" s="3" t="s">
        <v>1007</v>
      </c>
      <c r="L310" s="3" t="s">
        <v>1013</v>
      </c>
      <c r="M31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11" spans="1:13" x14ac:dyDescent="0.35">
      <c r="A311" s="3" t="s">
        <v>776</v>
      </c>
      <c r="B311" s="3" t="s">
        <v>930</v>
      </c>
      <c r="C311">
        <v>45221.143055555563</v>
      </c>
      <c r="D311" t="s">
        <v>1142</v>
      </c>
      <c r="E311">
        <v>43</v>
      </c>
      <c r="F311" t="s">
        <v>740</v>
      </c>
      <c r="G311" s="3">
        <v>0.83333333333333337</v>
      </c>
      <c r="H311" s="3" t="s">
        <v>66</v>
      </c>
      <c r="I311" s="3">
        <v>-1.342476</v>
      </c>
      <c r="J311" s="3">
        <v>15.986086</v>
      </c>
      <c r="K311" s="3" t="s">
        <v>1007</v>
      </c>
      <c r="L311" s="3" t="s">
        <v>1013</v>
      </c>
      <c r="M3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12" spans="1:13" x14ac:dyDescent="0.35">
      <c r="A312" s="3" t="s">
        <v>776</v>
      </c>
      <c r="B312" s="3" t="s">
        <v>930</v>
      </c>
      <c r="C312">
        <v>45211.908333333333</v>
      </c>
      <c r="D312" t="s">
        <v>1186</v>
      </c>
      <c r="E312">
        <v>32</v>
      </c>
      <c r="F312" t="s">
        <v>742</v>
      </c>
      <c r="G312" s="3">
        <v>1.2666666666666666</v>
      </c>
      <c r="H312" s="3" t="s">
        <v>66</v>
      </c>
      <c r="I312" s="3">
        <v>-1.342476</v>
      </c>
      <c r="J312" s="3">
        <v>15.986086</v>
      </c>
      <c r="K312" s="3" t="s">
        <v>1007</v>
      </c>
      <c r="L312" s="3" t="s">
        <v>1013</v>
      </c>
      <c r="M31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13" spans="1:13" x14ac:dyDescent="0.35">
      <c r="A313" s="3" t="s">
        <v>776</v>
      </c>
      <c r="B313" s="3" t="s">
        <v>933</v>
      </c>
      <c r="C313">
        <v>45213.960416666669</v>
      </c>
      <c r="D313" t="s">
        <v>1187</v>
      </c>
      <c r="E313">
        <v>103</v>
      </c>
      <c r="F313" t="s">
        <v>742</v>
      </c>
      <c r="G313" s="3">
        <v>0.8833333333333333</v>
      </c>
      <c r="H313" s="3" t="s">
        <v>66</v>
      </c>
      <c r="I313" s="3">
        <v>-7.8373179999999998</v>
      </c>
      <c r="J313" s="3">
        <v>20.527591999999999</v>
      </c>
      <c r="K313" s="3" t="s">
        <v>1007</v>
      </c>
      <c r="L313" s="3" t="s">
        <v>1013</v>
      </c>
      <c r="M31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14" spans="1:13" x14ac:dyDescent="0.35">
      <c r="A314" s="3" t="s">
        <v>776</v>
      </c>
      <c r="B314" s="3" t="s">
        <v>948</v>
      </c>
      <c r="C314">
        <v>45230.401388888888</v>
      </c>
      <c r="E314">
        <v>22</v>
      </c>
      <c r="F314" t="s">
        <v>740</v>
      </c>
      <c r="G314" s="3">
        <v>0.93333333333333335</v>
      </c>
      <c r="H314" s="3" t="s">
        <v>66</v>
      </c>
      <c r="I314" s="3">
        <v>-7.9987219999999999</v>
      </c>
      <c r="J314" s="3">
        <v>12.779335</v>
      </c>
      <c r="K314" s="3" t="s">
        <v>1010</v>
      </c>
      <c r="L314" s="3" t="s">
        <v>1009</v>
      </c>
      <c r="M3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15" spans="1:13" x14ac:dyDescent="0.35">
      <c r="A315" s="3" t="s">
        <v>776</v>
      </c>
      <c r="B315" s="3" t="s">
        <v>948</v>
      </c>
      <c r="C315">
        <v>45209.462500000001</v>
      </c>
      <c r="D315" t="s">
        <v>1185</v>
      </c>
      <c r="E315">
        <v>102</v>
      </c>
      <c r="F315" t="s">
        <v>748</v>
      </c>
      <c r="G315" s="3">
        <v>1.6333333333333333</v>
      </c>
      <c r="H315" s="3" t="s">
        <v>66</v>
      </c>
      <c r="I315" s="3">
        <v>-7.9987219999999999</v>
      </c>
      <c r="J315" s="3">
        <v>12.779335</v>
      </c>
      <c r="K315" s="3" t="s">
        <v>1010</v>
      </c>
      <c r="L315" s="3" t="s">
        <v>1009</v>
      </c>
      <c r="M31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16" spans="1:13" x14ac:dyDescent="0.35">
      <c r="A316" s="3" t="s">
        <v>776</v>
      </c>
      <c r="B316" s="3" t="s">
        <v>990</v>
      </c>
      <c r="C316">
        <v>45218.675694444442</v>
      </c>
      <c r="D316" t="s">
        <v>1115</v>
      </c>
      <c r="E316">
        <v>37</v>
      </c>
      <c r="F316" t="s">
        <v>748</v>
      </c>
      <c r="G316" s="3">
        <v>1.1333333333333333</v>
      </c>
      <c r="H316" s="3" t="s">
        <v>66</v>
      </c>
      <c r="I316" s="3">
        <v>-10.375266999999999</v>
      </c>
      <c r="J316" s="3">
        <v>17.993663000000002</v>
      </c>
      <c r="K316" s="3" t="s">
        <v>1010</v>
      </c>
      <c r="L316" s="3" t="s">
        <v>1008</v>
      </c>
      <c r="M31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17" spans="1:13" x14ac:dyDescent="0.35">
      <c r="A317" s="3" t="s">
        <v>776</v>
      </c>
      <c r="B317" s="3" t="s">
        <v>992</v>
      </c>
      <c r="C317">
        <v>45204.895833333343</v>
      </c>
      <c r="D317" t="s">
        <v>1188</v>
      </c>
      <c r="E317">
        <v>42</v>
      </c>
      <c r="F317" t="s">
        <v>742</v>
      </c>
      <c r="G317" s="3">
        <v>1.2166666666666666</v>
      </c>
      <c r="H317" s="3" t="s">
        <v>66</v>
      </c>
      <c r="I317" s="3">
        <v>-4.8128659999999996</v>
      </c>
      <c r="J317" s="3">
        <v>18.559304999999998</v>
      </c>
      <c r="K317" s="3" t="s">
        <v>1010</v>
      </c>
      <c r="L317" s="3" t="s">
        <v>1008</v>
      </c>
      <c r="M31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18" spans="1:13" x14ac:dyDescent="0.35">
      <c r="A318" s="3" t="s">
        <v>776</v>
      </c>
      <c r="B318" s="3" t="s">
        <v>772</v>
      </c>
      <c r="C318">
        <v>45207.140277777777</v>
      </c>
      <c r="D318" t="s">
        <v>1189</v>
      </c>
      <c r="E318">
        <v>46</v>
      </c>
      <c r="F318" t="s">
        <v>742</v>
      </c>
      <c r="G318" s="3">
        <v>0.45</v>
      </c>
      <c r="H318" s="3" t="s">
        <v>27</v>
      </c>
      <c r="I318" s="3">
        <v>-10.764815</v>
      </c>
      <c r="J318" s="3">
        <v>14.602039</v>
      </c>
      <c r="K318" s="3" t="s">
        <v>1007</v>
      </c>
      <c r="L318" s="3" t="s">
        <v>1009</v>
      </c>
      <c r="M3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19" spans="1:13" x14ac:dyDescent="0.35">
      <c r="A319" s="3" t="s">
        <v>776</v>
      </c>
      <c r="B319" s="3" t="s">
        <v>785</v>
      </c>
      <c r="C319">
        <v>45227.724305555559</v>
      </c>
      <c r="D319" t="s">
        <v>1183</v>
      </c>
      <c r="E319">
        <v>20</v>
      </c>
      <c r="F319" t="s">
        <v>740</v>
      </c>
      <c r="G319" s="3">
        <v>0.56666666666666665</v>
      </c>
      <c r="H319" s="3" t="s">
        <v>27</v>
      </c>
      <c r="I319" s="3">
        <v>-4.7886769999999999</v>
      </c>
      <c r="J319" s="3">
        <v>23.600221999999999</v>
      </c>
      <c r="K319" s="3" t="s">
        <v>1012</v>
      </c>
      <c r="L319" s="3" t="s">
        <v>1008</v>
      </c>
      <c r="M3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20" spans="1:13" x14ac:dyDescent="0.35">
      <c r="A320" s="3" t="s">
        <v>776</v>
      </c>
      <c r="B320" s="3" t="s">
        <v>813</v>
      </c>
      <c r="C320">
        <v>45203.35833333333</v>
      </c>
      <c r="D320" t="s">
        <v>1190</v>
      </c>
      <c r="E320">
        <v>5</v>
      </c>
      <c r="F320" t="s">
        <v>740</v>
      </c>
      <c r="G320" s="3">
        <v>2</v>
      </c>
      <c r="H320" s="3" t="s">
        <v>27</v>
      </c>
      <c r="I320" s="3">
        <v>-1.4110389999999999</v>
      </c>
      <c r="J320" s="3">
        <v>21.261644</v>
      </c>
      <c r="K320" s="3" t="s">
        <v>1007</v>
      </c>
      <c r="L320" s="3" t="s">
        <v>1008</v>
      </c>
      <c r="M320" s="3" t="str">
        <f>IF(LOGS_RESEAU[[#This Row],[Duree_Panne_Heure]]&lt;1,"Moins d'1h",IF(LOGS_RESEAU[[#This Row],[Duree_Panne_Heure]]&lt;2,"Plus d'1h et moins de 2 h",IF(LOGS_RESEAU[[#This Row],[Duree_Panne_Heure]]&gt;=2,"2h ou plus","Pas de panne")))</f>
        <v>2h ou plus</v>
      </c>
    </row>
    <row r="321" spans="1:13" x14ac:dyDescent="0.35">
      <c r="A321" s="3" t="s">
        <v>776</v>
      </c>
      <c r="B321" s="3" t="s">
        <v>813</v>
      </c>
      <c r="C321">
        <v>45207.57916666667</v>
      </c>
      <c r="D321" t="s">
        <v>1191</v>
      </c>
      <c r="E321">
        <v>68</v>
      </c>
      <c r="F321" t="s">
        <v>740</v>
      </c>
      <c r="G321" s="3">
        <v>1.4</v>
      </c>
      <c r="H321" s="3" t="s">
        <v>27</v>
      </c>
      <c r="I321" s="3">
        <v>-1.4110389999999999</v>
      </c>
      <c r="J321" s="3">
        <v>21.261644</v>
      </c>
      <c r="K321" s="3" t="s">
        <v>1007</v>
      </c>
      <c r="L321" s="3" t="s">
        <v>1008</v>
      </c>
      <c r="M32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22" spans="1:13" x14ac:dyDescent="0.35">
      <c r="A322" s="3" t="s">
        <v>776</v>
      </c>
      <c r="B322" s="3" t="s">
        <v>813</v>
      </c>
      <c r="C322">
        <v>45217.818749999999</v>
      </c>
      <c r="D322" t="s">
        <v>1105</v>
      </c>
      <c r="E322">
        <v>100</v>
      </c>
      <c r="F322" t="s">
        <v>740</v>
      </c>
      <c r="G322" s="3">
        <v>1.1000000000000001</v>
      </c>
      <c r="H322" s="3" t="s">
        <v>27</v>
      </c>
      <c r="I322" s="3">
        <v>-1.4110389999999999</v>
      </c>
      <c r="J322" s="3">
        <v>21.261644</v>
      </c>
      <c r="K322" s="3" t="s">
        <v>1007</v>
      </c>
      <c r="L322" s="3" t="s">
        <v>1008</v>
      </c>
      <c r="M32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23" spans="1:13" x14ac:dyDescent="0.35">
      <c r="A323" s="3" t="s">
        <v>776</v>
      </c>
      <c r="B323" s="3" t="s">
        <v>816</v>
      </c>
      <c r="C323">
        <v>45221.857638888891</v>
      </c>
      <c r="D323" t="s">
        <v>1192</v>
      </c>
      <c r="E323">
        <v>60</v>
      </c>
      <c r="F323" t="s">
        <v>748</v>
      </c>
      <c r="G323" s="3">
        <v>1.45</v>
      </c>
      <c r="H323" s="3" t="s">
        <v>27</v>
      </c>
      <c r="I323" s="3">
        <v>3.175935</v>
      </c>
      <c r="J323" s="3">
        <v>16.862832000000001</v>
      </c>
      <c r="K323" s="3" t="s">
        <v>1010</v>
      </c>
      <c r="L323" s="3" t="s">
        <v>1013</v>
      </c>
      <c r="M32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24" spans="1:13" x14ac:dyDescent="0.35">
      <c r="A324" s="3" t="s">
        <v>776</v>
      </c>
      <c r="B324" s="3" t="s">
        <v>824</v>
      </c>
      <c r="C324">
        <v>45200.832638888889</v>
      </c>
      <c r="D324" t="s">
        <v>873</v>
      </c>
      <c r="E324">
        <v>27</v>
      </c>
      <c r="F324" t="s">
        <v>740</v>
      </c>
      <c r="G324" s="3">
        <v>0.71666666666666667</v>
      </c>
      <c r="H324" s="3" t="s">
        <v>27</v>
      </c>
      <c r="I324" s="3">
        <v>-6.4883290000000002</v>
      </c>
      <c r="J324" s="3">
        <v>25.103404000000001</v>
      </c>
      <c r="K324" s="3" t="s">
        <v>1010</v>
      </c>
      <c r="L324" s="3" t="s">
        <v>1008</v>
      </c>
      <c r="M3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25" spans="1:13" x14ac:dyDescent="0.35">
      <c r="A325" s="3" t="s">
        <v>776</v>
      </c>
      <c r="B325" s="3" t="s">
        <v>829</v>
      </c>
      <c r="C325">
        <v>45221.928472222222</v>
      </c>
      <c r="D325" t="s">
        <v>1045</v>
      </c>
      <c r="E325">
        <v>21</v>
      </c>
      <c r="F325" t="s">
        <v>740</v>
      </c>
      <c r="G325" s="3">
        <v>0.18333333333333332</v>
      </c>
      <c r="H325" s="3" t="s">
        <v>27</v>
      </c>
      <c r="I325" s="3">
        <v>-0.157111</v>
      </c>
      <c r="J325" s="3">
        <v>25.415125</v>
      </c>
      <c r="K325" s="3" t="s">
        <v>1007</v>
      </c>
      <c r="L325" s="3" t="s">
        <v>1013</v>
      </c>
      <c r="M3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26" spans="1:13" x14ac:dyDescent="0.35">
      <c r="A326" s="3" t="s">
        <v>776</v>
      </c>
      <c r="B326" s="3" t="s">
        <v>922</v>
      </c>
      <c r="C326">
        <v>45200.220138888893</v>
      </c>
      <c r="D326" t="s">
        <v>1193</v>
      </c>
      <c r="E326">
        <v>53</v>
      </c>
      <c r="F326" t="s">
        <v>742</v>
      </c>
      <c r="G326" s="3">
        <v>0.76666666666666672</v>
      </c>
      <c r="H326" s="3" t="s">
        <v>27</v>
      </c>
      <c r="I326" s="3">
        <v>-7.513261</v>
      </c>
      <c r="J326" s="3">
        <v>24.338812000000001</v>
      </c>
      <c r="K326" s="3" t="s">
        <v>1010</v>
      </c>
      <c r="L326" s="3" t="s">
        <v>1011</v>
      </c>
      <c r="M3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27" spans="1:13" x14ac:dyDescent="0.35">
      <c r="A327" s="3" t="s">
        <v>776</v>
      </c>
      <c r="B327" s="3" t="s">
        <v>954</v>
      </c>
      <c r="C327">
        <v>45222.415277777778</v>
      </c>
      <c r="D327" t="s">
        <v>992</v>
      </c>
      <c r="E327">
        <v>73</v>
      </c>
      <c r="F327" t="s">
        <v>740</v>
      </c>
      <c r="G327" s="3">
        <v>1.2</v>
      </c>
      <c r="H327" s="3" t="s">
        <v>27</v>
      </c>
      <c r="I327" s="3">
        <v>-2.7140689999999998</v>
      </c>
      <c r="J327" s="3">
        <v>22.222104000000002</v>
      </c>
      <c r="K327" s="3" t="s">
        <v>1007</v>
      </c>
      <c r="L327" s="3" t="s">
        <v>1009</v>
      </c>
      <c r="M32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28" spans="1:13" x14ac:dyDescent="0.35">
      <c r="A328" s="3" t="s">
        <v>776</v>
      </c>
      <c r="B328" s="3" t="s">
        <v>1003</v>
      </c>
      <c r="C328">
        <v>45210.458333333343</v>
      </c>
      <c r="D328" t="s">
        <v>850</v>
      </c>
      <c r="E328">
        <v>95</v>
      </c>
      <c r="F328" t="s">
        <v>742</v>
      </c>
      <c r="G328" s="3">
        <v>2</v>
      </c>
      <c r="H328" s="3" t="s">
        <v>27</v>
      </c>
      <c r="I328" s="3">
        <v>-7.5969509999999998</v>
      </c>
      <c r="J328" s="3">
        <v>22.153986</v>
      </c>
      <c r="K328" s="3" t="s">
        <v>1012</v>
      </c>
      <c r="L328" s="3" t="s">
        <v>1013</v>
      </c>
      <c r="M328" s="3" t="str">
        <f>IF(LOGS_RESEAU[[#This Row],[Duree_Panne_Heure]]&lt;1,"Moins d'1h",IF(LOGS_RESEAU[[#This Row],[Duree_Panne_Heure]]&lt;2,"Plus d'1h et moins de 2 h",IF(LOGS_RESEAU[[#This Row],[Duree_Panne_Heure]]&gt;=2,"2h ou plus","Pas de panne")))</f>
        <v>2h ou plus</v>
      </c>
    </row>
    <row r="329" spans="1:13" x14ac:dyDescent="0.35">
      <c r="A329" s="3" t="s">
        <v>776</v>
      </c>
      <c r="B329" s="3" t="s">
        <v>1003</v>
      </c>
      <c r="C329">
        <v>45205.191666666673</v>
      </c>
      <c r="D329" t="s">
        <v>785</v>
      </c>
      <c r="E329">
        <v>34</v>
      </c>
      <c r="F329" t="s">
        <v>740</v>
      </c>
      <c r="G329" s="3">
        <v>0.51666666666666672</v>
      </c>
      <c r="H329" s="3" t="s">
        <v>27</v>
      </c>
      <c r="I329" s="3">
        <v>-7.5969509999999998</v>
      </c>
      <c r="J329" s="3">
        <v>22.153986</v>
      </c>
      <c r="K329" s="3" t="s">
        <v>1012</v>
      </c>
      <c r="L329" s="3" t="s">
        <v>1013</v>
      </c>
      <c r="M3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30" spans="1:13" x14ac:dyDescent="0.35">
      <c r="A330" s="3" t="s">
        <v>776</v>
      </c>
      <c r="B330" s="3" t="s">
        <v>780</v>
      </c>
      <c r="C330">
        <v>45221.50277777778</v>
      </c>
      <c r="D330" t="s">
        <v>1194</v>
      </c>
      <c r="E330">
        <v>69</v>
      </c>
      <c r="F330" t="s">
        <v>740</v>
      </c>
      <c r="G330" s="3">
        <v>0.73333333333333328</v>
      </c>
      <c r="H330" s="3" t="s">
        <v>110</v>
      </c>
      <c r="I330" s="3">
        <v>4.2904629999999999</v>
      </c>
      <c r="J330" s="3">
        <v>26.354195000000001</v>
      </c>
      <c r="K330" s="3" t="s">
        <v>1012</v>
      </c>
      <c r="L330" s="3" t="s">
        <v>1013</v>
      </c>
      <c r="M3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31" spans="1:13" x14ac:dyDescent="0.35">
      <c r="A331" s="3" t="s">
        <v>776</v>
      </c>
      <c r="B331" s="3" t="s">
        <v>805</v>
      </c>
      <c r="C331">
        <v>45204.986111111109</v>
      </c>
      <c r="D331" t="s">
        <v>974</v>
      </c>
      <c r="E331">
        <v>76</v>
      </c>
      <c r="F331" t="s">
        <v>742</v>
      </c>
      <c r="G331" s="3">
        <v>1.9833333333333334</v>
      </c>
      <c r="H331" s="3" t="s">
        <v>110</v>
      </c>
      <c r="I331" s="3">
        <v>2.4414509999999998</v>
      </c>
      <c r="J331" s="3">
        <v>30.167489</v>
      </c>
      <c r="K331" s="3" t="s">
        <v>1010</v>
      </c>
      <c r="L331" s="3" t="s">
        <v>1009</v>
      </c>
      <c r="M33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32" spans="1:13" x14ac:dyDescent="0.35">
      <c r="A332" s="3" t="s">
        <v>776</v>
      </c>
      <c r="B332" s="3" t="s">
        <v>805</v>
      </c>
      <c r="C332">
        <v>45200.115972222222</v>
      </c>
      <c r="D332" t="s">
        <v>1029</v>
      </c>
      <c r="E332">
        <v>111</v>
      </c>
      <c r="F332" t="s">
        <v>748</v>
      </c>
      <c r="G332" s="3">
        <v>1.4</v>
      </c>
      <c r="H332" s="3" t="s">
        <v>110</v>
      </c>
      <c r="I332" s="3">
        <v>2.4414509999999998</v>
      </c>
      <c r="J332" s="3">
        <v>30.167489</v>
      </c>
      <c r="K332" s="3" t="s">
        <v>1010</v>
      </c>
      <c r="L332" s="3" t="s">
        <v>1009</v>
      </c>
      <c r="M33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33" spans="1:13" x14ac:dyDescent="0.35">
      <c r="A333" s="3" t="s">
        <v>776</v>
      </c>
      <c r="B333" s="3" t="s">
        <v>815</v>
      </c>
      <c r="C333">
        <v>45216.26666666667</v>
      </c>
      <c r="D333" t="s">
        <v>823</v>
      </c>
      <c r="E333">
        <v>90</v>
      </c>
      <c r="F333" t="s">
        <v>748</v>
      </c>
      <c r="G333" s="3">
        <v>0.53333333333333333</v>
      </c>
      <c r="H333" s="3" t="s">
        <v>110</v>
      </c>
      <c r="I333" s="3">
        <v>-11.514817000000001</v>
      </c>
      <c r="J333" s="3">
        <v>24.891375</v>
      </c>
      <c r="K333" s="3" t="s">
        <v>1012</v>
      </c>
      <c r="L333" s="3" t="s">
        <v>1009</v>
      </c>
      <c r="M3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34" spans="1:13" x14ac:dyDescent="0.35">
      <c r="A334" s="3" t="s">
        <v>776</v>
      </c>
      <c r="B334" s="3" t="s">
        <v>815</v>
      </c>
      <c r="C334">
        <v>45213.597916666673</v>
      </c>
      <c r="D334" t="s">
        <v>1195</v>
      </c>
      <c r="E334">
        <v>108</v>
      </c>
      <c r="F334" t="s">
        <v>742</v>
      </c>
      <c r="G334" s="3">
        <v>0.35</v>
      </c>
      <c r="H334" s="3" t="s">
        <v>110</v>
      </c>
      <c r="I334" s="3">
        <v>-11.514817000000001</v>
      </c>
      <c r="J334" s="3">
        <v>24.891375</v>
      </c>
      <c r="K334" s="3" t="s">
        <v>1012</v>
      </c>
      <c r="L334" s="3" t="s">
        <v>1009</v>
      </c>
      <c r="M3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35" spans="1:13" x14ac:dyDescent="0.35">
      <c r="A335" s="3" t="s">
        <v>776</v>
      </c>
      <c r="B335" s="3" t="s">
        <v>825</v>
      </c>
      <c r="C335">
        <v>45205.47152777778</v>
      </c>
      <c r="D335" t="s">
        <v>916</v>
      </c>
      <c r="E335">
        <v>50</v>
      </c>
      <c r="F335" t="s">
        <v>742</v>
      </c>
      <c r="G335" s="3">
        <v>2</v>
      </c>
      <c r="H335" s="3" t="s">
        <v>110</v>
      </c>
      <c r="I335" s="3">
        <v>-4.1694589999999998</v>
      </c>
      <c r="J335" s="3">
        <v>23.376487000000001</v>
      </c>
      <c r="K335" s="3" t="s">
        <v>1012</v>
      </c>
      <c r="L335" s="3" t="s">
        <v>1009</v>
      </c>
      <c r="M335" s="3" t="str">
        <f>IF(LOGS_RESEAU[[#This Row],[Duree_Panne_Heure]]&lt;1,"Moins d'1h",IF(LOGS_RESEAU[[#This Row],[Duree_Panne_Heure]]&lt;2,"Plus d'1h et moins de 2 h",IF(LOGS_RESEAU[[#This Row],[Duree_Panne_Heure]]&gt;=2,"2h ou plus","Pas de panne")))</f>
        <v>2h ou plus</v>
      </c>
    </row>
    <row r="336" spans="1:13" x14ac:dyDescent="0.35">
      <c r="A336" s="3" t="s">
        <v>776</v>
      </c>
      <c r="B336" s="3" t="s">
        <v>825</v>
      </c>
      <c r="C336">
        <v>45223.450694444437</v>
      </c>
      <c r="D336" t="s">
        <v>857</v>
      </c>
      <c r="E336">
        <v>14</v>
      </c>
      <c r="F336" t="s">
        <v>748</v>
      </c>
      <c r="G336" s="3">
        <v>0.95</v>
      </c>
      <c r="H336" s="3" t="s">
        <v>110</v>
      </c>
      <c r="I336" s="3">
        <v>-4.1694589999999998</v>
      </c>
      <c r="J336" s="3">
        <v>23.376487000000001</v>
      </c>
      <c r="K336" s="3" t="s">
        <v>1012</v>
      </c>
      <c r="L336" s="3" t="s">
        <v>1009</v>
      </c>
      <c r="M3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37" spans="1:13" x14ac:dyDescent="0.35">
      <c r="A337" s="3" t="s">
        <v>776</v>
      </c>
      <c r="B337" s="3" t="s">
        <v>845</v>
      </c>
      <c r="C337">
        <v>45230.776388888888</v>
      </c>
      <c r="D337" t="s">
        <v>1196</v>
      </c>
      <c r="E337">
        <v>55</v>
      </c>
      <c r="F337" t="s">
        <v>742</v>
      </c>
      <c r="G337" s="3">
        <v>1.05</v>
      </c>
      <c r="H337" s="3" t="s">
        <v>110</v>
      </c>
      <c r="I337" s="3">
        <v>0.31740800000000002</v>
      </c>
      <c r="J337" s="3">
        <v>27.197666999999999</v>
      </c>
      <c r="K337" s="3" t="s">
        <v>1010</v>
      </c>
      <c r="L337" s="3" t="s">
        <v>1009</v>
      </c>
      <c r="M33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38" spans="1:13" x14ac:dyDescent="0.35">
      <c r="A338" s="3" t="s">
        <v>776</v>
      </c>
      <c r="B338" s="3" t="s">
        <v>866</v>
      </c>
      <c r="C338">
        <v>45202.04791666667</v>
      </c>
      <c r="D338" t="s">
        <v>778</v>
      </c>
      <c r="E338">
        <v>115</v>
      </c>
      <c r="F338" t="s">
        <v>742</v>
      </c>
      <c r="G338" s="3">
        <v>0.2</v>
      </c>
      <c r="H338" s="3" t="s">
        <v>110</v>
      </c>
      <c r="I338" s="3">
        <v>-5.2526849999999996</v>
      </c>
      <c r="J338" s="3">
        <v>12.374528</v>
      </c>
      <c r="K338" s="3" t="s">
        <v>1012</v>
      </c>
      <c r="L338" s="3" t="s">
        <v>1009</v>
      </c>
      <c r="M3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39" spans="1:13" x14ac:dyDescent="0.35">
      <c r="A339" s="3" t="s">
        <v>776</v>
      </c>
      <c r="B339" s="3" t="s">
        <v>866</v>
      </c>
      <c r="C339">
        <v>45205.793749999997</v>
      </c>
      <c r="D339" t="s">
        <v>1197</v>
      </c>
      <c r="E339">
        <v>99</v>
      </c>
      <c r="F339" t="s">
        <v>742</v>
      </c>
      <c r="G339" s="3">
        <v>1.45</v>
      </c>
      <c r="H339" s="3" t="s">
        <v>110</v>
      </c>
      <c r="I339" s="3">
        <v>-5.2526849999999996</v>
      </c>
      <c r="J339" s="3">
        <v>12.374528</v>
      </c>
      <c r="K339" s="3" t="s">
        <v>1012</v>
      </c>
      <c r="L339" s="3" t="s">
        <v>1009</v>
      </c>
      <c r="M33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0" spans="1:13" x14ac:dyDescent="0.35">
      <c r="A340" s="3" t="s">
        <v>776</v>
      </c>
      <c r="B340" s="3" t="s">
        <v>866</v>
      </c>
      <c r="C340" t="s">
        <v>1198</v>
      </c>
      <c r="D340" t="s">
        <v>1030</v>
      </c>
      <c r="E340">
        <v>10</v>
      </c>
      <c r="F340" t="s">
        <v>742</v>
      </c>
      <c r="G340" s="3">
        <v>1.6</v>
      </c>
      <c r="H340" s="3" t="s">
        <v>110</v>
      </c>
      <c r="I340" s="3">
        <v>-5.2526849999999996</v>
      </c>
      <c r="J340" s="3">
        <v>12.374528</v>
      </c>
      <c r="K340" s="3" t="s">
        <v>1012</v>
      </c>
      <c r="L340" s="3" t="s">
        <v>1009</v>
      </c>
      <c r="M34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1" spans="1:13" x14ac:dyDescent="0.35">
      <c r="A341" s="3" t="s">
        <v>776</v>
      </c>
      <c r="B341" s="3" t="s">
        <v>873</v>
      </c>
      <c r="C341">
        <v>45214.893750000003</v>
      </c>
      <c r="D341" t="s">
        <v>1199</v>
      </c>
      <c r="E341">
        <v>60</v>
      </c>
      <c r="F341" t="s">
        <v>742</v>
      </c>
      <c r="G341" s="3">
        <v>0.45</v>
      </c>
      <c r="H341" s="3" t="s">
        <v>110</v>
      </c>
      <c r="I341" s="3">
        <v>1.2419519999999999</v>
      </c>
      <c r="J341" s="3">
        <v>25.261382999999999</v>
      </c>
      <c r="K341" s="3" t="s">
        <v>1007</v>
      </c>
      <c r="L341" s="3" t="s">
        <v>1011</v>
      </c>
      <c r="M3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42" spans="1:13" x14ac:dyDescent="0.35">
      <c r="A342" s="3" t="s">
        <v>776</v>
      </c>
      <c r="B342" s="3" t="s">
        <v>873</v>
      </c>
      <c r="C342">
        <v>45215.811111111107</v>
      </c>
      <c r="D342" t="s">
        <v>1122</v>
      </c>
      <c r="E342">
        <v>7</v>
      </c>
      <c r="F342" t="s">
        <v>748</v>
      </c>
      <c r="G342" s="3">
        <v>0.96666666666666667</v>
      </c>
      <c r="H342" s="3" t="s">
        <v>110</v>
      </c>
      <c r="I342" s="3">
        <v>1.2419519999999999</v>
      </c>
      <c r="J342" s="3">
        <v>25.261382999999999</v>
      </c>
      <c r="K342" s="3" t="s">
        <v>1007</v>
      </c>
      <c r="L342" s="3" t="s">
        <v>1011</v>
      </c>
      <c r="M3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43" spans="1:13" x14ac:dyDescent="0.35">
      <c r="A343" s="3" t="s">
        <v>776</v>
      </c>
      <c r="B343" s="3" t="s">
        <v>881</v>
      </c>
      <c r="C343">
        <v>45213.342361111107</v>
      </c>
      <c r="D343" t="s">
        <v>845</v>
      </c>
      <c r="E343">
        <v>63</v>
      </c>
      <c r="F343" t="s">
        <v>742</v>
      </c>
      <c r="G343" s="3">
        <v>1.7666666666666666</v>
      </c>
      <c r="H343" s="3" t="s">
        <v>110</v>
      </c>
      <c r="I343" s="3">
        <v>-11.207139</v>
      </c>
      <c r="J343" s="3">
        <v>18.702511999999999</v>
      </c>
      <c r="K343" s="3" t="s">
        <v>1010</v>
      </c>
      <c r="L343" s="3" t="s">
        <v>1013</v>
      </c>
      <c r="M34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4" spans="1:13" x14ac:dyDescent="0.35">
      <c r="A344" s="3" t="s">
        <v>776</v>
      </c>
      <c r="B344" s="3" t="s">
        <v>901</v>
      </c>
      <c r="C344">
        <v>45224.671527777777</v>
      </c>
      <c r="D344" t="s">
        <v>1114</v>
      </c>
      <c r="E344">
        <v>14</v>
      </c>
      <c r="F344" t="s">
        <v>748</v>
      </c>
      <c r="G344" s="3">
        <v>1.9166666666666667</v>
      </c>
      <c r="H344" s="3" t="s">
        <v>110</v>
      </c>
      <c r="I344" s="3">
        <v>-1.3024210000000001</v>
      </c>
      <c r="J344" s="3">
        <v>13.601914000000001</v>
      </c>
      <c r="K344" s="3" t="s">
        <v>1012</v>
      </c>
      <c r="L344" s="3" t="s">
        <v>1011</v>
      </c>
      <c r="M34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5" spans="1:13" x14ac:dyDescent="0.35">
      <c r="A345" s="3" t="s">
        <v>776</v>
      </c>
      <c r="B345" s="3" t="s">
        <v>910</v>
      </c>
      <c r="C345">
        <v>45211.546527777777</v>
      </c>
      <c r="D345" t="s">
        <v>1061</v>
      </c>
      <c r="E345">
        <v>115</v>
      </c>
      <c r="F345" t="s">
        <v>740</v>
      </c>
      <c r="G345" s="3">
        <v>1.7</v>
      </c>
      <c r="H345" s="3" t="s">
        <v>110</v>
      </c>
      <c r="I345" s="3">
        <v>-1.4700059999999999</v>
      </c>
      <c r="J345" s="3">
        <v>18.680958</v>
      </c>
      <c r="K345" s="3" t="s">
        <v>1012</v>
      </c>
      <c r="L345" s="3" t="s">
        <v>1011</v>
      </c>
      <c r="M34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6" spans="1:13" x14ac:dyDescent="0.35">
      <c r="A346" s="3" t="s">
        <v>776</v>
      </c>
      <c r="B346" s="3" t="s">
        <v>910</v>
      </c>
      <c r="C346">
        <v>45209.904861111107</v>
      </c>
      <c r="D346" t="s">
        <v>1038</v>
      </c>
      <c r="E346">
        <v>45</v>
      </c>
      <c r="F346" t="s">
        <v>748</v>
      </c>
      <c r="G346" s="3">
        <v>1.3166666666666667</v>
      </c>
      <c r="H346" s="3" t="s">
        <v>110</v>
      </c>
      <c r="I346" s="3">
        <v>-1.4700059999999999</v>
      </c>
      <c r="J346" s="3">
        <v>18.680958</v>
      </c>
      <c r="K346" s="3" t="s">
        <v>1012</v>
      </c>
      <c r="L346" s="3" t="s">
        <v>1011</v>
      </c>
      <c r="M34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7" spans="1:13" x14ac:dyDescent="0.35">
      <c r="A347" s="3" t="s">
        <v>776</v>
      </c>
      <c r="B347" s="3" t="s">
        <v>952</v>
      </c>
      <c r="C347">
        <v>45218.647916666669</v>
      </c>
      <c r="D347" t="s">
        <v>1200</v>
      </c>
      <c r="E347">
        <v>78</v>
      </c>
      <c r="F347" t="s">
        <v>740</v>
      </c>
      <c r="G347" s="3">
        <v>1.8333333333333333</v>
      </c>
      <c r="H347" s="3" t="s">
        <v>110</v>
      </c>
      <c r="I347" s="3">
        <v>2.453036</v>
      </c>
      <c r="J347" s="3">
        <v>20.555484</v>
      </c>
      <c r="K347" s="3" t="s">
        <v>1010</v>
      </c>
      <c r="L347" s="3" t="s">
        <v>1013</v>
      </c>
      <c r="M34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8" spans="1:13" x14ac:dyDescent="0.35">
      <c r="A348" s="3" t="s">
        <v>776</v>
      </c>
      <c r="B348" s="3" t="s">
        <v>963</v>
      </c>
      <c r="C348">
        <v>45221.376388888893</v>
      </c>
      <c r="D348" t="s">
        <v>777</v>
      </c>
      <c r="E348">
        <v>59</v>
      </c>
      <c r="F348" t="s">
        <v>748</v>
      </c>
      <c r="G348" s="3">
        <v>1.8833333333333333</v>
      </c>
      <c r="H348" s="3" t="s">
        <v>110</v>
      </c>
      <c r="I348" s="3">
        <v>-1.5419050000000001</v>
      </c>
      <c r="J348" s="3">
        <v>14.730632999999999</v>
      </c>
      <c r="K348" s="3" t="s">
        <v>1012</v>
      </c>
      <c r="L348" s="3" t="s">
        <v>1008</v>
      </c>
      <c r="M34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49" spans="1:13" x14ac:dyDescent="0.35">
      <c r="A349" s="3" t="s">
        <v>776</v>
      </c>
      <c r="B349" s="3" t="s">
        <v>963</v>
      </c>
      <c r="C349">
        <v>45207.526388888888</v>
      </c>
      <c r="D349" t="s">
        <v>887</v>
      </c>
      <c r="E349">
        <v>78</v>
      </c>
      <c r="F349" t="s">
        <v>748</v>
      </c>
      <c r="G349" s="3">
        <v>0.28333333333333333</v>
      </c>
      <c r="H349" s="3" t="s">
        <v>110</v>
      </c>
      <c r="I349" s="3">
        <v>-1.5419050000000001</v>
      </c>
      <c r="J349" s="3">
        <v>14.730632999999999</v>
      </c>
      <c r="K349" s="3" t="s">
        <v>1012</v>
      </c>
      <c r="L349" s="3" t="s">
        <v>1008</v>
      </c>
      <c r="M3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50" spans="1:13" x14ac:dyDescent="0.35">
      <c r="A350" s="3" t="s">
        <v>776</v>
      </c>
      <c r="B350" s="3" t="s">
        <v>979</v>
      </c>
      <c r="C350">
        <v>45201.009027777778</v>
      </c>
      <c r="D350" t="s">
        <v>928</v>
      </c>
      <c r="E350">
        <v>56</v>
      </c>
      <c r="F350" t="s">
        <v>742</v>
      </c>
      <c r="G350" s="3">
        <v>1.7</v>
      </c>
      <c r="H350" s="3" t="s">
        <v>110</v>
      </c>
      <c r="I350" s="3">
        <v>-9.4702129999999993</v>
      </c>
      <c r="J350" s="3">
        <v>12.826158</v>
      </c>
      <c r="K350" s="3" t="s">
        <v>1012</v>
      </c>
      <c r="L350" s="3" t="s">
        <v>1013</v>
      </c>
      <c r="M35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51" spans="1:13" x14ac:dyDescent="0.35">
      <c r="A351" s="3" t="s">
        <v>764</v>
      </c>
      <c r="B351" s="3" t="s">
        <v>979</v>
      </c>
      <c r="C351">
        <v>45201.057638888888</v>
      </c>
      <c r="D351" t="s">
        <v>1000</v>
      </c>
      <c r="E351">
        <v>103</v>
      </c>
      <c r="F351" t="s">
        <v>740</v>
      </c>
      <c r="G351" s="3">
        <v>0.3</v>
      </c>
      <c r="H351" s="3" t="s">
        <v>110</v>
      </c>
      <c r="I351" s="3">
        <v>-9.4702129999999993</v>
      </c>
      <c r="J351" s="3">
        <v>12.826158</v>
      </c>
      <c r="K351" s="3" t="s">
        <v>1012</v>
      </c>
      <c r="L351" s="3" t="s">
        <v>1013</v>
      </c>
      <c r="M3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52" spans="1:13" x14ac:dyDescent="0.35">
      <c r="A352" s="3" t="s">
        <v>764</v>
      </c>
      <c r="B352" s="3" t="s">
        <v>979</v>
      </c>
      <c r="C352">
        <v>45226.37777777778</v>
      </c>
      <c r="D352" t="s">
        <v>965</v>
      </c>
      <c r="E352">
        <v>74</v>
      </c>
      <c r="F352" t="s">
        <v>748</v>
      </c>
      <c r="G352" s="3">
        <v>0.73333333333333328</v>
      </c>
      <c r="H352" s="3" t="s">
        <v>110</v>
      </c>
      <c r="I352" s="3">
        <v>-9.4702129999999993</v>
      </c>
      <c r="J352" s="3">
        <v>12.826158</v>
      </c>
      <c r="K352" s="3" t="s">
        <v>1012</v>
      </c>
      <c r="L352" s="3" t="s">
        <v>1013</v>
      </c>
      <c r="M3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53" spans="1:13" x14ac:dyDescent="0.35">
      <c r="A353" s="3" t="s">
        <v>764</v>
      </c>
      <c r="B353" s="3" t="s">
        <v>775</v>
      </c>
      <c r="C353">
        <v>45220.11041666667</v>
      </c>
      <c r="D353" t="s">
        <v>960</v>
      </c>
      <c r="E353">
        <v>111</v>
      </c>
      <c r="F353" t="s">
        <v>748</v>
      </c>
      <c r="G353" s="3">
        <v>1.95</v>
      </c>
      <c r="H353" s="3" t="s">
        <v>16</v>
      </c>
      <c r="I353" s="3">
        <v>-12.141233</v>
      </c>
      <c r="J353" s="3">
        <v>15.179043999999999</v>
      </c>
      <c r="K353" s="3" t="s">
        <v>1010</v>
      </c>
      <c r="L353" s="3" t="s">
        <v>1013</v>
      </c>
      <c r="M35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54" spans="1:13" x14ac:dyDescent="0.35">
      <c r="A354" s="3" t="s">
        <v>764</v>
      </c>
      <c r="B354" s="3" t="s">
        <v>797</v>
      </c>
      <c r="C354">
        <v>45219.683333333327</v>
      </c>
      <c r="D354" t="s">
        <v>874</v>
      </c>
      <c r="E354">
        <v>99</v>
      </c>
      <c r="F354" t="s">
        <v>742</v>
      </c>
      <c r="G354" s="3">
        <v>0.8</v>
      </c>
      <c r="H354" s="3" t="s">
        <v>16</v>
      </c>
      <c r="I354" s="3">
        <v>-9.3652239999999995</v>
      </c>
      <c r="J354" s="3">
        <v>22.593423999999999</v>
      </c>
      <c r="K354" s="3" t="s">
        <v>1010</v>
      </c>
      <c r="L354" s="3" t="s">
        <v>1009</v>
      </c>
      <c r="M35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55" spans="1:13" x14ac:dyDescent="0.35">
      <c r="A355" s="3" t="s">
        <v>764</v>
      </c>
      <c r="B355" s="3" t="s">
        <v>797</v>
      </c>
      <c r="C355">
        <v>45214.774305555547</v>
      </c>
      <c r="D355" t="s">
        <v>987</v>
      </c>
      <c r="E355">
        <v>118</v>
      </c>
      <c r="F355" t="s">
        <v>740</v>
      </c>
      <c r="G355" s="3">
        <v>0.81666666666666665</v>
      </c>
      <c r="H355" s="3" t="s">
        <v>16</v>
      </c>
      <c r="I355" s="3">
        <v>-9.3652239999999995</v>
      </c>
      <c r="J355" s="3">
        <v>22.593423999999999</v>
      </c>
      <c r="K355" s="3" t="s">
        <v>1010</v>
      </c>
      <c r="L355" s="3" t="s">
        <v>1009</v>
      </c>
      <c r="M35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56" spans="1:13" x14ac:dyDescent="0.35">
      <c r="A356" s="3" t="s">
        <v>764</v>
      </c>
      <c r="B356" s="3" t="s">
        <v>808</v>
      </c>
      <c r="C356">
        <v>45230.997916666667</v>
      </c>
      <c r="D356" t="s">
        <v>972</v>
      </c>
      <c r="E356">
        <v>72</v>
      </c>
      <c r="F356" t="s">
        <v>748</v>
      </c>
      <c r="G356" s="3">
        <v>1.75</v>
      </c>
      <c r="H356" s="3" t="s">
        <v>16</v>
      </c>
      <c r="I356" s="3">
        <v>-0.54908599999999996</v>
      </c>
      <c r="J356" s="3">
        <v>14.816867</v>
      </c>
      <c r="K356" s="3" t="s">
        <v>1010</v>
      </c>
      <c r="L356" s="3" t="s">
        <v>1008</v>
      </c>
      <c r="M35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57" spans="1:13" x14ac:dyDescent="0.35">
      <c r="A357" s="3" t="s">
        <v>764</v>
      </c>
      <c r="B357" s="3" t="s">
        <v>858</v>
      </c>
      <c r="C357">
        <v>45201.623611111107</v>
      </c>
      <c r="D357" t="s">
        <v>1201</v>
      </c>
      <c r="E357">
        <v>9</v>
      </c>
      <c r="F357" t="s">
        <v>740</v>
      </c>
      <c r="G357" s="3">
        <v>0.98333333333333328</v>
      </c>
      <c r="H357" s="3" t="s">
        <v>16</v>
      </c>
      <c r="I357" s="3">
        <v>-11.387295999999999</v>
      </c>
      <c r="J357" s="3">
        <v>19.384257999999999</v>
      </c>
      <c r="K357" s="3" t="s">
        <v>1012</v>
      </c>
      <c r="L357" s="3" t="s">
        <v>1011</v>
      </c>
      <c r="M35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58" spans="1:13" x14ac:dyDescent="0.35">
      <c r="A358" s="3" t="s">
        <v>764</v>
      </c>
      <c r="B358" s="3" t="s">
        <v>858</v>
      </c>
      <c r="C358">
        <v>45225.77847222222</v>
      </c>
      <c r="D358" t="s">
        <v>1202</v>
      </c>
      <c r="E358">
        <v>89</v>
      </c>
      <c r="F358" t="s">
        <v>740</v>
      </c>
      <c r="G358" s="3">
        <v>1.05</v>
      </c>
      <c r="H358" s="3" t="s">
        <v>16</v>
      </c>
      <c r="I358" s="3">
        <v>-11.387295999999999</v>
      </c>
      <c r="J358" s="3">
        <v>19.384257999999999</v>
      </c>
      <c r="K358" s="3" t="s">
        <v>1012</v>
      </c>
      <c r="L358" s="3" t="s">
        <v>1011</v>
      </c>
      <c r="M35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59" spans="1:13" x14ac:dyDescent="0.35">
      <c r="A359" s="3" t="s">
        <v>764</v>
      </c>
      <c r="B359" s="3" t="s">
        <v>859</v>
      </c>
      <c r="C359">
        <v>45206.443055555559</v>
      </c>
      <c r="D359" t="s">
        <v>941</v>
      </c>
      <c r="E359">
        <v>48</v>
      </c>
      <c r="F359" t="s">
        <v>748</v>
      </c>
      <c r="G359" s="3">
        <v>0.7</v>
      </c>
      <c r="H359" s="3" t="s">
        <v>16</v>
      </c>
      <c r="I359" s="3">
        <v>3.611561</v>
      </c>
      <c r="J359" s="3">
        <v>17.725974999999998</v>
      </c>
      <c r="K359" s="3" t="s">
        <v>1012</v>
      </c>
      <c r="L359" s="3" t="s">
        <v>1008</v>
      </c>
      <c r="M3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60" spans="1:13" x14ac:dyDescent="0.35">
      <c r="A360" s="3" t="s">
        <v>764</v>
      </c>
      <c r="B360" s="3" t="s">
        <v>913</v>
      </c>
      <c r="C360">
        <v>45215.67291666667</v>
      </c>
      <c r="D360" t="s">
        <v>1050</v>
      </c>
      <c r="E360">
        <v>117</v>
      </c>
      <c r="F360" t="s">
        <v>748</v>
      </c>
      <c r="G360" s="3">
        <v>1.1333333333333333</v>
      </c>
      <c r="H360" s="3" t="s">
        <v>16</v>
      </c>
      <c r="I360" s="3">
        <v>-8.3241560000000003</v>
      </c>
      <c r="J360" s="3">
        <v>19.543866000000001</v>
      </c>
      <c r="K360" s="3" t="s">
        <v>1007</v>
      </c>
      <c r="L360" s="3" t="s">
        <v>1008</v>
      </c>
      <c r="M36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61" spans="1:13" x14ac:dyDescent="0.35">
      <c r="A361" s="3" t="s">
        <v>764</v>
      </c>
      <c r="B361" s="3" t="s">
        <v>957</v>
      </c>
      <c r="C361">
        <v>45230.061111111107</v>
      </c>
      <c r="D361" t="s">
        <v>1203</v>
      </c>
      <c r="E361">
        <v>103</v>
      </c>
      <c r="F361" t="s">
        <v>740</v>
      </c>
      <c r="G361" s="3">
        <v>0.71666666666666667</v>
      </c>
      <c r="H361" s="3" t="s">
        <v>16</v>
      </c>
      <c r="I361" s="3">
        <v>-12.342053999999999</v>
      </c>
      <c r="J361" s="3">
        <v>18.756862000000002</v>
      </c>
      <c r="K361" s="3" t="s">
        <v>1012</v>
      </c>
      <c r="L361" s="3" t="s">
        <v>1013</v>
      </c>
      <c r="M3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62" spans="1:13" x14ac:dyDescent="0.35">
      <c r="A362" s="3" t="s">
        <v>764</v>
      </c>
      <c r="B362" s="3" t="s">
        <v>957</v>
      </c>
      <c r="C362">
        <v>45203.447916666657</v>
      </c>
      <c r="D362" t="s">
        <v>1153</v>
      </c>
      <c r="E362">
        <v>84</v>
      </c>
      <c r="F362" t="s">
        <v>748</v>
      </c>
      <c r="G362" s="3">
        <v>0.75</v>
      </c>
      <c r="H362" s="3" t="s">
        <v>16</v>
      </c>
      <c r="I362" s="3">
        <v>-12.342053999999999</v>
      </c>
      <c r="J362" s="3">
        <v>18.756862000000002</v>
      </c>
      <c r="K362" s="3" t="s">
        <v>1012</v>
      </c>
      <c r="L362" s="3" t="s">
        <v>1013</v>
      </c>
      <c r="M3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63" spans="1:13" x14ac:dyDescent="0.35">
      <c r="A363" s="3" t="s">
        <v>764</v>
      </c>
      <c r="B363" s="3" t="s">
        <v>987</v>
      </c>
      <c r="C363">
        <v>45202.695138888892</v>
      </c>
      <c r="D363" t="s">
        <v>1204</v>
      </c>
      <c r="E363">
        <v>21</v>
      </c>
      <c r="F363" t="s">
        <v>740</v>
      </c>
      <c r="G363" s="3">
        <v>1.9666666666666666</v>
      </c>
      <c r="H363" s="3" t="s">
        <v>16</v>
      </c>
      <c r="I363" s="3">
        <v>-10.914952</v>
      </c>
      <c r="J363" s="3">
        <v>26.409648000000001</v>
      </c>
      <c r="K363" s="3" t="s">
        <v>1007</v>
      </c>
      <c r="L363" s="3" t="s">
        <v>1011</v>
      </c>
      <c r="M36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64" spans="1:13" x14ac:dyDescent="0.35">
      <c r="A364" s="3" t="s">
        <v>764</v>
      </c>
      <c r="B364" s="3" t="s">
        <v>987</v>
      </c>
      <c r="C364">
        <v>45205.052083333343</v>
      </c>
      <c r="D364" t="s">
        <v>1205</v>
      </c>
      <c r="E364">
        <v>81</v>
      </c>
      <c r="F364" t="s">
        <v>748</v>
      </c>
      <c r="G364" s="3">
        <v>0.8833333333333333</v>
      </c>
      <c r="H364" s="3" t="s">
        <v>16</v>
      </c>
      <c r="I364" s="3">
        <v>-10.914952</v>
      </c>
      <c r="J364" s="3">
        <v>26.409648000000001</v>
      </c>
      <c r="K364" s="3" t="s">
        <v>1007</v>
      </c>
      <c r="L364" s="3" t="s">
        <v>1011</v>
      </c>
      <c r="M3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65" spans="1:13" x14ac:dyDescent="0.35">
      <c r="A365" s="3" t="s">
        <v>764</v>
      </c>
      <c r="B365" s="3" t="s">
        <v>987</v>
      </c>
      <c r="C365">
        <v>45222.602777777778</v>
      </c>
      <c r="D365" t="s">
        <v>1206</v>
      </c>
      <c r="E365">
        <v>53</v>
      </c>
      <c r="F365" t="s">
        <v>742</v>
      </c>
      <c r="G365" s="3">
        <v>1.9666666666666666</v>
      </c>
      <c r="H365" s="3" t="s">
        <v>16</v>
      </c>
      <c r="I365" s="3">
        <v>-10.914952</v>
      </c>
      <c r="J365" s="3">
        <v>26.409648000000001</v>
      </c>
      <c r="K365" s="3" t="s">
        <v>1007</v>
      </c>
      <c r="L365" s="3" t="s">
        <v>1011</v>
      </c>
      <c r="M36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66" spans="1:13" x14ac:dyDescent="0.35">
      <c r="A366" s="3" t="s">
        <v>764</v>
      </c>
      <c r="B366" s="3" t="s">
        <v>792</v>
      </c>
      <c r="C366">
        <v>45216.693749999999</v>
      </c>
      <c r="D366" t="s">
        <v>1095</v>
      </c>
      <c r="E366">
        <v>24</v>
      </c>
      <c r="F366" t="s">
        <v>748</v>
      </c>
      <c r="G366" s="3">
        <v>1.8833333333333333</v>
      </c>
      <c r="H366" s="3" t="s">
        <v>123</v>
      </c>
      <c r="I366" s="3">
        <v>-7.9425049999999997</v>
      </c>
      <c r="J366" s="3">
        <v>24.111059000000001</v>
      </c>
      <c r="K366" s="3" t="s">
        <v>1012</v>
      </c>
      <c r="L366" s="3" t="s">
        <v>1008</v>
      </c>
      <c r="M36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67" spans="1:13" x14ac:dyDescent="0.35">
      <c r="A367" s="3" t="s">
        <v>764</v>
      </c>
      <c r="B367" s="3" t="s">
        <v>800</v>
      </c>
      <c r="C367">
        <v>45205.474305555559</v>
      </c>
      <c r="D367" t="s">
        <v>1207</v>
      </c>
      <c r="E367">
        <v>25</v>
      </c>
      <c r="F367" t="s">
        <v>740</v>
      </c>
      <c r="G367" s="3">
        <v>1.0166666666666666</v>
      </c>
      <c r="H367" s="3" t="s">
        <v>123</v>
      </c>
      <c r="I367" s="3">
        <v>-12.229338</v>
      </c>
      <c r="J367" s="3">
        <v>29.587834999999998</v>
      </c>
      <c r="K367" s="3" t="s">
        <v>1007</v>
      </c>
      <c r="L367" s="3" t="s">
        <v>1009</v>
      </c>
      <c r="M36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68" spans="1:13" x14ac:dyDescent="0.35">
      <c r="A368" s="3" t="s">
        <v>764</v>
      </c>
      <c r="B368" s="3" t="s">
        <v>814</v>
      </c>
      <c r="C368">
        <v>45229.39166666667</v>
      </c>
      <c r="D368" t="s">
        <v>884</v>
      </c>
      <c r="E368">
        <v>28</v>
      </c>
      <c r="F368" t="s">
        <v>748</v>
      </c>
      <c r="G368" s="3">
        <v>0.76666666666666672</v>
      </c>
      <c r="H368" s="3" t="s">
        <v>123</v>
      </c>
      <c r="I368" s="3">
        <v>-10.481026999999999</v>
      </c>
      <c r="J368" s="3">
        <v>18.160464000000001</v>
      </c>
      <c r="K368" s="3" t="s">
        <v>1010</v>
      </c>
      <c r="L368" s="3" t="s">
        <v>1011</v>
      </c>
      <c r="M3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69" spans="1:13" x14ac:dyDescent="0.35">
      <c r="A369" s="3" t="s">
        <v>764</v>
      </c>
      <c r="B369" s="3" t="s">
        <v>846</v>
      </c>
      <c r="C369">
        <v>45213.446527777778</v>
      </c>
      <c r="D369" t="s">
        <v>1208</v>
      </c>
      <c r="E369">
        <v>111</v>
      </c>
      <c r="F369" t="s">
        <v>740</v>
      </c>
      <c r="G369" s="3">
        <v>1.7666666666666666</v>
      </c>
      <c r="H369" s="3" t="s">
        <v>123</v>
      </c>
      <c r="I369" s="3">
        <v>-11.793894</v>
      </c>
      <c r="J369" s="3">
        <v>20.433340999999999</v>
      </c>
      <c r="K369" s="3" t="s">
        <v>1010</v>
      </c>
      <c r="L369" s="3" t="s">
        <v>1009</v>
      </c>
      <c r="M36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70" spans="1:13" x14ac:dyDescent="0.35">
      <c r="A370" s="3" t="s">
        <v>764</v>
      </c>
      <c r="B370" s="3" t="s">
        <v>846</v>
      </c>
      <c r="C370">
        <v>45219.076388888891</v>
      </c>
      <c r="D370" t="s">
        <v>1209</v>
      </c>
      <c r="E370">
        <v>93</v>
      </c>
      <c r="F370" t="s">
        <v>748</v>
      </c>
      <c r="G370" s="3">
        <v>1.6666666666666667</v>
      </c>
      <c r="H370" s="3" t="s">
        <v>123</v>
      </c>
      <c r="I370" s="3">
        <v>-11.793894</v>
      </c>
      <c r="J370" s="3">
        <v>20.433340999999999</v>
      </c>
      <c r="K370" s="3" t="s">
        <v>1010</v>
      </c>
      <c r="L370" s="3" t="s">
        <v>1009</v>
      </c>
      <c r="M37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71" spans="1:13" x14ac:dyDescent="0.35">
      <c r="A371" s="3" t="s">
        <v>764</v>
      </c>
      <c r="B371" s="3" t="s">
        <v>854</v>
      </c>
      <c r="C371">
        <v>45220.847916666673</v>
      </c>
      <c r="D371" t="s">
        <v>1189</v>
      </c>
      <c r="E371">
        <v>103</v>
      </c>
      <c r="F371" t="s">
        <v>740</v>
      </c>
      <c r="G371" s="3">
        <v>1.9166666666666667</v>
      </c>
      <c r="H371" s="3" t="s">
        <v>123</v>
      </c>
      <c r="I371" s="3">
        <v>-1.5936220000000001</v>
      </c>
      <c r="J371" s="3">
        <v>14.928856</v>
      </c>
      <c r="K371" s="3" t="s">
        <v>1010</v>
      </c>
      <c r="L371" s="3" t="s">
        <v>1013</v>
      </c>
      <c r="M37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72" spans="1:13" x14ac:dyDescent="0.35">
      <c r="A372" s="3" t="s">
        <v>764</v>
      </c>
      <c r="B372" s="3" t="s">
        <v>863</v>
      </c>
      <c r="C372">
        <v>45202.42083333333</v>
      </c>
      <c r="D372" t="s">
        <v>1037</v>
      </c>
      <c r="E372">
        <v>84</v>
      </c>
      <c r="F372" t="s">
        <v>740</v>
      </c>
      <c r="G372" s="3">
        <v>0.8666666666666667</v>
      </c>
      <c r="H372" s="3" t="s">
        <v>123</v>
      </c>
      <c r="I372" s="3">
        <v>3.1362930000000002</v>
      </c>
      <c r="J372" s="3">
        <v>16.190878000000001</v>
      </c>
      <c r="K372" s="3" t="s">
        <v>1012</v>
      </c>
      <c r="L372" s="3" t="s">
        <v>1009</v>
      </c>
      <c r="M37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73" spans="1:13" x14ac:dyDescent="0.35">
      <c r="A373" s="3" t="s">
        <v>764</v>
      </c>
      <c r="B373" s="3" t="s">
        <v>871</v>
      </c>
      <c r="C373">
        <v>45217.89166666667</v>
      </c>
      <c r="D373" t="s">
        <v>966</v>
      </c>
      <c r="E373">
        <v>108</v>
      </c>
      <c r="F373" t="s">
        <v>748</v>
      </c>
      <c r="G373" s="3">
        <v>1.2166666666666666</v>
      </c>
      <c r="H373" s="3" t="s">
        <v>123</v>
      </c>
      <c r="I373" s="3">
        <v>-11.144149000000001</v>
      </c>
      <c r="J373" s="3">
        <v>27.244658999999999</v>
      </c>
      <c r="K373" s="3" t="s">
        <v>1007</v>
      </c>
      <c r="L373" s="3" t="s">
        <v>1009</v>
      </c>
      <c r="M37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74" spans="1:13" x14ac:dyDescent="0.35">
      <c r="A374" s="3" t="s">
        <v>764</v>
      </c>
      <c r="B374" s="3" t="s">
        <v>871</v>
      </c>
      <c r="C374">
        <v>45209.365277777782</v>
      </c>
      <c r="D374" t="s">
        <v>813</v>
      </c>
      <c r="E374">
        <v>120</v>
      </c>
      <c r="F374" t="s">
        <v>740</v>
      </c>
      <c r="G374" s="3">
        <v>1.05</v>
      </c>
      <c r="H374" s="3" t="s">
        <v>123</v>
      </c>
      <c r="I374" s="3">
        <v>-11.144149000000001</v>
      </c>
      <c r="J374" s="3">
        <v>27.244658999999999</v>
      </c>
      <c r="K374" s="3" t="s">
        <v>1007</v>
      </c>
      <c r="L374" s="3" t="s">
        <v>1009</v>
      </c>
      <c r="M37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75" spans="1:13" x14ac:dyDescent="0.35">
      <c r="A375" s="3" t="s">
        <v>764</v>
      </c>
      <c r="B375" s="3" t="s">
        <v>949</v>
      </c>
      <c r="C375">
        <v>45227.915277777778</v>
      </c>
      <c r="D375" t="s">
        <v>1191</v>
      </c>
      <c r="E375">
        <v>26</v>
      </c>
      <c r="F375" t="s">
        <v>742</v>
      </c>
      <c r="G375" s="3">
        <v>1.0833333333333333</v>
      </c>
      <c r="H375" s="3" t="s">
        <v>123</v>
      </c>
      <c r="I375" s="3">
        <v>-3.9148719999999999</v>
      </c>
      <c r="J375" s="3">
        <v>12.260933</v>
      </c>
      <c r="K375" s="3" t="s">
        <v>1007</v>
      </c>
      <c r="L375" s="3" t="s">
        <v>1013</v>
      </c>
      <c r="M37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76" spans="1:13" x14ac:dyDescent="0.35">
      <c r="A376" s="3" t="s">
        <v>764</v>
      </c>
      <c r="B376" s="3" t="s">
        <v>973</v>
      </c>
      <c r="C376">
        <v>45219.181250000001</v>
      </c>
      <c r="D376" t="s">
        <v>923</v>
      </c>
      <c r="E376">
        <v>97</v>
      </c>
      <c r="F376" t="s">
        <v>742</v>
      </c>
      <c r="G376" s="3">
        <v>0.31666666666666665</v>
      </c>
      <c r="H376" s="3" t="s">
        <v>123</v>
      </c>
      <c r="I376" s="3">
        <v>-9.4708620000000003</v>
      </c>
      <c r="J376" s="3">
        <v>29.234387999999999</v>
      </c>
      <c r="K376" s="3" t="s">
        <v>1012</v>
      </c>
      <c r="L376" s="3" t="s">
        <v>1008</v>
      </c>
      <c r="M3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77" spans="1:13" x14ac:dyDescent="0.35">
      <c r="A377" s="3" t="s">
        <v>764</v>
      </c>
      <c r="B377" s="3" t="s">
        <v>981</v>
      </c>
      <c r="C377">
        <v>45202.779166666667</v>
      </c>
      <c r="D377" t="s">
        <v>800</v>
      </c>
      <c r="E377">
        <v>61</v>
      </c>
      <c r="F377" t="s">
        <v>748</v>
      </c>
      <c r="G377" s="3">
        <v>1.2166666666666666</v>
      </c>
      <c r="H377" s="3" t="s">
        <v>123</v>
      </c>
      <c r="I377" s="3">
        <v>-10.776204</v>
      </c>
      <c r="J377" s="3">
        <v>24.672934000000001</v>
      </c>
      <c r="K377" s="3" t="s">
        <v>1007</v>
      </c>
      <c r="L377" s="3" t="s">
        <v>1013</v>
      </c>
      <c r="M377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78" spans="1:13" x14ac:dyDescent="0.35">
      <c r="A378" s="3" t="s">
        <v>764</v>
      </c>
      <c r="B378" s="3" t="s">
        <v>981</v>
      </c>
      <c r="C378">
        <v>45204.47152777778</v>
      </c>
      <c r="D378" t="s">
        <v>980</v>
      </c>
      <c r="E378">
        <v>10</v>
      </c>
      <c r="F378" t="s">
        <v>740</v>
      </c>
      <c r="G378" s="3">
        <v>1.0166666666666666</v>
      </c>
      <c r="H378" s="3" t="s">
        <v>123</v>
      </c>
      <c r="I378" s="3">
        <v>-10.776204</v>
      </c>
      <c r="J378" s="3">
        <v>24.672934000000001</v>
      </c>
      <c r="K378" s="3" t="s">
        <v>1007</v>
      </c>
      <c r="L378" s="3" t="s">
        <v>1013</v>
      </c>
      <c r="M37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79" spans="1:13" x14ac:dyDescent="0.35">
      <c r="A379" s="3" t="s">
        <v>764</v>
      </c>
      <c r="B379" s="3" t="s">
        <v>981</v>
      </c>
      <c r="C379">
        <v>45230.863888888889</v>
      </c>
      <c r="D379" t="s">
        <v>825</v>
      </c>
      <c r="E379">
        <v>57</v>
      </c>
      <c r="F379" t="s">
        <v>740</v>
      </c>
      <c r="G379" s="3">
        <v>0.7</v>
      </c>
      <c r="H379" s="3" t="s">
        <v>123</v>
      </c>
      <c r="I379" s="3">
        <v>-10.776204</v>
      </c>
      <c r="J379" s="3">
        <v>24.672934000000001</v>
      </c>
      <c r="K379" s="3" t="s">
        <v>1007</v>
      </c>
      <c r="L379" s="3" t="s">
        <v>1013</v>
      </c>
      <c r="M3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80" spans="1:13" x14ac:dyDescent="0.35">
      <c r="A380" s="3" t="s">
        <v>764</v>
      </c>
      <c r="B380" s="3" t="s">
        <v>988</v>
      </c>
      <c r="C380">
        <v>45221.505555555559</v>
      </c>
      <c r="D380" t="s">
        <v>765</v>
      </c>
      <c r="E380">
        <v>51</v>
      </c>
      <c r="F380" t="s">
        <v>740</v>
      </c>
      <c r="G380" s="3">
        <v>0.35</v>
      </c>
      <c r="H380" s="3" t="s">
        <v>123</v>
      </c>
      <c r="I380" s="3">
        <v>-1.864393</v>
      </c>
      <c r="J380" s="3">
        <v>21.453434000000001</v>
      </c>
      <c r="K380" s="3" t="s">
        <v>1010</v>
      </c>
      <c r="L380" s="3" t="s">
        <v>1013</v>
      </c>
      <c r="M3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81" spans="1:13" x14ac:dyDescent="0.35">
      <c r="A381" s="3" t="s">
        <v>764</v>
      </c>
      <c r="B381" s="3" t="s">
        <v>751</v>
      </c>
      <c r="C381">
        <v>45219.920138888891</v>
      </c>
      <c r="D381" t="s">
        <v>1210</v>
      </c>
      <c r="E381">
        <v>91</v>
      </c>
      <c r="F381" t="s">
        <v>748</v>
      </c>
      <c r="G381" s="3">
        <v>1.45</v>
      </c>
      <c r="H381" s="3" t="s">
        <v>144</v>
      </c>
      <c r="I381" s="3">
        <v>4.7777349999999998</v>
      </c>
      <c r="J381" s="3">
        <v>16.392204</v>
      </c>
      <c r="K381" s="3" t="s">
        <v>1010</v>
      </c>
      <c r="L381" s="3" t="s">
        <v>1008</v>
      </c>
      <c r="M381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82" spans="1:13" x14ac:dyDescent="0.35">
      <c r="A382" s="3" t="s">
        <v>764</v>
      </c>
      <c r="B382" s="3" t="s">
        <v>769</v>
      </c>
      <c r="C382">
        <v>45209.724999999999</v>
      </c>
      <c r="D382" t="s">
        <v>1211</v>
      </c>
      <c r="E382">
        <v>97</v>
      </c>
      <c r="F382" t="s">
        <v>748</v>
      </c>
      <c r="G382" s="3">
        <v>1.7833333333333334</v>
      </c>
      <c r="H382" s="3" t="s">
        <v>144</v>
      </c>
      <c r="I382" s="3">
        <v>-6.4670189999999996</v>
      </c>
      <c r="J382" s="3">
        <v>29.487309</v>
      </c>
      <c r="K382" s="3" t="s">
        <v>1007</v>
      </c>
      <c r="L382" s="3" t="s">
        <v>1008</v>
      </c>
      <c r="M38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83" spans="1:13" x14ac:dyDescent="0.35">
      <c r="A383" s="3" t="s">
        <v>764</v>
      </c>
      <c r="B383" s="3" t="s">
        <v>809</v>
      </c>
      <c r="C383">
        <v>45220.452777777777</v>
      </c>
      <c r="D383" t="s">
        <v>1212</v>
      </c>
      <c r="E383">
        <v>35</v>
      </c>
      <c r="F383" t="s">
        <v>742</v>
      </c>
      <c r="G383" s="3">
        <v>1.7</v>
      </c>
      <c r="H383" s="3" t="s">
        <v>144</v>
      </c>
      <c r="I383" s="3">
        <v>2.4425979999999998</v>
      </c>
      <c r="J383" s="3">
        <v>24.924308</v>
      </c>
      <c r="K383" s="3" t="s">
        <v>1010</v>
      </c>
      <c r="L383" s="3" t="s">
        <v>1013</v>
      </c>
      <c r="M38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84" spans="1:13" x14ac:dyDescent="0.35">
      <c r="A384" s="3" t="s">
        <v>764</v>
      </c>
      <c r="B384" s="3" t="s">
        <v>809</v>
      </c>
      <c r="C384">
        <v>45204.905555555553</v>
      </c>
      <c r="D384" t="s">
        <v>852</v>
      </c>
      <c r="E384">
        <v>61</v>
      </c>
      <c r="F384" t="s">
        <v>740</v>
      </c>
      <c r="G384" s="3">
        <v>0.18333333333333332</v>
      </c>
      <c r="H384" s="3" t="s">
        <v>144</v>
      </c>
      <c r="I384" s="3">
        <v>2.4425979999999998</v>
      </c>
      <c r="J384" s="3">
        <v>24.924308</v>
      </c>
      <c r="K384" s="3" t="s">
        <v>1010</v>
      </c>
      <c r="L384" s="3" t="s">
        <v>1013</v>
      </c>
      <c r="M3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85" spans="1:13" x14ac:dyDescent="0.35">
      <c r="A385" s="3" t="s">
        <v>764</v>
      </c>
      <c r="B385" s="3" t="s">
        <v>835</v>
      </c>
      <c r="C385">
        <v>45226.988194444442</v>
      </c>
      <c r="D385" t="s">
        <v>1213</v>
      </c>
      <c r="E385">
        <v>83</v>
      </c>
      <c r="F385" t="s">
        <v>742</v>
      </c>
      <c r="G385" s="3">
        <v>1.05</v>
      </c>
      <c r="H385" s="3" t="s">
        <v>144</v>
      </c>
      <c r="I385" s="3">
        <v>1.400674</v>
      </c>
      <c r="J385" s="3">
        <v>13.503126999999999</v>
      </c>
      <c r="K385" s="3" t="s">
        <v>1010</v>
      </c>
      <c r="L385" s="3" t="s">
        <v>1008</v>
      </c>
      <c r="M38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86" spans="1:13" x14ac:dyDescent="0.35">
      <c r="A386" s="3" t="s">
        <v>764</v>
      </c>
      <c r="B386" s="3" t="s">
        <v>864</v>
      </c>
      <c r="C386">
        <v>45229.670138888891</v>
      </c>
      <c r="D386" t="s">
        <v>1214</v>
      </c>
      <c r="E386">
        <v>41</v>
      </c>
      <c r="F386" t="s">
        <v>748</v>
      </c>
      <c r="G386" s="3">
        <v>0.95</v>
      </c>
      <c r="H386" s="3" t="s">
        <v>144</v>
      </c>
      <c r="I386" s="3">
        <v>-4.5603610000000003</v>
      </c>
      <c r="J386" s="3">
        <v>24.113918999999999</v>
      </c>
      <c r="K386" s="3" t="s">
        <v>1010</v>
      </c>
      <c r="L386" s="3" t="s">
        <v>1008</v>
      </c>
      <c r="M38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87" spans="1:13" x14ac:dyDescent="0.35">
      <c r="A387" s="3" t="s">
        <v>764</v>
      </c>
      <c r="B387" s="3" t="s">
        <v>864</v>
      </c>
      <c r="C387">
        <v>45220.893750000003</v>
      </c>
      <c r="D387" t="s">
        <v>791</v>
      </c>
      <c r="E387">
        <v>101</v>
      </c>
      <c r="F387" t="s">
        <v>748</v>
      </c>
      <c r="G387" s="3">
        <v>0.83333333333333337</v>
      </c>
      <c r="H387" s="3" t="s">
        <v>144</v>
      </c>
      <c r="I387" s="3">
        <v>-4.5603610000000003</v>
      </c>
      <c r="J387" s="3">
        <v>24.113918999999999</v>
      </c>
      <c r="K387" s="3" t="s">
        <v>1010</v>
      </c>
      <c r="L387" s="3" t="s">
        <v>1008</v>
      </c>
      <c r="M38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88" spans="1:13" x14ac:dyDescent="0.35">
      <c r="A388" s="3" t="s">
        <v>764</v>
      </c>
      <c r="B388" s="3" t="s">
        <v>889</v>
      </c>
      <c r="C388">
        <v>45216.459027777782</v>
      </c>
      <c r="D388" t="s">
        <v>1110</v>
      </c>
      <c r="E388">
        <v>100</v>
      </c>
      <c r="F388" t="s">
        <v>742</v>
      </c>
      <c r="G388" s="3">
        <v>1</v>
      </c>
      <c r="H388" s="3" t="s">
        <v>144</v>
      </c>
      <c r="I388" s="3">
        <v>-9.4133639999999996</v>
      </c>
      <c r="J388" s="3">
        <v>15.682482</v>
      </c>
      <c r="K388" s="3" t="s">
        <v>1007</v>
      </c>
      <c r="L388" s="3" t="s">
        <v>1011</v>
      </c>
      <c r="M38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89" spans="1:13" x14ac:dyDescent="0.35">
      <c r="A389" s="3" t="s">
        <v>764</v>
      </c>
      <c r="B389" s="3" t="s">
        <v>895</v>
      </c>
      <c r="C389">
        <v>45211.382638888892</v>
      </c>
      <c r="D389" t="s">
        <v>1056</v>
      </c>
      <c r="E389">
        <v>105</v>
      </c>
      <c r="F389" t="s">
        <v>740</v>
      </c>
      <c r="G389" s="3">
        <v>1.75</v>
      </c>
      <c r="H389" s="3" t="s">
        <v>144</v>
      </c>
      <c r="I389" s="3">
        <v>-0.919767</v>
      </c>
      <c r="J389" s="3">
        <v>18.905538</v>
      </c>
      <c r="K389" s="3" t="s">
        <v>1010</v>
      </c>
      <c r="L389" s="3" t="s">
        <v>1013</v>
      </c>
      <c r="M389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90" spans="1:13" x14ac:dyDescent="0.35">
      <c r="A390" s="3" t="s">
        <v>764</v>
      </c>
      <c r="B390" s="3" t="s">
        <v>920</v>
      </c>
      <c r="C390">
        <v>45230.26458333333</v>
      </c>
      <c r="D390" t="s">
        <v>891</v>
      </c>
      <c r="E390">
        <v>62</v>
      </c>
      <c r="F390" t="s">
        <v>740</v>
      </c>
      <c r="G390" s="3">
        <v>1.9166666666666667</v>
      </c>
      <c r="H390" s="3" t="s">
        <v>144</v>
      </c>
      <c r="I390" s="3">
        <v>-6.1837850000000003</v>
      </c>
      <c r="J390" s="3">
        <v>25.138759</v>
      </c>
      <c r="K390" s="3" t="s">
        <v>1012</v>
      </c>
      <c r="L390" s="3" t="s">
        <v>1013</v>
      </c>
      <c r="M39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91" spans="1:13" x14ac:dyDescent="0.35">
      <c r="A391" s="3" t="s">
        <v>764</v>
      </c>
      <c r="B391" s="3" t="s">
        <v>967</v>
      </c>
      <c r="C391">
        <v>45230.633333333331</v>
      </c>
      <c r="D391" t="s">
        <v>976</v>
      </c>
      <c r="E391">
        <v>34</v>
      </c>
      <c r="F391" t="s">
        <v>740</v>
      </c>
      <c r="G391" s="3">
        <v>0.75</v>
      </c>
      <c r="H391" s="3" t="s">
        <v>144</v>
      </c>
      <c r="I391" s="3">
        <v>-11.265995</v>
      </c>
      <c r="J391" s="3">
        <v>28.935514999999999</v>
      </c>
      <c r="K391" s="3" t="s">
        <v>1007</v>
      </c>
      <c r="L391" s="3" t="s">
        <v>1013</v>
      </c>
      <c r="M39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92" spans="1:13" x14ac:dyDescent="0.35">
      <c r="A392" s="3" t="s">
        <v>764</v>
      </c>
      <c r="B392" s="3" t="s">
        <v>967</v>
      </c>
      <c r="C392">
        <v>45207.17291666667</v>
      </c>
      <c r="D392" t="s">
        <v>1215</v>
      </c>
      <c r="E392">
        <v>73</v>
      </c>
      <c r="F392" t="s">
        <v>748</v>
      </c>
      <c r="G392" s="3">
        <v>0.73333333333333328</v>
      </c>
      <c r="H392" s="3" t="s">
        <v>144</v>
      </c>
      <c r="I392" s="3">
        <v>-11.265995</v>
      </c>
      <c r="J392" s="3">
        <v>28.935514999999999</v>
      </c>
      <c r="K392" s="3" t="s">
        <v>1007</v>
      </c>
      <c r="L392" s="3" t="s">
        <v>1013</v>
      </c>
      <c r="M3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93" spans="1:13" x14ac:dyDescent="0.35">
      <c r="A393" s="3" t="s">
        <v>764</v>
      </c>
      <c r="B393" s="3" t="s">
        <v>993</v>
      </c>
      <c r="C393">
        <v>45202.412499999999</v>
      </c>
      <c r="D393" t="s">
        <v>836</v>
      </c>
      <c r="E393">
        <v>35</v>
      </c>
      <c r="F393" t="s">
        <v>740</v>
      </c>
      <c r="G393" s="3">
        <v>1.0666666666666667</v>
      </c>
      <c r="H393" s="3" t="s">
        <v>144</v>
      </c>
      <c r="I393" s="3">
        <v>0.23583499999999999</v>
      </c>
      <c r="J393" s="3">
        <v>24.889558999999998</v>
      </c>
      <c r="K393" s="3" t="s">
        <v>1012</v>
      </c>
      <c r="L393" s="3" t="s">
        <v>1008</v>
      </c>
      <c r="M393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94" spans="1:13" x14ac:dyDescent="0.35">
      <c r="A394" s="3" t="s">
        <v>764</v>
      </c>
      <c r="B394" s="3" t="s">
        <v>778</v>
      </c>
      <c r="C394">
        <v>45225.147222222222</v>
      </c>
      <c r="D394" t="s">
        <v>780</v>
      </c>
      <c r="E394">
        <v>44</v>
      </c>
      <c r="F394" t="s">
        <v>740</v>
      </c>
      <c r="G394" s="3">
        <v>1.9166666666666667</v>
      </c>
      <c r="H394" s="3" t="s">
        <v>82</v>
      </c>
      <c r="I394" s="3">
        <v>-10.577049000000001</v>
      </c>
      <c r="J394" s="3">
        <v>23.721854</v>
      </c>
      <c r="K394" s="3" t="s">
        <v>1007</v>
      </c>
      <c r="L394" s="3" t="s">
        <v>1008</v>
      </c>
      <c r="M39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95" spans="1:13" x14ac:dyDescent="0.35">
      <c r="A395" s="3" t="s">
        <v>756</v>
      </c>
      <c r="B395" s="3" t="s">
        <v>778</v>
      </c>
      <c r="C395">
        <v>45207.379861111112</v>
      </c>
      <c r="D395" t="s">
        <v>1174</v>
      </c>
      <c r="E395">
        <v>118</v>
      </c>
      <c r="F395" t="s">
        <v>748</v>
      </c>
      <c r="G395" s="3">
        <v>1.9666666666666666</v>
      </c>
      <c r="H395" s="3" t="s">
        <v>82</v>
      </c>
      <c r="I395" s="3">
        <v>-10.577049000000001</v>
      </c>
      <c r="J395" s="3">
        <v>23.721854</v>
      </c>
      <c r="K395" s="3" t="s">
        <v>1007</v>
      </c>
      <c r="L395" s="3" t="s">
        <v>1008</v>
      </c>
      <c r="M395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96" spans="1:13" x14ac:dyDescent="0.35">
      <c r="A396" s="3" t="s">
        <v>756</v>
      </c>
      <c r="B396" s="3" t="s">
        <v>778</v>
      </c>
      <c r="C396">
        <v>45201.30972222222</v>
      </c>
      <c r="D396" t="s">
        <v>1216</v>
      </c>
      <c r="E396">
        <v>56</v>
      </c>
      <c r="F396" t="s">
        <v>748</v>
      </c>
      <c r="G396" s="3">
        <v>0.1</v>
      </c>
      <c r="H396" s="3" t="s">
        <v>82</v>
      </c>
      <c r="I396" s="3">
        <v>-10.577049000000001</v>
      </c>
      <c r="J396" s="3">
        <v>23.721854</v>
      </c>
      <c r="K396" s="3" t="s">
        <v>1007</v>
      </c>
      <c r="L396" s="3" t="s">
        <v>1008</v>
      </c>
      <c r="M3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97" spans="1:13" x14ac:dyDescent="0.35">
      <c r="A397" s="3" t="s">
        <v>756</v>
      </c>
      <c r="B397" s="3" t="s">
        <v>819</v>
      </c>
      <c r="C397">
        <v>45220.811805555553</v>
      </c>
      <c r="D397" t="s">
        <v>1217</v>
      </c>
      <c r="E397">
        <v>100</v>
      </c>
      <c r="F397" t="s">
        <v>748</v>
      </c>
      <c r="G397" s="3">
        <v>0.21666666666666667</v>
      </c>
      <c r="H397" s="3" t="s">
        <v>82</v>
      </c>
      <c r="I397" s="3">
        <v>-1.9540519999999999</v>
      </c>
      <c r="J397" s="3">
        <v>12.667945</v>
      </c>
      <c r="K397" s="3" t="s">
        <v>1007</v>
      </c>
      <c r="L397" s="3" t="s">
        <v>1011</v>
      </c>
      <c r="M3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398" spans="1:13" x14ac:dyDescent="0.35">
      <c r="A398" s="3" t="s">
        <v>756</v>
      </c>
      <c r="B398" s="3" t="s">
        <v>819</v>
      </c>
      <c r="C398">
        <v>45202.161805555559</v>
      </c>
      <c r="D398" t="s">
        <v>761</v>
      </c>
      <c r="E398">
        <v>61</v>
      </c>
      <c r="F398" t="s">
        <v>742</v>
      </c>
      <c r="G398" s="3">
        <v>1.0333333333333334</v>
      </c>
      <c r="H398" s="3" t="s">
        <v>82</v>
      </c>
      <c r="I398" s="3">
        <v>-1.9540519999999999</v>
      </c>
      <c r="J398" s="3">
        <v>12.667945</v>
      </c>
      <c r="K398" s="3" t="s">
        <v>1007</v>
      </c>
      <c r="L398" s="3" t="s">
        <v>1011</v>
      </c>
      <c r="M39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399" spans="1:13" x14ac:dyDescent="0.35">
      <c r="A399" s="3" t="s">
        <v>756</v>
      </c>
      <c r="B399" s="3" t="s">
        <v>834</v>
      </c>
      <c r="C399">
        <v>45228.651388888888</v>
      </c>
      <c r="D399" t="s">
        <v>1218</v>
      </c>
      <c r="E399">
        <v>119</v>
      </c>
      <c r="F399" t="s">
        <v>740</v>
      </c>
      <c r="G399" s="3">
        <v>0.4</v>
      </c>
      <c r="H399" s="3" t="s">
        <v>82</v>
      </c>
      <c r="I399" s="3">
        <v>-11.622688999999999</v>
      </c>
      <c r="J399" s="3">
        <v>18.483874</v>
      </c>
      <c r="K399" s="3" t="s">
        <v>1010</v>
      </c>
      <c r="L399" s="3" t="s">
        <v>1008</v>
      </c>
      <c r="M39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00" spans="1:13" x14ac:dyDescent="0.35">
      <c r="A400" s="3" t="s">
        <v>756</v>
      </c>
      <c r="B400" s="3" t="s">
        <v>834</v>
      </c>
      <c r="C400">
        <v>45217.027777777781</v>
      </c>
      <c r="D400" t="s">
        <v>1128</v>
      </c>
      <c r="E400">
        <v>54</v>
      </c>
      <c r="F400" t="s">
        <v>742</v>
      </c>
      <c r="G400" s="3">
        <v>1.3333333333333333</v>
      </c>
      <c r="H400" s="3" t="s">
        <v>82</v>
      </c>
      <c r="I400" s="3">
        <v>-11.622688999999999</v>
      </c>
      <c r="J400" s="3">
        <v>18.483874</v>
      </c>
      <c r="K400" s="3" t="s">
        <v>1010</v>
      </c>
      <c r="L400" s="3" t="s">
        <v>1008</v>
      </c>
      <c r="M400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01" spans="1:13" x14ac:dyDescent="0.35">
      <c r="A401" s="3" t="s">
        <v>756</v>
      </c>
      <c r="B401" s="3" t="s">
        <v>857</v>
      </c>
      <c r="C401">
        <v>45216.760416666657</v>
      </c>
      <c r="D401" t="s">
        <v>1219</v>
      </c>
      <c r="E401">
        <v>48</v>
      </c>
      <c r="F401" t="s">
        <v>740</v>
      </c>
      <c r="G401" s="3">
        <v>0.23333333333333334</v>
      </c>
      <c r="H401" s="3" t="s">
        <v>82</v>
      </c>
      <c r="I401" s="3">
        <v>-2.571777</v>
      </c>
      <c r="J401" s="3">
        <v>12.120642</v>
      </c>
      <c r="K401" s="3" t="s">
        <v>1012</v>
      </c>
      <c r="L401" s="3" t="s">
        <v>1011</v>
      </c>
      <c r="M40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02" spans="1:13" x14ac:dyDescent="0.35">
      <c r="A402" s="3" t="s">
        <v>756</v>
      </c>
      <c r="B402" s="3" t="s">
        <v>899</v>
      </c>
      <c r="C402">
        <v>45222.179166666669</v>
      </c>
      <c r="D402" t="s">
        <v>847</v>
      </c>
      <c r="E402">
        <v>28</v>
      </c>
      <c r="F402" t="s">
        <v>742</v>
      </c>
      <c r="G402" s="3">
        <v>1.1166666666666667</v>
      </c>
      <c r="H402" s="3" t="s">
        <v>82</v>
      </c>
      <c r="I402" s="3">
        <v>-7.789663</v>
      </c>
      <c r="J402" s="3">
        <v>26.529098000000001</v>
      </c>
      <c r="K402" s="3" t="s">
        <v>1010</v>
      </c>
      <c r="L402" s="3" t="s">
        <v>1009</v>
      </c>
      <c r="M402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03" spans="1:13" x14ac:dyDescent="0.35">
      <c r="A403" s="3" t="s">
        <v>756</v>
      </c>
      <c r="B403" s="3" t="s">
        <v>899</v>
      </c>
      <c r="C403">
        <v>45213.027083333327</v>
      </c>
      <c r="D403" t="s">
        <v>1220</v>
      </c>
      <c r="E403">
        <v>68</v>
      </c>
      <c r="F403" t="s">
        <v>748</v>
      </c>
      <c r="G403" s="3">
        <v>0.23333333333333334</v>
      </c>
      <c r="H403" s="3" t="s">
        <v>82</v>
      </c>
      <c r="I403" s="3">
        <v>-7.789663</v>
      </c>
      <c r="J403" s="3">
        <v>26.529098000000001</v>
      </c>
      <c r="K403" s="3" t="s">
        <v>1010</v>
      </c>
      <c r="L403" s="3" t="s">
        <v>1009</v>
      </c>
      <c r="M4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04" spans="1:13" x14ac:dyDescent="0.35">
      <c r="A404" s="3" t="s">
        <v>756</v>
      </c>
      <c r="B404" s="3" t="s">
        <v>915</v>
      </c>
      <c r="C404">
        <v>45211.316666666673</v>
      </c>
      <c r="D404" t="s">
        <v>867</v>
      </c>
      <c r="E404">
        <v>93</v>
      </c>
      <c r="F404" t="s">
        <v>748</v>
      </c>
      <c r="G404" s="3">
        <v>1.3833333333333333</v>
      </c>
      <c r="H404" s="3" t="s">
        <v>82</v>
      </c>
      <c r="I404" s="3">
        <v>-12.292039000000001</v>
      </c>
      <c r="J404" s="3">
        <v>27.538202999999999</v>
      </c>
      <c r="K404" s="3" t="s">
        <v>1012</v>
      </c>
      <c r="L404" s="3" t="s">
        <v>1011</v>
      </c>
      <c r="M404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05" spans="1:13" x14ac:dyDescent="0.35">
      <c r="A405" s="3" t="s">
        <v>756</v>
      </c>
      <c r="B405" s="3" t="s">
        <v>921</v>
      </c>
      <c r="C405">
        <v>45213.237500000003</v>
      </c>
      <c r="D405" t="s">
        <v>1099</v>
      </c>
      <c r="E405">
        <v>68</v>
      </c>
      <c r="F405" t="s">
        <v>748</v>
      </c>
      <c r="G405" s="3">
        <v>0.83333333333333337</v>
      </c>
      <c r="H405" s="3" t="s">
        <v>82</v>
      </c>
      <c r="I405" s="3">
        <v>-7.7587710000000003</v>
      </c>
      <c r="J405" s="3">
        <v>17.880848</v>
      </c>
      <c r="K405" s="3" t="s">
        <v>1012</v>
      </c>
      <c r="L405" s="3" t="s">
        <v>1013</v>
      </c>
      <c r="M4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06" spans="1:13" x14ac:dyDescent="0.35">
      <c r="A406" s="3" t="s">
        <v>756</v>
      </c>
      <c r="B406" s="3" t="s">
        <v>934</v>
      </c>
      <c r="C406">
        <v>45221.106249999997</v>
      </c>
      <c r="D406" t="s">
        <v>1032</v>
      </c>
      <c r="E406">
        <v>52</v>
      </c>
      <c r="F406" t="s">
        <v>748</v>
      </c>
      <c r="G406" s="3">
        <v>1.0833333333333333</v>
      </c>
      <c r="H406" s="3" t="s">
        <v>82</v>
      </c>
      <c r="I406" s="3">
        <v>0.52897499999999997</v>
      </c>
      <c r="J406" s="3">
        <v>13.849651</v>
      </c>
      <c r="K406" s="3" t="s">
        <v>1012</v>
      </c>
      <c r="L406" s="3" t="s">
        <v>1008</v>
      </c>
      <c r="M406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07" spans="1:13" x14ac:dyDescent="0.35">
      <c r="A407" s="3" t="s">
        <v>756</v>
      </c>
      <c r="B407" s="3" t="s">
        <v>938</v>
      </c>
      <c r="C407">
        <v>45211.106249999997</v>
      </c>
      <c r="D407" t="s">
        <v>1221</v>
      </c>
      <c r="E407">
        <v>107</v>
      </c>
      <c r="F407" t="s">
        <v>740</v>
      </c>
      <c r="G407" s="3">
        <v>0.13333333333333333</v>
      </c>
      <c r="H407" s="3" t="s">
        <v>82</v>
      </c>
      <c r="I407" s="3">
        <v>-0.79406600000000005</v>
      </c>
      <c r="J407" s="3">
        <v>12.534793000000001</v>
      </c>
      <c r="K407" s="3" t="s">
        <v>1012</v>
      </c>
      <c r="L407" s="3" t="s">
        <v>1011</v>
      </c>
      <c r="M40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08" spans="1:13" x14ac:dyDescent="0.35">
      <c r="A408" s="3" t="s">
        <v>768</v>
      </c>
      <c r="B408" s="3" t="s">
        <v>939</v>
      </c>
      <c r="C408">
        <v>45229.986805555563</v>
      </c>
      <c r="D408" t="s">
        <v>1294</v>
      </c>
      <c r="E408">
        <v>37</v>
      </c>
      <c r="F408" t="s">
        <v>748</v>
      </c>
      <c r="G408" s="3">
        <v>1.35</v>
      </c>
      <c r="H408" s="3" t="s">
        <v>82</v>
      </c>
      <c r="I408" s="3">
        <v>-10.574821</v>
      </c>
      <c r="J408" s="3">
        <v>25.324966</v>
      </c>
      <c r="K408" s="3" t="s">
        <v>1010</v>
      </c>
      <c r="L408" s="3" t="s">
        <v>1013</v>
      </c>
      <c r="M408" s="3" t="str">
        <f>IF(LOGS_RESEAU[[#This Row],[Duree_Panne_Heure]]&lt;1,"Moins d'1h",IF(LOGS_RESEAU[[#This Row],[Duree_Panne_Heure]]&lt;2,"Plus d'1h et moins de 2 h",IF(LOGS_RESEAU[[#This Row],[Duree_Panne_Heure]]&gt;=2,"2h ou plus","Pas de panne")))</f>
        <v>Plus d'1h et moins de 2 h</v>
      </c>
    </row>
    <row r="409" spans="1:13" x14ac:dyDescent="0.35">
      <c r="A409" s="3" t="s">
        <v>756</v>
      </c>
      <c r="B409" s="3"/>
      <c r="C409">
        <v>45217.701388888891</v>
      </c>
      <c r="D409" t="s">
        <v>1105</v>
      </c>
      <c r="E409">
        <v>71</v>
      </c>
      <c r="F409" t="s">
        <v>742</v>
      </c>
      <c r="G409" s="3"/>
      <c r="H409" s="3"/>
      <c r="I409" s="3"/>
      <c r="J409" s="3"/>
      <c r="K409" s="3"/>
      <c r="L409" s="3"/>
      <c r="M40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0" spans="1:13" x14ac:dyDescent="0.35">
      <c r="A410" s="3" t="s">
        <v>756</v>
      </c>
      <c r="B410" s="3"/>
      <c r="C410">
        <v>45216.709027777782</v>
      </c>
      <c r="D410" t="s">
        <v>1222</v>
      </c>
      <c r="E410">
        <v>39</v>
      </c>
      <c r="F410" t="s">
        <v>740</v>
      </c>
      <c r="G410" s="3"/>
      <c r="H410" s="3"/>
      <c r="I410" s="3"/>
      <c r="J410" s="3"/>
      <c r="K410" s="3"/>
      <c r="L410" s="3"/>
      <c r="M4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1" spans="1:13" x14ac:dyDescent="0.35">
      <c r="A411" s="3" t="s">
        <v>756</v>
      </c>
      <c r="B411" s="3"/>
      <c r="C411">
        <v>45212.626388888893</v>
      </c>
      <c r="D411" t="s">
        <v>1223</v>
      </c>
      <c r="E411">
        <v>107</v>
      </c>
      <c r="F411" t="s">
        <v>742</v>
      </c>
      <c r="G411" s="3"/>
      <c r="H411" s="3"/>
      <c r="I411" s="3"/>
      <c r="J411" s="3"/>
      <c r="K411" s="3"/>
      <c r="L411" s="3"/>
      <c r="M4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2" spans="1:13" x14ac:dyDescent="0.35">
      <c r="A412" s="3" t="s">
        <v>756</v>
      </c>
      <c r="B412" s="3"/>
      <c r="C412">
        <v>45220.515972222223</v>
      </c>
      <c r="D412" t="s">
        <v>1224</v>
      </c>
      <c r="E412">
        <v>15</v>
      </c>
      <c r="F412" t="s">
        <v>748</v>
      </c>
      <c r="G412" s="3"/>
      <c r="H412" s="3"/>
      <c r="I412" s="3"/>
      <c r="J412" s="3"/>
      <c r="K412" s="3"/>
      <c r="L412" s="3"/>
      <c r="M41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3" spans="1:13" x14ac:dyDescent="0.35">
      <c r="A413" s="3" t="s">
        <v>756</v>
      </c>
      <c r="B413" s="3"/>
      <c r="C413">
        <v>45208.959027777782</v>
      </c>
      <c r="D413" t="s">
        <v>929</v>
      </c>
      <c r="E413">
        <v>98</v>
      </c>
      <c r="F413" t="s">
        <v>748</v>
      </c>
      <c r="G413" s="3"/>
      <c r="H413" s="3"/>
      <c r="I413" s="3"/>
      <c r="J413" s="3"/>
      <c r="K413" s="3"/>
      <c r="L413" s="3"/>
      <c r="M41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4" spans="1:13" x14ac:dyDescent="0.35">
      <c r="A414" s="3" t="s">
        <v>756</v>
      </c>
      <c r="B414" s="3"/>
      <c r="C414">
        <v>45211.098611111112</v>
      </c>
      <c r="D414" t="s">
        <v>858</v>
      </c>
      <c r="E414">
        <v>59</v>
      </c>
      <c r="F414" t="s">
        <v>748</v>
      </c>
      <c r="G414" s="3"/>
      <c r="H414" s="3"/>
      <c r="I414" s="3"/>
      <c r="J414" s="3"/>
      <c r="K414" s="3"/>
      <c r="L414" s="3"/>
      <c r="M4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5" spans="1:13" x14ac:dyDescent="0.35">
      <c r="A415" s="3" t="s">
        <v>756</v>
      </c>
      <c r="B415" s="3"/>
      <c r="C415">
        <v>45207.987500000003</v>
      </c>
      <c r="D415" t="s">
        <v>1225</v>
      </c>
      <c r="E415">
        <v>15</v>
      </c>
      <c r="F415" t="s">
        <v>742</v>
      </c>
      <c r="G415" s="3"/>
      <c r="H415" s="3"/>
      <c r="I415" s="3"/>
      <c r="J415" s="3"/>
      <c r="K415" s="3"/>
      <c r="L415" s="3"/>
      <c r="M41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6" spans="1:13" x14ac:dyDescent="0.35">
      <c r="A416" s="3" t="s">
        <v>756</v>
      </c>
      <c r="B416" s="3"/>
      <c r="C416">
        <v>45220.15902777778</v>
      </c>
      <c r="D416" t="s">
        <v>889</v>
      </c>
      <c r="E416">
        <v>60</v>
      </c>
      <c r="F416" t="s">
        <v>748</v>
      </c>
      <c r="G416" s="3"/>
      <c r="H416" s="3"/>
      <c r="I416" s="3"/>
      <c r="J416" s="3"/>
      <c r="K416" s="3"/>
      <c r="L416" s="3"/>
      <c r="M4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7" spans="1:13" x14ac:dyDescent="0.35">
      <c r="A417" s="3" t="s">
        <v>756</v>
      </c>
      <c r="B417" s="3"/>
      <c r="C417">
        <v>45218.991666666669</v>
      </c>
      <c r="D417" t="s">
        <v>1191</v>
      </c>
      <c r="E417">
        <v>82</v>
      </c>
      <c r="F417" t="s">
        <v>740</v>
      </c>
      <c r="G417" s="3"/>
      <c r="H417" s="3"/>
      <c r="I417" s="3"/>
      <c r="J417" s="3"/>
      <c r="K417" s="3"/>
      <c r="L417" s="3"/>
      <c r="M41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8" spans="1:13" x14ac:dyDescent="0.35">
      <c r="A418" s="3" t="s">
        <v>756</v>
      </c>
      <c r="B418" s="3"/>
      <c r="C418">
        <v>45210.168055555558</v>
      </c>
      <c r="D418" t="s">
        <v>1226</v>
      </c>
      <c r="E418">
        <v>110</v>
      </c>
      <c r="F418" t="s">
        <v>740</v>
      </c>
      <c r="G418" s="3"/>
      <c r="H418" s="3"/>
      <c r="I418" s="3"/>
      <c r="J418" s="3"/>
      <c r="K418" s="3"/>
      <c r="L418" s="3"/>
      <c r="M4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19" spans="1:13" x14ac:dyDescent="0.35">
      <c r="A419" s="3" t="s">
        <v>756</v>
      </c>
      <c r="B419" s="3"/>
      <c r="C419">
        <v>45211.722916666673</v>
      </c>
      <c r="D419" t="s">
        <v>942</v>
      </c>
      <c r="E419">
        <v>28</v>
      </c>
      <c r="F419" t="s">
        <v>740</v>
      </c>
      <c r="G419" s="3"/>
      <c r="H419" s="3"/>
      <c r="I419" s="3"/>
      <c r="J419" s="3"/>
      <c r="K419" s="3"/>
      <c r="L419" s="3"/>
      <c r="M4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0" spans="1:13" x14ac:dyDescent="0.35">
      <c r="A420" s="3" t="s">
        <v>756</v>
      </c>
      <c r="B420" s="3"/>
      <c r="C420">
        <v>45226.84097222222</v>
      </c>
      <c r="D420" t="s">
        <v>807</v>
      </c>
      <c r="E420">
        <v>74</v>
      </c>
      <c r="F420" t="s">
        <v>742</v>
      </c>
      <c r="G420" s="3"/>
      <c r="H420" s="3"/>
      <c r="I420" s="3"/>
      <c r="J420" s="3"/>
      <c r="K420" s="3"/>
      <c r="L420" s="3"/>
      <c r="M4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1" spans="1:13" x14ac:dyDescent="0.35">
      <c r="A421" s="3" t="s">
        <v>756</v>
      </c>
      <c r="B421" s="3"/>
      <c r="C421">
        <v>45226.895138888889</v>
      </c>
      <c r="D421" t="s">
        <v>1227</v>
      </c>
      <c r="E421">
        <v>42</v>
      </c>
      <c r="F421" t="s">
        <v>740</v>
      </c>
      <c r="G421" s="3"/>
      <c r="H421" s="3"/>
      <c r="I421" s="3"/>
      <c r="J421" s="3"/>
      <c r="K421" s="3"/>
      <c r="L421" s="3"/>
      <c r="M42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2" spans="1:13" x14ac:dyDescent="0.35">
      <c r="A422" s="3" t="s">
        <v>756</v>
      </c>
      <c r="B422" s="3"/>
      <c r="C422">
        <v>45222.652777777781</v>
      </c>
      <c r="D422" t="s">
        <v>757</v>
      </c>
      <c r="E422">
        <v>46</v>
      </c>
      <c r="F422" t="s">
        <v>748</v>
      </c>
      <c r="G422" s="3"/>
      <c r="H422" s="3"/>
      <c r="I422" s="3"/>
      <c r="J422" s="3"/>
      <c r="K422" s="3"/>
      <c r="L422" s="3"/>
      <c r="M4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3" spans="1:13" x14ac:dyDescent="0.35">
      <c r="A423" s="3" t="s">
        <v>756</v>
      </c>
      <c r="B423" s="3"/>
      <c r="C423">
        <v>45205.169444444437</v>
      </c>
      <c r="D423" t="s">
        <v>802</v>
      </c>
      <c r="E423">
        <v>18</v>
      </c>
      <c r="F423" t="s">
        <v>742</v>
      </c>
      <c r="G423" s="3"/>
      <c r="H423" s="3"/>
      <c r="I423" s="3"/>
      <c r="J423" s="3"/>
      <c r="K423" s="3"/>
      <c r="L423" s="3"/>
      <c r="M4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4" spans="1:13" x14ac:dyDescent="0.35">
      <c r="A424" s="3" t="s">
        <v>756</v>
      </c>
      <c r="B424" s="3"/>
      <c r="C424">
        <v>45222.584722222222</v>
      </c>
      <c r="D424" t="s">
        <v>975</v>
      </c>
      <c r="E424">
        <v>15</v>
      </c>
      <c r="F424" t="s">
        <v>748</v>
      </c>
      <c r="G424" s="3"/>
      <c r="H424" s="3"/>
      <c r="I424" s="3"/>
      <c r="J424" s="3"/>
      <c r="K424" s="3"/>
      <c r="L424" s="3"/>
      <c r="M4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5" spans="1:13" x14ac:dyDescent="0.35">
      <c r="A425" s="3" t="s">
        <v>756</v>
      </c>
      <c r="B425" s="3"/>
      <c r="C425">
        <v>45209.251388888893</v>
      </c>
      <c r="D425" t="s">
        <v>1179</v>
      </c>
      <c r="E425">
        <v>46</v>
      </c>
      <c r="F425" t="s">
        <v>742</v>
      </c>
      <c r="G425" s="3"/>
      <c r="H425" s="3"/>
      <c r="I425" s="3"/>
      <c r="J425" s="3"/>
      <c r="K425" s="3"/>
      <c r="L425" s="3"/>
      <c r="M4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6" spans="1:13" x14ac:dyDescent="0.35">
      <c r="A426" s="3" t="s">
        <v>756</v>
      </c>
      <c r="B426" s="3"/>
      <c r="C426">
        <v>45225.288888888892</v>
      </c>
      <c r="D426" t="s">
        <v>941</v>
      </c>
      <c r="E426">
        <v>89</v>
      </c>
      <c r="F426" t="s">
        <v>740</v>
      </c>
      <c r="G426" s="3"/>
      <c r="H426" s="3"/>
      <c r="I426" s="3"/>
      <c r="J426" s="3"/>
      <c r="K426" s="3"/>
      <c r="L426" s="3"/>
      <c r="M4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7" spans="1:13" x14ac:dyDescent="0.35">
      <c r="A427" s="3" t="s">
        <v>756</v>
      </c>
      <c r="B427" s="3"/>
      <c r="C427">
        <v>45201.457638888889</v>
      </c>
      <c r="D427" t="s">
        <v>1228</v>
      </c>
      <c r="E427">
        <v>42</v>
      </c>
      <c r="F427" t="s">
        <v>748</v>
      </c>
      <c r="G427" s="3"/>
      <c r="H427" s="3"/>
      <c r="I427" s="3"/>
      <c r="J427" s="3"/>
      <c r="K427" s="3"/>
      <c r="L427" s="3"/>
      <c r="M4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8" spans="1:13" x14ac:dyDescent="0.35">
      <c r="A428" s="3" t="s">
        <v>756</v>
      </c>
      <c r="B428" s="3"/>
      <c r="C428">
        <v>45209.684027777781</v>
      </c>
      <c r="D428" t="s">
        <v>1137</v>
      </c>
      <c r="E428">
        <v>44</v>
      </c>
      <c r="F428" t="s">
        <v>748</v>
      </c>
      <c r="G428" s="3"/>
      <c r="H428" s="3"/>
      <c r="I428" s="3"/>
      <c r="J428" s="3"/>
      <c r="K428" s="3"/>
      <c r="L428" s="3"/>
      <c r="M4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29" spans="1:13" x14ac:dyDescent="0.35">
      <c r="A429" s="3" t="s">
        <v>756</v>
      </c>
      <c r="B429" s="3"/>
      <c r="C429">
        <v>45226.729166666657</v>
      </c>
      <c r="D429" t="s">
        <v>1229</v>
      </c>
      <c r="E429">
        <v>62</v>
      </c>
      <c r="F429" t="s">
        <v>742</v>
      </c>
      <c r="G429" s="3"/>
      <c r="H429" s="3"/>
      <c r="I429" s="3"/>
      <c r="J429" s="3"/>
      <c r="K429" s="3"/>
      <c r="L429" s="3"/>
      <c r="M4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0" spans="1:13" x14ac:dyDescent="0.35">
      <c r="A430" s="3" t="s">
        <v>756</v>
      </c>
      <c r="B430" s="3"/>
      <c r="C430">
        <v>45208.074999999997</v>
      </c>
      <c r="D430" t="s">
        <v>1181</v>
      </c>
      <c r="E430">
        <v>82</v>
      </c>
      <c r="F430" t="s">
        <v>748</v>
      </c>
      <c r="G430" s="3"/>
      <c r="H430" s="3"/>
      <c r="I430" s="3"/>
      <c r="J430" s="3"/>
      <c r="K430" s="3"/>
      <c r="L430" s="3"/>
      <c r="M4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1" spans="1:13" x14ac:dyDescent="0.35">
      <c r="A431" s="3" t="s">
        <v>756</v>
      </c>
      <c r="B431" s="3"/>
      <c r="C431">
        <v>45220.262499999997</v>
      </c>
      <c r="D431" t="s">
        <v>1230</v>
      </c>
      <c r="E431">
        <v>96</v>
      </c>
      <c r="F431" t="s">
        <v>740</v>
      </c>
      <c r="G431" s="3"/>
      <c r="H431" s="3"/>
      <c r="I431" s="3"/>
      <c r="J431" s="3"/>
      <c r="K431" s="3"/>
      <c r="L431" s="3"/>
      <c r="M43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2" spans="1:13" x14ac:dyDescent="0.35">
      <c r="A432" s="3" t="s">
        <v>756</v>
      </c>
      <c r="B432" s="3"/>
      <c r="C432">
        <v>45211.079861111109</v>
      </c>
      <c r="D432" t="s">
        <v>1231</v>
      </c>
      <c r="E432">
        <v>59</v>
      </c>
      <c r="F432" t="s">
        <v>742</v>
      </c>
      <c r="G432" s="3"/>
      <c r="H432" s="3"/>
      <c r="I432" s="3"/>
      <c r="J432" s="3"/>
      <c r="K432" s="3"/>
      <c r="L432" s="3"/>
      <c r="M4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3" spans="1:13" x14ac:dyDescent="0.35">
      <c r="A433" s="3" t="s">
        <v>756</v>
      </c>
      <c r="B433" s="3"/>
      <c r="C433">
        <v>45220.428472222222</v>
      </c>
      <c r="D433" t="s">
        <v>1038</v>
      </c>
      <c r="E433">
        <v>26</v>
      </c>
      <c r="F433" t="s">
        <v>748</v>
      </c>
      <c r="G433" s="3"/>
      <c r="H433" s="3"/>
      <c r="I433" s="3"/>
      <c r="J433" s="3"/>
      <c r="K433" s="3"/>
      <c r="L433" s="3"/>
      <c r="M4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4" spans="1:13" x14ac:dyDescent="0.35">
      <c r="A434" s="3" t="s">
        <v>756</v>
      </c>
      <c r="B434" s="3"/>
      <c r="C434">
        <v>45203.477083333331</v>
      </c>
      <c r="D434" t="s">
        <v>1232</v>
      </c>
      <c r="E434">
        <v>93</v>
      </c>
      <c r="F434" t="s">
        <v>742</v>
      </c>
      <c r="G434" s="3"/>
      <c r="H434" s="3"/>
      <c r="I434" s="3"/>
      <c r="J434" s="3"/>
      <c r="K434" s="3"/>
      <c r="L434" s="3"/>
      <c r="M4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5" spans="1:13" x14ac:dyDescent="0.35">
      <c r="A435" s="3" t="s">
        <v>786</v>
      </c>
      <c r="B435" s="3"/>
      <c r="C435">
        <v>45202.912499999999</v>
      </c>
      <c r="D435" t="s">
        <v>1233</v>
      </c>
      <c r="E435">
        <v>68</v>
      </c>
      <c r="F435" t="s">
        <v>748</v>
      </c>
      <c r="G435" s="3"/>
      <c r="H435" s="3"/>
      <c r="I435" s="3"/>
      <c r="J435" s="3"/>
      <c r="K435" s="3"/>
      <c r="L435" s="3"/>
      <c r="M4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6" spans="1:13" x14ac:dyDescent="0.35">
      <c r="A436" s="3" t="s">
        <v>786</v>
      </c>
      <c r="B436" s="3"/>
      <c r="C436">
        <v>45210.890277777777</v>
      </c>
      <c r="D436" t="s">
        <v>1134</v>
      </c>
      <c r="E436">
        <v>118</v>
      </c>
      <c r="F436" t="s">
        <v>740</v>
      </c>
      <c r="G436" s="3"/>
      <c r="H436" s="3"/>
      <c r="I436" s="3"/>
      <c r="J436" s="3"/>
      <c r="K436" s="3"/>
      <c r="L436" s="3"/>
      <c r="M4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7" spans="1:13" x14ac:dyDescent="0.35">
      <c r="A437" s="3" t="s">
        <v>786</v>
      </c>
      <c r="B437" s="3"/>
      <c r="C437">
        <v>45222.107638888891</v>
      </c>
      <c r="D437" t="s">
        <v>1090</v>
      </c>
      <c r="E437">
        <v>85</v>
      </c>
      <c r="F437" t="s">
        <v>740</v>
      </c>
      <c r="G437" s="3"/>
      <c r="H437" s="3"/>
      <c r="I437" s="3"/>
      <c r="J437" s="3"/>
      <c r="K437" s="3"/>
      <c r="L437" s="3"/>
      <c r="M43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8" spans="1:13" x14ac:dyDescent="0.35">
      <c r="A438" s="3" t="s">
        <v>786</v>
      </c>
      <c r="B438" s="3"/>
      <c r="C438">
        <v>45217.414583333331</v>
      </c>
      <c r="D438" t="s">
        <v>1092</v>
      </c>
      <c r="E438">
        <v>74</v>
      </c>
      <c r="F438" t="s">
        <v>748</v>
      </c>
      <c r="G438" s="3"/>
      <c r="H438" s="3"/>
      <c r="I438" s="3"/>
      <c r="J438" s="3"/>
      <c r="K438" s="3"/>
      <c r="L438" s="3"/>
      <c r="M4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39" spans="1:13" x14ac:dyDescent="0.35">
      <c r="A439" s="3" t="s">
        <v>786</v>
      </c>
      <c r="B439" s="3"/>
      <c r="C439">
        <v>45209.239583333343</v>
      </c>
      <c r="D439" t="s">
        <v>1234</v>
      </c>
      <c r="E439">
        <v>42</v>
      </c>
      <c r="F439" t="s">
        <v>748</v>
      </c>
      <c r="G439" s="3"/>
      <c r="H439" s="3"/>
      <c r="I439" s="3"/>
      <c r="J439" s="3"/>
      <c r="K439" s="3"/>
      <c r="L439" s="3"/>
      <c r="M43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0" spans="1:13" x14ac:dyDescent="0.35">
      <c r="A440" s="3" t="s">
        <v>786</v>
      </c>
      <c r="B440" s="3"/>
      <c r="C440">
        <v>45222.944444444453</v>
      </c>
      <c r="D440" t="s">
        <v>1148</v>
      </c>
      <c r="E440">
        <v>87</v>
      </c>
      <c r="F440" t="s">
        <v>742</v>
      </c>
      <c r="G440" s="3"/>
      <c r="H440" s="3"/>
      <c r="I440" s="3"/>
      <c r="J440" s="3"/>
      <c r="K440" s="3"/>
      <c r="L440" s="3"/>
      <c r="M4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1" spans="1:13" x14ac:dyDescent="0.35">
      <c r="A441" s="3" t="s">
        <v>786</v>
      </c>
      <c r="B441" s="3"/>
      <c r="C441">
        <v>45205.480555555558</v>
      </c>
      <c r="D441" t="s">
        <v>1235</v>
      </c>
      <c r="E441">
        <v>43</v>
      </c>
      <c r="F441" t="s">
        <v>742</v>
      </c>
      <c r="G441" s="3"/>
      <c r="H441" s="3"/>
      <c r="I441" s="3"/>
      <c r="J441" s="3"/>
      <c r="K441" s="3"/>
      <c r="L441" s="3"/>
      <c r="M4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2" spans="1:13" x14ac:dyDescent="0.35">
      <c r="A442" s="3" t="s">
        <v>786</v>
      </c>
      <c r="B442" s="3"/>
      <c r="C442">
        <v>45207.133333333331</v>
      </c>
      <c r="D442" t="s">
        <v>839</v>
      </c>
      <c r="E442">
        <v>66</v>
      </c>
      <c r="F442" t="s">
        <v>742</v>
      </c>
      <c r="G442" s="3"/>
      <c r="H442" s="3"/>
      <c r="I442" s="3"/>
      <c r="J442" s="3"/>
      <c r="K442" s="3"/>
      <c r="L442" s="3"/>
      <c r="M4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3" spans="1:13" x14ac:dyDescent="0.35">
      <c r="A443" s="3" t="s">
        <v>786</v>
      </c>
      <c r="B443" s="3"/>
      <c r="C443">
        <v>45225.177083333343</v>
      </c>
      <c r="D443" t="s">
        <v>1236</v>
      </c>
      <c r="E443">
        <v>36</v>
      </c>
      <c r="F443" t="s">
        <v>748</v>
      </c>
      <c r="G443" s="3"/>
      <c r="H443" s="3"/>
      <c r="I443" s="3"/>
      <c r="J443" s="3"/>
      <c r="K443" s="3"/>
      <c r="L443" s="3"/>
      <c r="M44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4" spans="1:13" x14ac:dyDescent="0.35">
      <c r="A444" s="3" t="s">
        <v>786</v>
      </c>
      <c r="B444" s="3"/>
      <c r="C444">
        <v>45225.625694444447</v>
      </c>
      <c r="D444" t="s">
        <v>1237</v>
      </c>
      <c r="E444">
        <v>108</v>
      </c>
      <c r="F444" t="s">
        <v>748</v>
      </c>
      <c r="G444" s="3"/>
      <c r="H444" s="3"/>
      <c r="I444" s="3"/>
      <c r="J444" s="3"/>
      <c r="K444" s="3"/>
      <c r="L444" s="3"/>
      <c r="M44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5" spans="1:13" x14ac:dyDescent="0.35">
      <c r="A445" s="3" t="s">
        <v>786</v>
      </c>
      <c r="B445" s="3"/>
      <c r="C445">
        <v>45211.73333333333</v>
      </c>
      <c r="D445" t="s">
        <v>1238</v>
      </c>
      <c r="E445">
        <v>108</v>
      </c>
      <c r="F445" t="s">
        <v>742</v>
      </c>
      <c r="G445" s="3"/>
      <c r="H445" s="3"/>
      <c r="I445" s="3"/>
      <c r="J445" s="3"/>
      <c r="K445" s="3"/>
      <c r="L445" s="3"/>
      <c r="M4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6" spans="1:13" x14ac:dyDescent="0.35">
      <c r="A446" s="3" t="s">
        <v>786</v>
      </c>
      <c r="B446" s="3"/>
      <c r="C446">
        <v>45211.618750000001</v>
      </c>
      <c r="D446" t="s">
        <v>1239</v>
      </c>
      <c r="E446">
        <v>92</v>
      </c>
      <c r="F446" t="s">
        <v>740</v>
      </c>
      <c r="G446" s="3"/>
      <c r="H446" s="3"/>
      <c r="I446" s="3"/>
      <c r="J446" s="3"/>
      <c r="K446" s="3"/>
      <c r="L446" s="3"/>
      <c r="M4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7" spans="1:13" x14ac:dyDescent="0.35">
      <c r="A447" s="3" t="s">
        <v>786</v>
      </c>
      <c r="B447" s="3"/>
      <c r="C447">
        <v>45217.193749999999</v>
      </c>
      <c r="D447" t="s">
        <v>1209</v>
      </c>
      <c r="E447">
        <v>56</v>
      </c>
      <c r="F447" t="s">
        <v>740</v>
      </c>
      <c r="G447" s="3"/>
      <c r="H447" s="3"/>
      <c r="I447" s="3"/>
      <c r="J447" s="3"/>
      <c r="K447" s="3"/>
      <c r="L447" s="3"/>
      <c r="M44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8" spans="1:13" x14ac:dyDescent="0.35">
      <c r="A448" s="3" t="s">
        <v>786</v>
      </c>
      <c r="B448" s="3"/>
      <c r="C448">
        <v>45228.086111111108</v>
      </c>
      <c r="D448" t="s">
        <v>824</v>
      </c>
      <c r="E448">
        <v>43</v>
      </c>
      <c r="F448" t="s">
        <v>748</v>
      </c>
      <c r="G448" s="3"/>
      <c r="H448" s="3"/>
      <c r="I448" s="3"/>
      <c r="J448" s="3"/>
      <c r="K448" s="3"/>
      <c r="L448" s="3"/>
      <c r="M44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49" spans="1:13" x14ac:dyDescent="0.35">
      <c r="A449" s="3" t="s">
        <v>786</v>
      </c>
      <c r="B449" s="3"/>
      <c r="C449">
        <v>45209.53125</v>
      </c>
      <c r="D449" t="s">
        <v>1240</v>
      </c>
      <c r="E449">
        <v>63</v>
      </c>
      <c r="F449" t="s">
        <v>740</v>
      </c>
      <c r="G449" s="3"/>
      <c r="H449" s="3"/>
      <c r="I449" s="3"/>
      <c r="J449" s="3"/>
      <c r="K449" s="3"/>
      <c r="L449" s="3"/>
      <c r="M4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0" spans="1:13" x14ac:dyDescent="0.35">
      <c r="A450" s="3" t="s">
        <v>786</v>
      </c>
      <c r="B450" s="3"/>
      <c r="C450">
        <v>45223.647916666669</v>
      </c>
      <c r="D450" t="s">
        <v>1241</v>
      </c>
      <c r="E450">
        <v>14</v>
      </c>
      <c r="F450" t="s">
        <v>748</v>
      </c>
      <c r="G450" s="3"/>
      <c r="H450" s="3"/>
      <c r="I450" s="3"/>
      <c r="J450" s="3"/>
      <c r="K450" s="3"/>
      <c r="L450" s="3"/>
      <c r="M4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1" spans="1:13" x14ac:dyDescent="0.35">
      <c r="A451" s="3" t="s">
        <v>786</v>
      </c>
      <c r="B451" s="3"/>
      <c r="C451">
        <v>45213.577777777777</v>
      </c>
      <c r="D451" t="s">
        <v>1242</v>
      </c>
      <c r="E451">
        <v>93</v>
      </c>
      <c r="F451" t="s">
        <v>742</v>
      </c>
      <c r="G451" s="3"/>
      <c r="H451" s="3"/>
      <c r="I451" s="3"/>
      <c r="J451" s="3"/>
      <c r="K451" s="3"/>
      <c r="L451" s="3"/>
      <c r="M4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2" spans="1:13" x14ac:dyDescent="0.35">
      <c r="A452" s="3" t="s">
        <v>786</v>
      </c>
      <c r="B452" s="3"/>
      <c r="C452">
        <v>45218.088888888888</v>
      </c>
      <c r="D452" t="s">
        <v>807</v>
      </c>
      <c r="E452">
        <v>12</v>
      </c>
      <c r="F452" t="s">
        <v>748</v>
      </c>
      <c r="G452" s="3"/>
      <c r="H452" s="3"/>
      <c r="I452" s="3"/>
      <c r="J452" s="3"/>
      <c r="K452" s="3"/>
      <c r="L452" s="3"/>
      <c r="M4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3" spans="1:13" x14ac:dyDescent="0.35">
      <c r="A453" s="3" t="s">
        <v>786</v>
      </c>
      <c r="B453" s="3"/>
      <c r="C453">
        <v>45210.836111111108</v>
      </c>
      <c r="D453" t="s">
        <v>1243</v>
      </c>
      <c r="E453">
        <v>25</v>
      </c>
      <c r="F453" t="s">
        <v>748</v>
      </c>
      <c r="G453" s="3"/>
      <c r="H453" s="3"/>
      <c r="I453" s="3"/>
      <c r="J453" s="3"/>
      <c r="K453" s="3"/>
      <c r="L453" s="3"/>
      <c r="M45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4" spans="1:13" x14ac:dyDescent="0.35">
      <c r="A454" s="3" t="s">
        <v>786</v>
      </c>
      <c r="B454" s="3"/>
      <c r="C454">
        <v>45214.613194444442</v>
      </c>
      <c r="D454" t="s">
        <v>1244</v>
      </c>
      <c r="E454">
        <v>61</v>
      </c>
      <c r="F454" t="s">
        <v>748</v>
      </c>
      <c r="G454" s="3"/>
      <c r="H454" s="3"/>
      <c r="I454" s="3"/>
      <c r="J454" s="3"/>
      <c r="K454" s="3"/>
      <c r="L454" s="3"/>
      <c r="M45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5" spans="1:13" x14ac:dyDescent="0.35">
      <c r="A455" s="3" t="s">
        <v>786</v>
      </c>
      <c r="B455" s="3"/>
      <c r="C455">
        <v>45216.463888888888</v>
      </c>
      <c r="D455" t="s">
        <v>1214</v>
      </c>
      <c r="E455">
        <v>58</v>
      </c>
      <c r="F455" t="s">
        <v>740</v>
      </c>
      <c r="G455" s="3"/>
      <c r="H455" s="3"/>
      <c r="I455" s="3"/>
      <c r="J455" s="3"/>
      <c r="K455" s="3"/>
      <c r="L455" s="3"/>
      <c r="M45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6" spans="1:13" x14ac:dyDescent="0.35">
      <c r="A456" s="3" t="s">
        <v>786</v>
      </c>
      <c r="B456" s="3"/>
      <c r="C456">
        <v>45228.736111111109</v>
      </c>
      <c r="D456" t="s">
        <v>1245</v>
      </c>
      <c r="E456">
        <v>66</v>
      </c>
      <c r="F456" t="s">
        <v>748</v>
      </c>
      <c r="G456" s="3"/>
      <c r="H456" s="3"/>
      <c r="I456" s="3"/>
      <c r="J456" s="3"/>
      <c r="K456" s="3"/>
      <c r="L456" s="3"/>
      <c r="M45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7" spans="1:13" x14ac:dyDescent="0.35">
      <c r="A457" s="3" t="s">
        <v>786</v>
      </c>
      <c r="B457" s="3"/>
      <c r="C457">
        <v>45218.242361111108</v>
      </c>
      <c r="D457" t="s">
        <v>1143</v>
      </c>
      <c r="E457">
        <v>64</v>
      </c>
      <c r="F457" t="s">
        <v>740</v>
      </c>
      <c r="G457" s="3"/>
      <c r="H457" s="3"/>
      <c r="I457" s="3"/>
      <c r="J457" s="3"/>
      <c r="K457" s="3"/>
      <c r="L457" s="3"/>
      <c r="M45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8" spans="1:13" x14ac:dyDescent="0.35">
      <c r="A458" s="3" t="s">
        <v>786</v>
      </c>
      <c r="B458" s="3"/>
      <c r="C458">
        <v>45230.185416666667</v>
      </c>
      <c r="D458" t="s">
        <v>1246</v>
      </c>
      <c r="E458">
        <v>31</v>
      </c>
      <c r="F458" t="s">
        <v>742</v>
      </c>
      <c r="G458" s="3"/>
      <c r="H458" s="3"/>
      <c r="I458" s="3"/>
      <c r="J458" s="3"/>
      <c r="K458" s="3"/>
      <c r="L458" s="3"/>
      <c r="M45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59" spans="1:13" x14ac:dyDescent="0.35">
      <c r="A459" s="3" t="s">
        <v>786</v>
      </c>
      <c r="B459" s="3"/>
      <c r="C459">
        <v>45216.078472222223</v>
      </c>
      <c r="D459" t="s">
        <v>1247</v>
      </c>
      <c r="E459">
        <v>48</v>
      </c>
      <c r="F459" t="s">
        <v>742</v>
      </c>
      <c r="G459" s="3"/>
      <c r="H459" s="3"/>
      <c r="I459" s="3"/>
      <c r="J459" s="3"/>
      <c r="K459" s="3"/>
      <c r="L459" s="3"/>
      <c r="M4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0" spans="1:13" x14ac:dyDescent="0.35">
      <c r="A460" s="3" t="s">
        <v>786</v>
      </c>
      <c r="B460" s="3"/>
      <c r="C460">
        <v>45203.67291666667</v>
      </c>
      <c r="D460" t="s">
        <v>1248</v>
      </c>
      <c r="E460">
        <v>82</v>
      </c>
      <c r="F460" t="s">
        <v>740</v>
      </c>
      <c r="G460" s="3"/>
      <c r="H460" s="3"/>
      <c r="I460" s="3"/>
      <c r="J460" s="3"/>
      <c r="K460" s="3"/>
      <c r="L460" s="3"/>
      <c r="M4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1" spans="1:13" x14ac:dyDescent="0.35">
      <c r="A461" s="3" t="s">
        <v>786</v>
      </c>
      <c r="B461" s="3"/>
      <c r="C461">
        <v>45209.215277777781</v>
      </c>
      <c r="D461" t="s">
        <v>807</v>
      </c>
      <c r="E461">
        <v>23</v>
      </c>
      <c r="F461" t="s">
        <v>748</v>
      </c>
      <c r="G461" s="3"/>
      <c r="H461" s="3"/>
      <c r="I461" s="3"/>
      <c r="J461" s="3"/>
      <c r="K461" s="3"/>
      <c r="L461" s="3"/>
      <c r="M4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2" spans="1:13" x14ac:dyDescent="0.35">
      <c r="A462" s="3" t="s">
        <v>786</v>
      </c>
      <c r="B462" s="3"/>
      <c r="C462">
        <v>45210.926388888889</v>
      </c>
      <c r="D462" t="s">
        <v>883</v>
      </c>
      <c r="E462">
        <v>45</v>
      </c>
      <c r="F462" t="s">
        <v>742</v>
      </c>
      <c r="G462" s="3"/>
      <c r="H462" s="3"/>
      <c r="I462" s="3"/>
      <c r="J462" s="3"/>
      <c r="K462" s="3"/>
      <c r="L462" s="3"/>
      <c r="M4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3" spans="1:13" x14ac:dyDescent="0.35">
      <c r="A463" s="3" t="s">
        <v>786</v>
      </c>
      <c r="B463" s="3"/>
      <c r="C463">
        <v>45211.706250000003</v>
      </c>
      <c r="D463" t="s">
        <v>1249</v>
      </c>
      <c r="E463">
        <v>115</v>
      </c>
      <c r="F463" t="s">
        <v>748</v>
      </c>
      <c r="G463" s="3"/>
      <c r="H463" s="3"/>
      <c r="I463" s="3"/>
      <c r="J463" s="3"/>
      <c r="K463" s="3"/>
      <c r="L463" s="3"/>
      <c r="M46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4" spans="1:13" x14ac:dyDescent="0.35">
      <c r="A464" s="3" t="s">
        <v>786</v>
      </c>
      <c r="B464" s="3"/>
      <c r="C464">
        <v>45209.094444444447</v>
      </c>
      <c r="D464" t="s">
        <v>1250</v>
      </c>
      <c r="E464">
        <v>96</v>
      </c>
      <c r="F464" t="s">
        <v>740</v>
      </c>
      <c r="G464" s="3"/>
      <c r="H464" s="3"/>
      <c r="I464" s="3"/>
      <c r="J464" s="3"/>
      <c r="K464" s="3"/>
      <c r="L464" s="3"/>
      <c r="M4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5" spans="1:13" x14ac:dyDescent="0.35">
      <c r="A465" s="3" t="s">
        <v>786</v>
      </c>
      <c r="B465" s="3"/>
      <c r="C465">
        <v>45206.857638888891</v>
      </c>
      <c r="D465" t="s">
        <v>883</v>
      </c>
      <c r="E465">
        <v>45</v>
      </c>
      <c r="F465" t="s">
        <v>748</v>
      </c>
      <c r="G465" s="3"/>
      <c r="H465" s="3"/>
      <c r="I465" s="3"/>
      <c r="J465" s="3"/>
      <c r="K465" s="3"/>
      <c r="L465" s="3"/>
      <c r="M4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6" spans="1:13" x14ac:dyDescent="0.35">
      <c r="A466" s="3" t="s">
        <v>786</v>
      </c>
      <c r="B466" s="3"/>
      <c r="C466">
        <v>45208.194444444453</v>
      </c>
      <c r="D466" t="s">
        <v>1251</v>
      </c>
      <c r="E466">
        <v>98</v>
      </c>
      <c r="F466" t="s">
        <v>742</v>
      </c>
      <c r="G466" s="3"/>
      <c r="H466" s="3"/>
      <c r="I466" s="3"/>
      <c r="J466" s="3"/>
      <c r="K466" s="3"/>
      <c r="L466" s="3"/>
      <c r="M46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7" spans="1:13" x14ac:dyDescent="0.35">
      <c r="A467" s="3" t="s">
        <v>786</v>
      </c>
      <c r="B467" s="3"/>
      <c r="C467">
        <v>45209.81527777778</v>
      </c>
      <c r="D467" t="s">
        <v>1075</v>
      </c>
      <c r="E467">
        <v>115</v>
      </c>
      <c r="F467" t="s">
        <v>748</v>
      </c>
      <c r="G467" s="3"/>
      <c r="H467" s="3"/>
      <c r="I467" s="3"/>
      <c r="J467" s="3"/>
      <c r="K467" s="3"/>
      <c r="L467" s="3"/>
      <c r="M46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8" spans="1:13" x14ac:dyDescent="0.35">
      <c r="A468" s="3" t="s">
        <v>786</v>
      </c>
      <c r="B468" s="3"/>
      <c r="C468">
        <v>45202.695138888892</v>
      </c>
      <c r="D468" t="s">
        <v>1252</v>
      </c>
      <c r="E468">
        <v>49</v>
      </c>
      <c r="F468" t="s">
        <v>742</v>
      </c>
      <c r="G468" s="3"/>
      <c r="H468" s="3"/>
      <c r="I468" s="3"/>
      <c r="J468" s="3"/>
      <c r="K468" s="3"/>
      <c r="L468" s="3"/>
      <c r="M4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69" spans="1:13" x14ac:dyDescent="0.35">
      <c r="A469" s="3" t="s">
        <v>786</v>
      </c>
      <c r="B469" s="3"/>
      <c r="C469">
        <v>45205.775694444441</v>
      </c>
      <c r="D469" t="s">
        <v>1253</v>
      </c>
      <c r="E469">
        <v>56</v>
      </c>
      <c r="F469" t="s">
        <v>748</v>
      </c>
      <c r="G469" s="3"/>
      <c r="H469" s="3"/>
      <c r="I469" s="3"/>
      <c r="J469" s="3"/>
      <c r="K469" s="3"/>
      <c r="L469" s="3"/>
      <c r="M4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0" spans="1:13" x14ac:dyDescent="0.35">
      <c r="A470" s="3" t="s">
        <v>786</v>
      </c>
      <c r="B470" s="3"/>
      <c r="C470">
        <v>45204.237500000003</v>
      </c>
      <c r="D470" t="s">
        <v>787</v>
      </c>
      <c r="E470">
        <v>21</v>
      </c>
      <c r="F470" t="s">
        <v>742</v>
      </c>
      <c r="G470" s="3"/>
      <c r="H470" s="3"/>
      <c r="I470" s="3"/>
      <c r="J470" s="3"/>
      <c r="K470" s="3"/>
      <c r="L470" s="3"/>
      <c r="M47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1" spans="1:13" x14ac:dyDescent="0.35">
      <c r="A471" s="3" t="s">
        <v>786</v>
      </c>
      <c r="B471" s="3"/>
      <c r="C471">
        <v>45219.997916666667</v>
      </c>
      <c r="D471" t="s">
        <v>1068</v>
      </c>
      <c r="E471">
        <v>102</v>
      </c>
      <c r="F471" t="s">
        <v>742</v>
      </c>
      <c r="G471" s="3"/>
      <c r="H471" s="3"/>
      <c r="I471" s="3"/>
      <c r="J471" s="3"/>
      <c r="K471" s="3"/>
      <c r="L471" s="3"/>
      <c r="M47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2" spans="1:13" x14ac:dyDescent="0.35">
      <c r="A472" s="3" t="s">
        <v>786</v>
      </c>
      <c r="B472" s="3"/>
      <c r="C472">
        <v>45219.453472222223</v>
      </c>
      <c r="D472" t="s">
        <v>1254</v>
      </c>
      <c r="E472">
        <v>52</v>
      </c>
      <c r="F472" t="s">
        <v>742</v>
      </c>
      <c r="G472" s="3"/>
      <c r="H472" s="3"/>
      <c r="I472" s="3"/>
      <c r="J472" s="3"/>
      <c r="K472" s="3"/>
      <c r="L472" s="3"/>
      <c r="M47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3" spans="1:13" x14ac:dyDescent="0.35">
      <c r="A473" s="3" t="s">
        <v>786</v>
      </c>
      <c r="B473" s="3"/>
      <c r="C473">
        <v>45229.751388888893</v>
      </c>
      <c r="D473" t="s">
        <v>1255</v>
      </c>
      <c r="E473">
        <v>70</v>
      </c>
      <c r="F473" t="s">
        <v>740</v>
      </c>
      <c r="G473" s="3"/>
      <c r="H473" s="3"/>
      <c r="I473" s="3"/>
      <c r="J473" s="3"/>
      <c r="K473" s="3"/>
      <c r="L473" s="3"/>
      <c r="M4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4" spans="1:13" x14ac:dyDescent="0.35">
      <c r="A474" s="3" t="s">
        <v>786</v>
      </c>
      <c r="B474" s="3"/>
      <c r="C474">
        <v>45226.003472222219</v>
      </c>
      <c r="D474" t="s">
        <v>1256</v>
      </c>
      <c r="E474">
        <v>76</v>
      </c>
      <c r="F474" t="s">
        <v>740</v>
      </c>
      <c r="G474" s="3"/>
      <c r="H474" s="3"/>
      <c r="I474" s="3"/>
      <c r="J474" s="3"/>
      <c r="K474" s="3"/>
      <c r="L474" s="3"/>
      <c r="M4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5" spans="1:13" x14ac:dyDescent="0.35">
      <c r="A475" s="3" t="s">
        <v>786</v>
      </c>
      <c r="B475" s="3"/>
      <c r="C475">
        <v>45201.867361111108</v>
      </c>
      <c r="D475" t="s">
        <v>1189</v>
      </c>
      <c r="E475">
        <v>18</v>
      </c>
      <c r="F475" t="s">
        <v>740</v>
      </c>
      <c r="G475" s="3"/>
      <c r="H475" s="3"/>
      <c r="I475" s="3"/>
      <c r="J475" s="3"/>
      <c r="K475" s="3"/>
      <c r="L475" s="3"/>
      <c r="M4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6" spans="1:13" x14ac:dyDescent="0.35">
      <c r="A476" s="3" t="s">
        <v>786</v>
      </c>
      <c r="B476" s="3"/>
      <c r="C476">
        <v>45218.361805555563</v>
      </c>
      <c r="D476" t="s">
        <v>1048</v>
      </c>
      <c r="E476">
        <v>45</v>
      </c>
      <c r="F476" t="s">
        <v>748</v>
      </c>
      <c r="G476" s="3"/>
      <c r="H476" s="3"/>
      <c r="I476" s="3"/>
      <c r="J476" s="3"/>
      <c r="K476" s="3"/>
      <c r="L476" s="3"/>
      <c r="M4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7" spans="1:13" x14ac:dyDescent="0.35">
      <c r="A477" s="3" t="s">
        <v>786</v>
      </c>
      <c r="B477" s="3"/>
      <c r="C477">
        <v>45206.768055555563</v>
      </c>
      <c r="D477" t="s">
        <v>1257</v>
      </c>
      <c r="E477">
        <v>35</v>
      </c>
      <c r="F477" t="s">
        <v>748</v>
      </c>
      <c r="G477" s="3"/>
      <c r="H477" s="3"/>
      <c r="I477" s="3"/>
      <c r="J477" s="3"/>
      <c r="K477" s="3"/>
      <c r="L477" s="3"/>
      <c r="M4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8" spans="1:13" x14ac:dyDescent="0.35">
      <c r="A478" s="3" t="s">
        <v>786</v>
      </c>
      <c r="B478" s="3"/>
      <c r="C478">
        <v>45219.834027777782</v>
      </c>
      <c r="D478" t="s">
        <v>1258</v>
      </c>
      <c r="E478">
        <v>64</v>
      </c>
      <c r="F478" t="s">
        <v>748</v>
      </c>
      <c r="G478" s="3"/>
      <c r="H478" s="3"/>
      <c r="I478" s="3"/>
      <c r="J478" s="3"/>
      <c r="K478" s="3"/>
      <c r="L478" s="3"/>
      <c r="M4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79" spans="1:13" x14ac:dyDescent="0.35">
      <c r="A479" s="3" t="s">
        <v>749</v>
      </c>
      <c r="B479" s="3"/>
      <c r="C479">
        <v>45201.043055555558</v>
      </c>
      <c r="D479" t="s">
        <v>1235</v>
      </c>
      <c r="E479">
        <v>45</v>
      </c>
      <c r="F479" t="s">
        <v>742</v>
      </c>
      <c r="G479" s="3"/>
      <c r="H479" s="3"/>
      <c r="I479" s="3"/>
      <c r="J479" s="3"/>
      <c r="K479" s="3"/>
      <c r="L479" s="3"/>
      <c r="M4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0" spans="1:13" x14ac:dyDescent="0.35">
      <c r="A480" s="3" t="s">
        <v>749</v>
      </c>
      <c r="B480" s="3"/>
      <c r="C480">
        <v>45204.931250000001</v>
      </c>
      <c r="D480" t="s">
        <v>1259</v>
      </c>
      <c r="E480">
        <v>66</v>
      </c>
      <c r="F480" t="s">
        <v>740</v>
      </c>
      <c r="G480" s="3"/>
      <c r="H480" s="3"/>
      <c r="I480" s="3"/>
      <c r="J480" s="3"/>
      <c r="K480" s="3"/>
      <c r="L480" s="3"/>
      <c r="M4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1" spans="1:13" x14ac:dyDescent="0.35">
      <c r="A481" s="3" t="s">
        <v>749</v>
      </c>
      <c r="B481" s="3"/>
      <c r="C481">
        <v>45225.647916666669</v>
      </c>
      <c r="D481" t="s">
        <v>1260</v>
      </c>
      <c r="E481">
        <v>49</v>
      </c>
      <c r="F481" t="s">
        <v>740</v>
      </c>
      <c r="G481" s="3"/>
      <c r="H481" s="3"/>
      <c r="I481" s="3"/>
      <c r="J481" s="3"/>
      <c r="K481" s="3"/>
      <c r="L481" s="3"/>
      <c r="M48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2" spans="1:13" x14ac:dyDescent="0.35">
      <c r="A482" s="3" t="s">
        <v>749</v>
      </c>
      <c r="B482" s="3"/>
      <c r="C482">
        <v>45214.193055555559</v>
      </c>
      <c r="D482" t="s">
        <v>1039</v>
      </c>
      <c r="E482">
        <v>76</v>
      </c>
      <c r="F482" t="s">
        <v>748</v>
      </c>
      <c r="G482" s="3"/>
      <c r="H482" s="3"/>
      <c r="I482" s="3"/>
      <c r="J482" s="3"/>
      <c r="K482" s="3"/>
      <c r="L482" s="3"/>
      <c r="M4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3" spans="1:13" x14ac:dyDescent="0.35">
      <c r="A483" s="3" t="s">
        <v>749</v>
      </c>
      <c r="B483" s="3"/>
      <c r="C483">
        <v>45228.672222222223</v>
      </c>
      <c r="D483" t="s">
        <v>1261</v>
      </c>
      <c r="E483">
        <v>106</v>
      </c>
      <c r="F483" t="s">
        <v>740</v>
      </c>
      <c r="G483" s="3"/>
      <c r="H483" s="3"/>
      <c r="I483" s="3"/>
      <c r="J483" s="3"/>
      <c r="K483" s="3"/>
      <c r="L483" s="3"/>
      <c r="M48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4" spans="1:13" x14ac:dyDescent="0.35">
      <c r="A484" s="3" t="s">
        <v>749</v>
      </c>
      <c r="B484" s="3"/>
      <c r="C484">
        <v>45210.805555555547</v>
      </c>
      <c r="D484" t="s">
        <v>1262</v>
      </c>
      <c r="E484">
        <v>97</v>
      </c>
      <c r="F484" t="s">
        <v>740</v>
      </c>
      <c r="G484" s="3"/>
      <c r="H484" s="3"/>
      <c r="I484" s="3"/>
      <c r="J484" s="3"/>
      <c r="K484" s="3"/>
      <c r="L484" s="3"/>
      <c r="M4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5" spans="1:13" x14ac:dyDescent="0.35">
      <c r="A485" s="3" t="s">
        <v>749</v>
      </c>
      <c r="B485" s="3"/>
      <c r="C485">
        <v>45205.527083333327</v>
      </c>
      <c r="D485" t="s">
        <v>1263</v>
      </c>
      <c r="E485">
        <v>40</v>
      </c>
      <c r="F485" t="s">
        <v>748</v>
      </c>
      <c r="G485" s="3"/>
      <c r="H485" s="3"/>
      <c r="I485" s="3"/>
      <c r="J485" s="3"/>
      <c r="K485" s="3"/>
      <c r="L485" s="3"/>
      <c r="M4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6" spans="1:13" x14ac:dyDescent="0.35">
      <c r="A486" s="3" t="s">
        <v>749</v>
      </c>
      <c r="B486" s="3"/>
      <c r="C486">
        <v>45223.400694444441</v>
      </c>
      <c r="D486" t="s">
        <v>765</v>
      </c>
      <c r="E486">
        <v>41</v>
      </c>
      <c r="F486" t="s">
        <v>748</v>
      </c>
      <c r="G486" s="3"/>
      <c r="H486" s="3"/>
      <c r="I486" s="3"/>
      <c r="J486" s="3"/>
      <c r="K486" s="3"/>
      <c r="L486" s="3"/>
      <c r="M48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7" spans="1:13" x14ac:dyDescent="0.35">
      <c r="A487" s="3" t="s">
        <v>749</v>
      </c>
      <c r="B487" s="3"/>
      <c r="C487">
        <v>45210.703472222223</v>
      </c>
      <c r="D487" t="s">
        <v>790</v>
      </c>
      <c r="E487">
        <v>20</v>
      </c>
      <c r="F487" t="s">
        <v>740</v>
      </c>
      <c r="G487" s="3"/>
      <c r="H487" s="3"/>
      <c r="I487" s="3"/>
      <c r="J487" s="3"/>
      <c r="K487" s="3"/>
      <c r="L487" s="3"/>
      <c r="M48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8" spans="1:13" x14ac:dyDescent="0.35">
      <c r="A488" s="3" t="s">
        <v>749</v>
      </c>
      <c r="B488" s="3"/>
      <c r="C488">
        <v>45216.729861111111</v>
      </c>
      <c r="D488" t="s">
        <v>860</v>
      </c>
      <c r="E488">
        <v>78</v>
      </c>
      <c r="F488" t="s">
        <v>742</v>
      </c>
      <c r="G488" s="3"/>
      <c r="H488" s="3"/>
      <c r="I488" s="3"/>
      <c r="J488" s="3"/>
      <c r="K488" s="3"/>
      <c r="L488" s="3"/>
      <c r="M48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89" spans="1:13" x14ac:dyDescent="0.35">
      <c r="A489" s="3" t="s">
        <v>749</v>
      </c>
      <c r="B489" s="3"/>
      <c r="C489">
        <v>45222.763194444437</v>
      </c>
      <c r="D489" t="s">
        <v>844</v>
      </c>
      <c r="E489">
        <v>91</v>
      </c>
      <c r="F489" t="s">
        <v>748</v>
      </c>
      <c r="G489" s="3"/>
      <c r="H489" s="3"/>
      <c r="I489" s="3"/>
      <c r="J489" s="3"/>
      <c r="K489" s="3"/>
      <c r="L489" s="3"/>
      <c r="M48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0" spans="1:13" x14ac:dyDescent="0.35">
      <c r="A490" s="3" t="s">
        <v>749</v>
      </c>
      <c r="B490" s="3"/>
      <c r="C490">
        <v>45215.015972222223</v>
      </c>
      <c r="D490" t="s">
        <v>950</v>
      </c>
      <c r="E490">
        <v>74</v>
      </c>
      <c r="F490" t="s">
        <v>740</v>
      </c>
      <c r="G490" s="3"/>
      <c r="H490" s="3"/>
      <c r="I490" s="3"/>
      <c r="J490" s="3"/>
      <c r="K490" s="3"/>
      <c r="L490" s="3"/>
      <c r="M49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1" spans="1:13" x14ac:dyDescent="0.35">
      <c r="A491" s="3" t="s">
        <v>749</v>
      </c>
      <c r="B491" s="3"/>
      <c r="C491">
        <v>45210.879861111112</v>
      </c>
      <c r="D491" t="s">
        <v>875</v>
      </c>
      <c r="E491">
        <v>53</v>
      </c>
      <c r="F491" t="s">
        <v>740</v>
      </c>
      <c r="G491" s="3"/>
      <c r="H491" s="3"/>
      <c r="I491" s="3"/>
      <c r="J491" s="3"/>
      <c r="K491" s="3"/>
      <c r="L491" s="3"/>
      <c r="M49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2" spans="1:13" x14ac:dyDescent="0.35">
      <c r="A492" s="3" t="s">
        <v>749</v>
      </c>
      <c r="B492" s="3"/>
      <c r="C492">
        <v>45213.763194444437</v>
      </c>
      <c r="D492" t="s">
        <v>790</v>
      </c>
      <c r="E492">
        <v>119</v>
      </c>
      <c r="F492" t="s">
        <v>748</v>
      </c>
      <c r="G492" s="3"/>
      <c r="H492" s="3"/>
      <c r="I492" s="3"/>
      <c r="J492" s="3"/>
      <c r="K492" s="3"/>
      <c r="L492" s="3"/>
      <c r="M4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3" spans="1:13" x14ac:dyDescent="0.35">
      <c r="A493" s="3" t="s">
        <v>749</v>
      </c>
      <c r="B493" s="3"/>
      <c r="C493">
        <v>45225.996527777781</v>
      </c>
      <c r="D493" t="s">
        <v>1144</v>
      </c>
      <c r="E493">
        <v>55</v>
      </c>
      <c r="F493" t="s">
        <v>742</v>
      </c>
      <c r="G493" s="3"/>
      <c r="H493" s="3"/>
      <c r="I493" s="3"/>
      <c r="J493" s="3"/>
      <c r="K493" s="3"/>
      <c r="L493" s="3"/>
      <c r="M49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4" spans="1:13" x14ac:dyDescent="0.35">
      <c r="A494" s="3" t="s">
        <v>749</v>
      </c>
      <c r="B494" s="3"/>
      <c r="C494">
        <v>45222.834027777782</v>
      </c>
      <c r="D494" t="s">
        <v>958</v>
      </c>
      <c r="E494">
        <v>109</v>
      </c>
      <c r="F494" t="s">
        <v>742</v>
      </c>
      <c r="G494" s="3"/>
      <c r="H494" s="3"/>
      <c r="I494" s="3"/>
      <c r="J494" s="3"/>
      <c r="K494" s="3"/>
      <c r="L494" s="3"/>
      <c r="M49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5" spans="1:13" x14ac:dyDescent="0.35">
      <c r="A495" s="3" t="s">
        <v>749</v>
      </c>
      <c r="B495" s="3"/>
      <c r="C495">
        <v>45219.636111111111</v>
      </c>
      <c r="D495" t="s">
        <v>1146</v>
      </c>
      <c r="E495">
        <v>49</v>
      </c>
      <c r="F495" t="s">
        <v>740</v>
      </c>
      <c r="G495" s="3"/>
      <c r="H495" s="3"/>
      <c r="I495" s="3"/>
      <c r="J495" s="3"/>
      <c r="K495" s="3"/>
      <c r="L495" s="3"/>
      <c r="M49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6" spans="1:13" x14ac:dyDescent="0.35">
      <c r="A496" s="3" t="s">
        <v>749</v>
      </c>
      <c r="B496" s="3"/>
      <c r="C496">
        <v>45230.868055555547</v>
      </c>
      <c r="D496" t="s">
        <v>747</v>
      </c>
      <c r="E496">
        <v>103</v>
      </c>
      <c r="F496" t="s">
        <v>748</v>
      </c>
      <c r="G496" s="3"/>
      <c r="H496" s="3"/>
      <c r="I496" s="3"/>
      <c r="J496" s="3"/>
      <c r="K496" s="3"/>
      <c r="L496" s="3"/>
      <c r="M4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7" spans="1:13" x14ac:dyDescent="0.35">
      <c r="A497" s="3" t="s">
        <v>749</v>
      </c>
      <c r="B497" s="3"/>
      <c r="C497">
        <v>45224.775000000001</v>
      </c>
      <c r="D497" t="s">
        <v>1264</v>
      </c>
      <c r="E497">
        <v>107</v>
      </c>
      <c r="F497" t="s">
        <v>748</v>
      </c>
      <c r="G497" s="3"/>
      <c r="H497" s="3"/>
      <c r="I497" s="3"/>
      <c r="J497" s="3"/>
      <c r="K497" s="3"/>
      <c r="L497" s="3"/>
      <c r="M4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8" spans="1:13" x14ac:dyDescent="0.35">
      <c r="A498" s="3" t="s">
        <v>749</v>
      </c>
      <c r="B498" s="3"/>
      <c r="C498">
        <v>45207.960416666669</v>
      </c>
      <c r="D498" t="s">
        <v>904</v>
      </c>
      <c r="E498">
        <v>23</v>
      </c>
      <c r="F498" t="s">
        <v>748</v>
      </c>
      <c r="G498" s="3"/>
      <c r="H498" s="3"/>
      <c r="I498" s="3"/>
      <c r="J498" s="3"/>
      <c r="K498" s="3"/>
      <c r="L498" s="3"/>
      <c r="M49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499" spans="1:13" x14ac:dyDescent="0.35">
      <c r="A499" s="3" t="s">
        <v>749</v>
      </c>
      <c r="B499" s="3"/>
      <c r="C499">
        <v>45218.631944444453</v>
      </c>
      <c r="D499" t="s">
        <v>995</v>
      </c>
      <c r="E499">
        <v>42</v>
      </c>
      <c r="F499" t="s">
        <v>742</v>
      </c>
      <c r="G499" s="3"/>
      <c r="H499" s="3"/>
      <c r="I499" s="3"/>
      <c r="J499" s="3"/>
      <c r="K499" s="3"/>
      <c r="L499" s="3"/>
      <c r="M49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0" spans="1:13" x14ac:dyDescent="0.35">
      <c r="A500" s="3" t="s">
        <v>749</v>
      </c>
      <c r="B500" s="3"/>
      <c r="C500">
        <v>45216.865277777782</v>
      </c>
      <c r="D500" t="s">
        <v>806</v>
      </c>
      <c r="E500">
        <v>10</v>
      </c>
      <c r="F500" t="s">
        <v>742</v>
      </c>
      <c r="G500" s="3"/>
      <c r="H500" s="3"/>
      <c r="I500" s="3"/>
      <c r="J500" s="3"/>
      <c r="K500" s="3"/>
      <c r="L500" s="3"/>
      <c r="M50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1" spans="1:13" x14ac:dyDescent="0.35">
      <c r="A501" s="3" t="s">
        <v>749</v>
      </c>
      <c r="B501" s="3"/>
      <c r="C501">
        <v>45219.506249999999</v>
      </c>
      <c r="D501" t="s">
        <v>1108</v>
      </c>
      <c r="E501">
        <v>41</v>
      </c>
      <c r="F501" t="s">
        <v>742</v>
      </c>
      <c r="G501" s="3"/>
      <c r="H501" s="3"/>
      <c r="I501" s="3"/>
      <c r="J501" s="3"/>
      <c r="K501" s="3"/>
      <c r="L501" s="3"/>
      <c r="M50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2" spans="1:13" x14ac:dyDescent="0.35">
      <c r="A502" s="3" t="s">
        <v>749</v>
      </c>
      <c r="B502" s="3"/>
      <c r="C502">
        <v>45226.885416666657</v>
      </c>
      <c r="D502" t="s">
        <v>1265</v>
      </c>
      <c r="E502">
        <v>96</v>
      </c>
      <c r="F502" t="s">
        <v>748</v>
      </c>
      <c r="G502" s="3"/>
      <c r="H502" s="3"/>
      <c r="I502" s="3"/>
      <c r="J502" s="3"/>
      <c r="K502" s="3"/>
      <c r="L502" s="3"/>
      <c r="M50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3" spans="1:13" x14ac:dyDescent="0.35">
      <c r="A503" s="3" t="s">
        <v>749</v>
      </c>
      <c r="B503" s="3"/>
      <c r="C503">
        <v>45201.780555555553</v>
      </c>
      <c r="D503" t="s">
        <v>1266</v>
      </c>
      <c r="E503">
        <v>15</v>
      </c>
      <c r="F503" t="s">
        <v>740</v>
      </c>
      <c r="G503" s="3"/>
      <c r="H503" s="3"/>
      <c r="I503" s="3"/>
      <c r="J503" s="3"/>
      <c r="K503" s="3"/>
      <c r="L503" s="3"/>
      <c r="M5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4" spans="1:13" x14ac:dyDescent="0.35">
      <c r="A504" s="3" t="s">
        <v>749</v>
      </c>
      <c r="B504" s="3"/>
      <c r="C504">
        <v>45203.250694444447</v>
      </c>
      <c r="D504" t="s">
        <v>982</v>
      </c>
      <c r="E504">
        <v>49</v>
      </c>
      <c r="F504" t="s">
        <v>742</v>
      </c>
      <c r="G504" s="3"/>
      <c r="H504" s="3"/>
      <c r="I504" s="3"/>
      <c r="J504" s="3"/>
      <c r="K504" s="3"/>
      <c r="L504" s="3"/>
      <c r="M50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5" spans="1:13" x14ac:dyDescent="0.35">
      <c r="A505" s="3" t="s">
        <v>749</v>
      </c>
      <c r="B505" s="3"/>
      <c r="C505">
        <v>45214.43472222222</v>
      </c>
      <c r="D505" t="s">
        <v>981</v>
      </c>
      <c r="E505">
        <v>61</v>
      </c>
      <c r="F505" t="s">
        <v>748</v>
      </c>
      <c r="G505" s="3"/>
      <c r="H505" s="3"/>
      <c r="I505" s="3"/>
      <c r="J505" s="3"/>
      <c r="K505" s="3"/>
      <c r="L505" s="3"/>
      <c r="M5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6" spans="1:13" x14ac:dyDescent="0.35">
      <c r="A506" s="3" t="s">
        <v>749</v>
      </c>
      <c r="B506" s="3"/>
      <c r="C506">
        <v>45204.572222222218</v>
      </c>
      <c r="D506" t="s">
        <v>876</v>
      </c>
      <c r="E506">
        <v>88</v>
      </c>
      <c r="F506" t="s">
        <v>748</v>
      </c>
      <c r="G506" s="3"/>
      <c r="H506" s="3"/>
      <c r="I506" s="3"/>
      <c r="J506" s="3"/>
      <c r="K506" s="3"/>
      <c r="L506" s="3"/>
      <c r="M5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7" spans="1:13" x14ac:dyDescent="0.35">
      <c r="A507" s="3" t="s">
        <v>749</v>
      </c>
      <c r="B507" s="3"/>
      <c r="C507">
        <v>45206.563888888893</v>
      </c>
      <c r="D507" t="s">
        <v>877</v>
      </c>
      <c r="E507">
        <v>37</v>
      </c>
      <c r="F507" t="s">
        <v>740</v>
      </c>
      <c r="G507" s="3"/>
      <c r="H507" s="3"/>
      <c r="I507" s="3"/>
      <c r="J507" s="3"/>
      <c r="K507" s="3"/>
      <c r="L507" s="3"/>
      <c r="M50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8" spans="1:13" x14ac:dyDescent="0.35">
      <c r="A508" s="3" t="s">
        <v>749</v>
      </c>
      <c r="B508" s="3"/>
      <c r="C508">
        <v>45224.831944444442</v>
      </c>
      <c r="D508" t="s">
        <v>1267</v>
      </c>
      <c r="E508">
        <v>100</v>
      </c>
      <c r="F508" t="s">
        <v>740</v>
      </c>
      <c r="G508" s="3"/>
      <c r="H508" s="3"/>
      <c r="I508" s="3"/>
      <c r="J508" s="3"/>
      <c r="K508" s="3"/>
      <c r="L508" s="3"/>
      <c r="M50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09" spans="1:13" x14ac:dyDescent="0.35">
      <c r="A509" s="3" t="s">
        <v>749</v>
      </c>
      <c r="B509" s="3"/>
      <c r="C509">
        <v>45215.990277777782</v>
      </c>
      <c r="D509" t="s">
        <v>813</v>
      </c>
      <c r="E509">
        <v>66</v>
      </c>
      <c r="F509" t="s">
        <v>748</v>
      </c>
      <c r="G509" s="3"/>
      <c r="H509" s="3"/>
      <c r="I509" s="3"/>
      <c r="J509" s="3"/>
      <c r="K509" s="3"/>
      <c r="L509" s="3"/>
      <c r="M50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0" spans="1:13" x14ac:dyDescent="0.35">
      <c r="A510" s="3" t="s">
        <v>749</v>
      </c>
      <c r="B510" s="3"/>
      <c r="C510">
        <v>45201.922222222223</v>
      </c>
      <c r="D510" t="s">
        <v>956</v>
      </c>
      <c r="E510">
        <v>32</v>
      </c>
      <c r="F510" t="s">
        <v>740</v>
      </c>
      <c r="G510" s="3"/>
      <c r="H510" s="3"/>
      <c r="I510" s="3"/>
      <c r="J510" s="3"/>
      <c r="K510" s="3"/>
      <c r="L510" s="3"/>
      <c r="M5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1" spans="1:13" x14ac:dyDescent="0.35">
      <c r="A511" s="3" t="s">
        <v>749</v>
      </c>
      <c r="B511" s="3"/>
      <c r="C511">
        <v>45216.274305555547</v>
      </c>
      <c r="D511" t="s">
        <v>1264</v>
      </c>
      <c r="E511">
        <v>30</v>
      </c>
      <c r="F511" t="s">
        <v>742</v>
      </c>
      <c r="G511" s="3"/>
      <c r="H511" s="3"/>
      <c r="I511" s="3"/>
      <c r="J511" s="3"/>
      <c r="K511" s="3"/>
      <c r="L511" s="3"/>
      <c r="M5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2" spans="1:13" x14ac:dyDescent="0.35">
      <c r="A512" s="3" t="s">
        <v>749</v>
      </c>
      <c r="B512" s="3"/>
      <c r="C512">
        <v>45210.895833333343</v>
      </c>
      <c r="D512" t="s">
        <v>1136</v>
      </c>
      <c r="E512">
        <v>110</v>
      </c>
      <c r="F512" t="s">
        <v>748</v>
      </c>
      <c r="G512" s="3"/>
      <c r="H512" s="3"/>
      <c r="I512" s="3"/>
      <c r="J512" s="3"/>
      <c r="K512" s="3"/>
      <c r="L512" s="3"/>
      <c r="M51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3" spans="1:13" x14ac:dyDescent="0.35">
      <c r="A513" s="3" t="s">
        <v>749</v>
      </c>
      <c r="B513" s="3"/>
      <c r="C513">
        <v>45216.513888888891</v>
      </c>
      <c r="D513" t="s">
        <v>1268</v>
      </c>
      <c r="E513">
        <v>73</v>
      </c>
      <c r="F513" t="s">
        <v>742</v>
      </c>
      <c r="G513" s="3"/>
      <c r="H513" s="3"/>
      <c r="I513" s="3"/>
      <c r="J513" s="3"/>
      <c r="K513" s="3"/>
      <c r="L513" s="3"/>
      <c r="M51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4" spans="1:13" x14ac:dyDescent="0.35">
      <c r="A514" s="3" t="s">
        <v>749</v>
      </c>
      <c r="B514" s="3"/>
      <c r="C514">
        <v>45230.228472222218</v>
      </c>
      <c r="D514" t="s">
        <v>837</v>
      </c>
      <c r="E514">
        <v>39</v>
      </c>
      <c r="F514" t="s">
        <v>748</v>
      </c>
      <c r="G514" s="3"/>
      <c r="H514" s="3"/>
      <c r="I514" s="3"/>
      <c r="J514" s="3"/>
      <c r="K514" s="3"/>
      <c r="L514" s="3"/>
      <c r="M5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5" spans="1:13" x14ac:dyDescent="0.35">
      <c r="A515" s="3" t="s">
        <v>749</v>
      </c>
      <c r="B515" s="3"/>
      <c r="C515">
        <v>45229.722916666673</v>
      </c>
      <c r="D515" t="s">
        <v>930</v>
      </c>
      <c r="E515">
        <v>76</v>
      </c>
      <c r="F515" t="s">
        <v>742</v>
      </c>
      <c r="G515" s="3"/>
      <c r="H515" s="3"/>
      <c r="I515" s="3"/>
      <c r="J515" s="3"/>
      <c r="K515" s="3"/>
      <c r="L515" s="3"/>
      <c r="M51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6" spans="1:13" x14ac:dyDescent="0.35">
      <c r="A516" s="3" t="s">
        <v>749</v>
      </c>
      <c r="B516" s="3"/>
      <c r="C516">
        <v>45217.488194444442</v>
      </c>
      <c r="D516" t="s">
        <v>1269</v>
      </c>
      <c r="E516">
        <v>94</v>
      </c>
      <c r="F516" t="s">
        <v>740</v>
      </c>
      <c r="G516" s="3"/>
      <c r="H516" s="3"/>
      <c r="I516" s="3"/>
      <c r="J516" s="3"/>
      <c r="K516" s="3"/>
      <c r="L516" s="3"/>
      <c r="M5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7" spans="1:13" x14ac:dyDescent="0.35">
      <c r="A517" s="3" t="s">
        <v>749</v>
      </c>
      <c r="B517" s="3"/>
      <c r="C517">
        <v>45224.988194444442</v>
      </c>
      <c r="D517" t="s">
        <v>1055</v>
      </c>
      <c r="E517">
        <v>39</v>
      </c>
      <c r="F517" t="s">
        <v>740</v>
      </c>
      <c r="G517" s="3"/>
      <c r="H517" s="3"/>
      <c r="I517" s="3"/>
      <c r="J517" s="3"/>
      <c r="K517" s="3"/>
      <c r="L517" s="3"/>
      <c r="M51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8" spans="1:13" x14ac:dyDescent="0.35">
      <c r="A518" s="3" t="s">
        <v>749</v>
      </c>
      <c r="B518" s="3"/>
      <c r="C518">
        <v>45220.927777777782</v>
      </c>
      <c r="D518" t="s">
        <v>1205</v>
      </c>
      <c r="E518">
        <v>22</v>
      </c>
      <c r="F518" t="s">
        <v>742</v>
      </c>
      <c r="G518" s="3"/>
      <c r="H518" s="3"/>
      <c r="I518" s="3"/>
      <c r="J518" s="3"/>
      <c r="K518" s="3"/>
      <c r="L518" s="3"/>
      <c r="M5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19" spans="1:13" x14ac:dyDescent="0.35">
      <c r="A519" s="3" t="s">
        <v>749</v>
      </c>
      <c r="B519" s="3"/>
      <c r="C519">
        <v>45219.633333333331</v>
      </c>
      <c r="D519" t="s">
        <v>1270</v>
      </c>
      <c r="E519">
        <v>18</v>
      </c>
      <c r="F519" t="s">
        <v>748</v>
      </c>
      <c r="G519" s="3"/>
      <c r="H519" s="3"/>
      <c r="I519" s="3"/>
      <c r="J519" s="3"/>
      <c r="K519" s="3"/>
      <c r="L519" s="3"/>
      <c r="M5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0" spans="1:13" x14ac:dyDescent="0.35">
      <c r="A520" s="3" t="s">
        <v>749</v>
      </c>
      <c r="B520" s="3"/>
      <c r="C520">
        <v>45230.303472222222</v>
      </c>
      <c r="D520" t="s">
        <v>932</v>
      </c>
      <c r="E520">
        <v>83</v>
      </c>
      <c r="F520" t="s">
        <v>748</v>
      </c>
      <c r="G520" s="3"/>
      <c r="H520" s="3"/>
      <c r="I520" s="3"/>
      <c r="J520" s="3"/>
      <c r="K520" s="3"/>
      <c r="L520" s="3"/>
      <c r="M5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1" spans="1:13" x14ac:dyDescent="0.35">
      <c r="A521" s="3" t="s">
        <v>749</v>
      </c>
      <c r="B521" s="3"/>
      <c r="C521">
        <v>45217.384722222218</v>
      </c>
      <c r="D521" t="s">
        <v>912</v>
      </c>
      <c r="E521">
        <v>99</v>
      </c>
      <c r="F521" t="s">
        <v>742</v>
      </c>
      <c r="G521" s="3"/>
      <c r="H521" s="3"/>
      <c r="I521" s="3"/>
      <c r="J521" s="3"/>
      <c r="K521" s="3"/>
      <c r="L521" s="3"/>
      <c r="M52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2" spans="1:13" x14ac:dyDescent="0.35">
      <c r="A522" s="3" t="s">
        <v>749</v>
      </c>
      <c r="B522" s="3"/>
      <c r="C522">
        <v>45230.40902777778</v>
      </c>
      <c r="D522" t="s">
        <v>821</v>
      </c>
      <c r="E522">
        <v>80</v>
      </c>
      <c r="F522" t="s">
        <v>742</v>
      </c>
      <c r="G522" s="3"/>
      <c r="H522" s="3"/>
      <c r="I522" s="3"/>
      <c r="J522" s="3"/>
      <c r="K522" s="3"/>
      <c r="L522" s="3"/>
      <c r="M5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3" spans="1:13" x14ac:dyDescent="0.35">
      <c r="A523" s="3" t="s">
        <v>749</v>
      </c>
      <c r="B523" s="3"/>
      <c r="C523">
        <v>45209.925694444442</v>
      </c>
      <c r="D523" t="s">
        <v>1271</v>
      </c>
      <c r="E523">
        <v>35</v>
      </c>
      <c r="F523" t="s">
        <v>740</v>
      </c>
      <c r="G523" s="3"/>
      <c r="H523" s="3"/>
      <c r="I523" s="3"/>
      <c r="J523" s="3"/>
      <c r="K523" s="3"/>
      <c r="L523" s="3"/>
      <c r="M5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4" spans="1:13" x14ac:dyDescent="0.35">
      <c r="A524" s="3" t="s">
        <v>749</v>
      </c>
      <c r="B524" s="3"/>
      <c r="C524">
        <v>45222.938194444447</v>
      </c>
      <c r="D524" t="s">
        <v>1272</v>
      </c>
      <c r="E524">
        <v>36</v>
      </c>
      <c r="F524" t="s">
        <v>740</v>
      </c>
      <c r="G524" s="3"/>
      <c r="H524" s="3"/>
      <c r="I524" s="3"/>
      <c r="J524" s="3"/>
      <c r="K524" s="3"/>
      <c r="L524" s="3"/>
      <c r="M5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5" spans="1:13" x14ac:dyDescent="0.35">
      <c r="A525" s="3" t="s">
        <v>794</v>
      </c>
      <c r="B525" s="3"/>
      <c r="C525">
        <v>45202.529166666667</v>
      </c>
      <c r="D525" t="s">
        <v>1273</v>
      </c>
      <c r="E525">
        <v>109</v>
      </c>
      <c r="F525" t="s">
        <v>742</v>
      </c>
      <c r="G525" s="3"/>
      <c r="H525" s="3"/>
      <c r="I525" s="3"/>
      <c r="J525" s="3"/>
      <c r="K525" s="3"/>
      <c r="L525" s="3"/>
      <c r="M5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6" spans="1:13" x14ac:dyDescent="0.35">
      <c r="A526" s="3" t="s">
        <v>794</v>
      </c>
      <c r="B526" s="3"/>
      <c r="C526">
        <v>45203.213888888888</v>
      </c>
      <c r="D526" t="s">
        <v>1274</v>
      </c>
      <c r="E526">
        <v>5</v>
      </c>
      <c r="F526" t="s">
        <v>740</v>
      </c>
      <c r="G526" s="3"/>
      <c r="H526" s="3"/>
      <c r="I526" s="3"/>
      <c r="J526" s="3"/>
      <c r="K526" s="3"/>
      <c r="L526" s="3"/>
      <c r="M5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7" spans="1:13" x14ac:dyDescent="0.35">
      <c r="A527" s="3" t="s">
        <v>794</v>
      </c>
      <c r="B527" s="3"/>
      <c r="C527">
        <v>45215.457638888889</v>
      </c>
      <c r="D527" t="s">
        <v>846</v>
      </c>
      <c r="E527">
        <v>100</v>
      </c>
      <c r="F527" t="s">
        <v>740</v>
      </c>
      <c r="G527" s="3"/>
      <c r="H527" s="3"/>
      <c r="I527" s="3"/>
      <c r="J527" s="3"/>
      <c r="K527" s="3"/>
      <c r="L527" s="3"/>
      <c r="M5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8" spans="1:13" x14ac:dyDescent="0.35">
      <c r="A528" s="3" t="s">
        <v>794</v>
      </c>
      <c r="B528" s="3"/>
      <c r="C528">
        <v>45207.011111111111</v>
      </c>
      <c r="D528" t="s">
        <v>795</v>
      </c>
      <c r="E528">
        <v>32</v>
      </c>
      <c r="F528" t="s">
        <v>740</v>
      </c>
      <c r="G528" s="3"/>
      <c r="H528" s="3"/>
      <c r="I528" s="3"/>
      <c r="J528" s="3"/>
      <c r="K528" s="3"/>
      <c r="L528" s="3"/>
      <c r="M5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29" spans="1:13" x14ac:dyDescent="0.35">
      <c r="A529" s="3" t="s">
        <v>794</v>
      </c>
      <c r="B529" s="3"/>
      <c r="C529">
        <v>45212.311111111107</v>
      </c>
      <c r="D529" t="s">
        <v>810</v>
      </c>
      <c r="E529">
        <v>79</v>
      </c>
      <c r="F529" t="s">
        <v>740</v>
      </c>
      <c r="G529" s="3"/>
      <c r="H529" s="3"/>
      <c r="I529" s="3"/>
      <c r="J529" s="3"/>
      <c r="K529" s="3"/>
      <c r="L529" s="3"/>
      <c r="M5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0" spans="1:13" x14ac:dyDescent="0.35">
      <c r="A530" s="3" t="s">
        <v>794</v>
      </c>
      <c r="B530" s="3"/>
      <c r="C530">
        <v>45224.347916666673</v>
      </c>
      <c r="D530" t="s">
        <v>899</v>
      </c>
      <c r="E530">
        <v>14</v>
      </c>
      <c r="F530" t="s">
        <v>740</v>
      </c>
      <c r="G530" s="3"/>
      <c r="H530" s="3"/>
      <c r="I530" s="3"/>
      <c r="J530" s="3"/>
      <c r="K530" s="3"/>
      <c r="L530" s="3"/>
      <c r="M5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1" spans="1:13" x14ac:dyDescent="0.35">
      <c r="A531" s="3" t="s">
        <v>794</v>
      </c>
      <c r="B531" s="3"/>
      <c r="C531">
        <v>45209.781944444447</v>
      </c>
      <c r="D531" t="s">
        <v>1254</v>
      </c>
      <c r="E531">
        <v>10</v>
      </c>
      <c r="F531" t="s">
        <v>742</v>
      </c>
      <c r="G531" s="3"/>
      <c r="H531" s="3"/>
      <c r="I531" s="3"/>
      <c r="J531" s="3"/>
      <c r="K531" s="3"/>
      <c r="L531" s="3"/>
      <c r="M53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2" spans="1:13" x14ac:dyDescent="0.35">
      <c r="A532" s="3" t="s">
        <v>794</v>
      </c>
      <c r="B532" s="3"/>
      <c r="C532">
        <v>45218.011111111111</v>
      </c>
      <c r="D532" t="s">
        <v>1275</v>
      </c>
      <c r="E532">
        <v>59</v>
      </c>
      <c r="F532" t="s">
        <v>740</v>
      </c>
      <c r="G532" s="3"/>
      <c r="H532" s="3"/>
      <c r="I532" s="3"/>
      <c r="J532" s="3"/>
      <c r="K532" s="3"/>
      <c r="L532" s="3"/>
      <c r="M5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3" spans="1:13" x14ac:dyDescent="0.35">
      <c r="A533" s="3" t="s">
        <v>794</v>
      </c>
      <c r="B533" s="3"/>
      <c r="C533">
        <v>45220.488888888889</v>
      </c>
      <c r="D533" t="s">
        <v>797</v>
      </c>
      <c r="E533">
        <v>49</v>
      </c>
      <c r="F533" t="s">
        <v>748</v>
      </c>
      <c r="G533" s="3"/>
      <c r="H533" s="3"/>
      <c r="I533" s="3"/>
      <c r="J533" s="3"/>
      <c r="K533" s="3"/>
      <c r="L533" s="3"/>
      <c r="M5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4" spans="1:13" x14ac:dyDescent="0.35">
      <c r="A534" s="3" t="s">
        <v>794</v>
      </c>
      <c r="B534" s="3"/>
      <c r="C534">
        <v>45207.070833333331</v>
      </c>
      <c r="D534" t="s">
        <v>1276</v>
      </c>
      <c r="E534">
        <v>94</v>
      </c>
      <c r="F534" t="s">
        <v>742</v>
      </c>
      <c r="G534" s="3"/>
      <c r="H534" s="3"/>
      <c r="I534" s="3"/>
      <c r="J534" s="3"/>
      <c r="K534" s="3"/>
      <c r="L534" s="3"/>
      <c r="M5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5" spans="1:13" x14ac:dyDescent="0.35">
      <c r="A535" s="3" t="s">
        <v>794</v>
      </c>
      <c r="B535" s="3"/>
      <c r="C535">
        <v>45203.59652777778</v>
      </c>
      <c r="D535" t="s">
        <v>819</v>
      </c>
      <c r="E535">
        <v>13</v>
      </c>
      <c r="F535" t="s">
        <v>742</v>
      </c>
      <c r="G535" s="3"/>
      <c r="H535" s="3"/>
      <c r="I535" s="3"/>
      <c r="J535" s="3"/>
      <c r="K535" s="3"/>
      <c r="L535" s="3"/>
      <c r="M5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6" spans="1:13" x14ac:dyDescent="0.35">
      <c r="A536" s="3" t="s">
        <v>794</v>
      </c>
      <c r="B536" s="3"/>
      <c r="C536">
        <v>45205.529861111107</v>
      </c>
      <c r="D536" t="s">
        <v>971</v>
      </c>
      <c r="E536">
        <v>74</v>
      </c>
      <c r="F536" t="s">
        <v>742</v>
      </c>
      <c r="G536" s="3"/>
      <c r="H536" s="3"/>
      <c r="I536" s="3"/>
      <c r="J536" s="3"/>
      <c r="K536" s="3"/>
      <c r="L536" s="3"/>
      <c r="M5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7" spans="1:13" x14ac:dyDescent="0.35">
      <c r="A537" s="3" t="s">
        <v>794</v>
      </c>
      <c r="B537" s="3"/>
      <c r="C537">
        <v>45216.950694444437</v>
      </c>
      <c r="D537" t="s">
        <v>1022</v>
      </c>
      <c r="E537">
        <v>12</v>
      </c>
      <c r="F537" t="s">
        <v>740</v>
      </c>
      <c r="G537" s="3"/>
      <c r="H537" s="3"/>
      <c r="I537" s="3"/>
      <c r="J537" s="3"/>
      <c r="K537" s="3"/>
      <c r="L537" s="3"/>
      <c r="M53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8" spans="1:13" x14ac:dyDescent="0.35">
      <c r="A538" s="3" t="s">
        <v>794</v>
      </c>
      <c r="B538" s="3"/>
      <c r="C538">
        <v>45209.921527777777</v>
      </c>
      <c r="D538" t="s">
        <v>956</v>
      </c>
      <c r="E538">
        <v>119</v>
      </c>
      <c r="F538" t="s">
        <v>740</v>
      </c>
      <c r="G538" s="3"/>
      <c r="H538" s="3"/>
      <c r="I538" s="3"/>
      <c r="J538" s="3"/>
      <c r="K538" s="3"/>
      <c r="L538" s="3"/>
      <c r="M5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39" spans="1:13" x14ac:dyDescent="0.35">
      <c r="A539" s="3" t="s">
        <v>794</v>
      </c>
      <c r="B539" s="3"/>
      <c r="C539">
        <v>45220.390972222223</v>
      </c>
      <c r="D539" t="s">
        <v>1253</v>
      </c>
      <c r="E539">
        <v>13</v>
      </c>
      <c r="F539" t="s">
        <v>742</v>
      </c>
      <c r="G539" s="3"/>
      <c r="H539" s="3"/>
      <c r="I539" s="3"/>
      <c r="J539" s="3"/>
      <c r="K539" s="3"/>
      <c r="L539" s="3"/>
      <c r="M53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0" spans="1:13" x14ac:dyDescent="0.35">
      <c r="A540" s="3" t="s">
        <v>794</v>
      </c>
      <c r="B540" s="3"/>
      <c r="C540">
        <v>45219.301388888889</v>
      </c>
      <c r="D540" t="s">
        <v>1031</v>
      </c>
      <c r="E540">
        <v>65</v>
      </c>
      <c r="F540" t="s">
        <v>740</v>
      </c>
      <c r="G540" s="3"/>
      <c r="H540" s="3"/>
      <c r="I540" s="3"/>
      <c r="J540" s="3"/>
      <c r="K540" s="3"/>
      <c r="L540" s="3"/>
      <c r="M5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1" spans="1:13" x14ac:dyDescent="0.35">
      <c r="A541" s="3" t="s">
        <v>794</v>
      </c>
      <c r="B541" s="3"/>
      <c r="C541">
        <v>45230.1875</v>
      </c>
      <c r="D541" t="s">
        <v>1277</v>
      </c>
      <c r="E541">
        <v>9</v>
      </c>
      <c r="F541" t="s">
        <v>748</v>
      </c>
      <c r="G541" s="3"/>
      <c r="H541" s="3"/>
      <c r="I541" s="3"/>
      <c r="J541" s="3"/>
      <c r="K541" s="3"/>
      <c r="L541" s="3"/>
      <c r="M5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2" spans="1:13" x14ac:dyDescent="0.35">
      <c r="A542" s="3" t="s">
        <v>794</v>
      </c>
      <c r="B542" s="3"/>
      <c r="C542">
        <v>45204.615972222222</v>
      </c>
      <c r="D542" t="s">
        <v>1278</v>
      </c>
      <c r="E542">
        <v>41</v>
      </c>
      <c r="F542" t="s">
        <v>748</v>
      </c>
      <c r="G542" s="3"/>
      <c r="H542" s="3"/>
      <c r="I542" s="3"/>
      <c r="J542" s="3"/>
      <c r="K542" s="3"/>
      <c r="L542" s="3"/>
      <c r="M5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3" spans="1:13" x14ac:dyDescent="0.35">
      <c r="A543" s="3" t="s">
        <v>794</v>
      </c>
      <c r="B543" s="3"/>
      <c r="C543">
        <v>45219.476388888892</v>
      </c>
      <c r="D543" t="s">
        <v>951</v>
      </c>
      <c r="E543">
        <v>57</v>
      </c>
      <c r="F543" t="s">
        <v>740</v>
      </c>
      <c r="G543" s="3"/>
      <c r="H543" s="3"/>
      <c r="I543" s="3"/>
      <c r="J543" s="3"/>
      <c r="K543" s="3"/>
      <c r="L543" s="3"/>
      <c r="M54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4" spans="1:13" x14ac:dyDescent="0.35">
      <c r="A544" s="3" t="s">
        <v>794</v>
      </c>
      <c r="B544" s="3"/>
      <c r="C544">
        <v>45222.748611111107</v>
      </c>
      <c r="D544" t="s">
        <v>902</v>
      </c>
      <c r="E544">
        <v>28</v>
      </c>
      <c r="F544" t="s">
        <v>742</v>
      </c>
      <c r="G544" s="3"/>
      <c r="H544" s="3"/>
      <c r="I544" s="3"/>
      <c r="J544" s="3"/>
      <c r="K544" s="3"/>
      <c r="L544" s="3"/>
      <c r="M54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5" spans="1:13" x14ac:dyDescent="0.35">
      <c r="A545" s="3" t="s">
        <v>794</v>
      </c>
      <c r="B545" s="3"/>
      <c r="C545">
        <v>45215.743750000001</v>
      </c>
      <c r="D545" t="s">
        <v>1279</v>
      </c>
      <c r="E545">
        <v>103</v>
      </c>
      <c r="F545" t="s">
        <v>740</v>
      </c>
      <c r="G545" s="3"/>
      <c r="H545" s="3"/>
      <c r="I545" s="3"/>
      <c r="J545" s="3"/>
      <c r="K545" s="3"/>
      <c r="L545" s="3"/>
      <c r="M5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6" spans="1:13" x14ac:dyDescent="0.35">
      <c r="A546" s="3" t="s">
        <v>794</v>
      </c>
      <c r="B546" s="3"/>
      <c r="C546">
        <v>45221.283333333333</v>
      </c>
      <c r="D546" t="s">
        <v>897</v>
      </c>
      <c r="E546">
        <v>22</v>
      </c>
      <c r="F546" t="s">
        <v>740</v>
      </c>
      <c r="G546" s="3"/>
      <c r="H546" s="3"/>
      <c r="I546" s="3"/>
      <c r="J546" s="3"/>
      <c r="K546" s="3"/>
      <c r="L546" s="3"/>
      <c r="M5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7" spans="1:13" x14ac:dyDescent="0.35">
      <c r="A547" s="3" t="s">
        <v>794</v>
      </c>
      <c r="B547" s="3"/>
      <c r="C547">
        <v>45207.908333333333</v>
      </c>
      <c r="D547" t="s">
        <v>1280</v>
      </c>
      <c r="E547">
        <v>103</v>
      </c>
      <c r="F547" t="s">
        <v>740</v>
      </c>
      <c r="G547" s="3"/>
      <c r="H547" s="3"/>
      <c r="I547" s="3"/>
      <c r="J547" s="3"/>
      <c r="K547" s="3"/>
      <c r="L547" s="3"/>
      <c r="M54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8" spans="1:13" x14ac:dyDescent="0.35">
      <c r="A548" s="3" t="s">
        <v>794</v>
      </c>
      <c r="B548" s="3"/>
      <c r="C548">
        <v>45219.106249999997</v>
      </c>
      <c r="D548" t="s">
        <v>1281</v>
      </c>
      <c r="E548">
        <v>87</v>
      </c>
      <c r="F548" t="s">
        <v>742</v>
      </c>
      <c r="G548" s="3"/>
      <c r="H548" s="3"/>
      <c r="I548" s="3"/>
      <c r="J548" s="3"/>
      <c r="K548" s="3"/>
      <c r="L548" s="3"/>
      <c r="M54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49" spans="1:13" x14ac:dyDescent="0.35">
      <c r="A549" s="3" t="s">
        <v>794</v>
      </c>
      <c r="B549" s="3"/>
      <c r="C549">
        <v>45214.697916666657</v>
      </c>
      <c r="D549" t="s">
        <v>820</v>
      </c>
      <c r="E549">
        <v>98</v>
      </c>
      <c r="F549" t="s">
        <v>748</v>
      </c>
      <c r="G549" s="3"/>
      <c r="H549" s="3"/>
      <c r="I549" s="3"/>
      <c r="J549" s="3"/>
      <c r="K549" s="3"/>
      <c r="L549" s="3"/>
      <c r="M5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0" spans="1:13" x14ac:dyDescent="0.35">
      <c r="A550" s="3" t="s">
        <v>794</v>
      </c>
      <c r="B550" s="3"/>
      <c r="C550">
        <v>45211.123611111107</v>
      </c>
      <c r="D550" t="s">
        <v>1092</v>
      </c>
      <c r="E550">
        <v>87</v>
      </c>
      <c r="F550" t="s">
        <v>740</v>
      </c>
      <c r="G550" s="3"/>
      <c r="H550" s="3"/>
      <c r="I550" s="3"/>
      <c r="J550" s="3"/>
      <c r="K550" s="3"/>
      <c r="L550" s="3"/>
      <c r="M5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1" spans="1:13" x14ac:dyDescent="0.35">
      <c r="A551" s="3" t="s">
        <v>794</v>
      </c>
      <c r="B551" s="3"/>
      <c r="C551">
        <v>45218.127083333333</v>
      </c>
      <c r="D551" t="s">
        <v>873</v>
      </c>
      <c r="E551">
        <v>58</v>
      </c>
      <c r="F551" t="s">
        <v>742</v>
      </c>
      <c r="G551" s="3"/>
      <c r="H551" s="3"/>
      <c r="I551" s="3"/>
      <c r="J551" s="3"/>
      <c r="K551" s="3"/>
      <c r="L551" s="3"/>
      <c r="M5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2" spans="1:13" x14ac:dyDescent="0.35">
      <c r="A552" s="3" t="s">
        <v>794</v>
      </c>
      <c r="B552" s="3"/>
      <c r="C552">
        <v>45226.747916666667</v>
      </c>
      <c r="D552" t="s">
        <v>1282</v>
      </c>
      <c r="E552">
        <v>52</v>
      </c>
      <c r="F552" t="s">
        <v>742</v>
      </c>
      <c r="G552" s="3"/>
      <c r="H552" s="3"/>
      <c r="I552" s="3"/>
      <c r="J552" s="3"/>
      <c r="K552" s="3"/>
      <c r="L552" s="3"/>
      <c r="M5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3" spans="1:13" x14ac:dyDescent="0.35">
      <c r="A553" s="3" t="s">
        <v>794</v>
      </c>
      <c r="B553" s="3"/>
      <c r="C553">
        <v>45216.275000000001</v>
      </c>
      <c r="D553" t="s">
        <v>805</v>
      </c>
      <c r="E553">
        <v>119</v>
      </c>
      <c r="F553" t="s">
        <v>748</v>
      </c>
      <c r="G553" s="3"/>
      <c r="H553" s="3"/>
      <c r="I553" s="3"/>
      <c r="J553" s="3"/>
      <c r="K553" s="3"/>
      <c r="L553" s="3"/>
      <c r="M55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4" spans="1:13" x14ac:dyDescent="0.35">
      <c r="A554" s="3" t="s">
        <v>794</v>
      </c>
      <c r="B554" s="3"/>
      <c r="C554">
        <v>45217.173611111109</v>
      </c>
      <c r="D554" t="s">
        <v>831</v>
      </c>
      <c r="E554">
        <v>53</v>
      </c>
      <c r="F554" t="s">
        <v>742</v>
      </c>
      <c r="G554" s="3"/>
      <c r="H554" s="3"/>
      <c r="I554" s="3"/>
      <c r="J554" s="3"/>
      <c r="K554" s="3"/>
      <c r="L554" s="3"/>
      <c r="M55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5" spans="1:13" x14ac:dyDescent="0.35">
      <c r="A555" s="3" t="s">
        <v>794</v>
      </c>
      <c r="B555" s="3"/>
      <c r="C555">
        <v>45210.686111111107</v>
      </c>
      <c r="D555" t="s">
        <v>1283</v>
      </c>
      <c r="E555">
        <v>62</v>
      </c>
      <c r="F555" t="s">
        <v>742</v>
      </c>
      <c r="G555" s="3"/>
      <c r="H555" s="3"/>
      <c r="I555" s="3"/>
      <c r="J555" s="3"/>
      <c r="K555" s="3"/>
      <c r="L555" s="3"/>
      <c r="M55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6" spans="1:13" x14ac:dyDescent="0.35">
      <c r="A556" s="3" t="s">
        <v>794</v>
      </c>
      <c r="B556" s="3"/>
      <c r="C556">
        <v>45203.884027777778</v>
      </c>
      <c r="D556" t="s">
        <v>1284</v>
      </c>
      <c r="E556">
        <v>116</v>
      </c>
      <c r="F556" t="s">
        <v>742</v>
      </c>
      <c r="G556" s="3"/>
      <c r="H556" s="3"/>
      <c r="I556" s="3"/>
      <c r="J556" s="3"/>
      <c r="K556" s="3"/>
      <c r="L556" s="3"/>
      <c r="M55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7" spans="1:13" x14ac:dyDescent="0.35">
      <c r="A557" s="3" t="s">
        <v>794</v>
      </c>
      <c r="B557" s="3"/>
      <c r="C557">
        <v>45222.771527777782</v>
      </c>
      <c r="D557" t="s">
        <v>1025</v>
      </c>
      <c r="E557">
        <v>53</v>
      </c>
      <c r="F557" t="s">
        <v>748</v>
      </c>
      <c r="G557" s="3"/>
      <c r="H557" s="3"/>
      <c r="I557" s="3"/>
      <c r="J557" s="3"/>
      <c r="K557" s="3"/>
      <c r="L557" s="3"/>
      <c r="M55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8" spans="1:13" x14ac:dyDescent="0.35">
      <c r="A558" s="3" t="s">
        <v>794</v>
      </c>
      <c r="B558" s="3"/>
      <c r="C558">
        <v>45202.686111111107</v>
      </c>
      <c r="D558" t="s">
        <v>1285</v>
      </c>
      <c r="E558">
        <v>53</v>
      </c>
      <c r="F558" t="s">
        <v>740</v>
      </c>
      <c r="G558" s="3"/>
      <c r="H558" s="3"/>
      <c r="I558" s="3"/>
      <c r="J558" s="3"/>
      <c r="K558" s="3"/>
      <c r="L558" s="3"/>
      <c r="M55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59" spans="1:13" x14ac:dyDescent="0.35">
      <c r="A559" s="3" t="s">
        <v>794</v>
      </c>
      <c r="B559" s="3"/>
      <c r="C559">
        <v>45225.061805555553</v>
      </c>
      <c r="D559" t="s">
        <v>1286</v>
      </c>
      <c r="E559">
        <v>15</v>
      </c>
      <c r="F559" t="s">
        <v>748</v>
      </c>
      <c r="G559" s="3"/>
      <c r="H559" s="3"/>
      <c r="I559" s="3"/>
      <c r="J559" s="3"/>
      <c r="K559" s="3"/>
      <c r="L559" s="3"/>
      <c r="M5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0" spans="1:13" x14ac:dyDescent="0.35">
      <c r="A560" s="3" t="s">
        <v>794</v>
      </c>
      <c r="B560" s="3"/>
      <c r="C560">
        <v>45204.68472222222</v>
      </c>
      <c r="D560" t="s">
        <v>1287</v>
      </c>
      <c r="E560">
        <v>92</v>
      </c>
      <c r="F560" t="s">
        <v>740</v>
      </c>
      <c r="G560" s="3"/>
      <c r="H560" s="3"/>
      <c r="I560" s="3"/>
      <c r="J560" s="3"/>
      <c r="K560" s="3"/>
      <c r="L560" s="3"/>
      <c r="M5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1" spans="1:13" x14ac:dyDescent="0.35">
      <c r="A561" s="3" t="s">
        <v>794</v>
      </c>
      <c r="B561" s="3"/>
      <c r="C561">
        <v>45214.752083333333</v>
      </c>
      <c r="D561" t="s">
        <v>1288</v>
      </c>
      <c r="E561">
        <v>89</v>
      </c>
      <c r="F561" t="s">
        <v>742</v>
      </c>
      <c r="G561" s="3"/>
      <c r="H561" s="3"/>
      <c r="I561" s="3"/>
      <c r="J561" s="3"/>
      <c r="K561" s="3"/>
      <c r="L561" s="3"/>
      <c r="M5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2" spans="1:13" x14ac:dyDescent="0.35">
      <c r="A562" s="3" t="s">
        <v>794</v>
      </c>
      <c r="B562" s="3"/>
      <c r="C562">
        <v>45217.613194444442</v>
      </c>
      <c r="E562">
        <v>116</v>
      </c>
      <c r="F562" t="s">
        <v>742</v>
      </c>
      <c r="G562" s="3"/>
      <c r="H562" s="3"/>
      <c r="I562" s="3"/>
      <c r="J562" s="3"/>
      <c r="K562" s="3"/>
      <c r="L562" s="3"/>
      <c r="M5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3" spans="1:13" x14ac:dyDescent="0.35">
      <c r="A563" s="3" t="s">
        <v>794</v>
      </c>
      <c r="B563" s="3"/>
      <c r="C563">
        <v>45225.406944444447</v>
      </c>
      <c r="D563" t="s">
        <v>935</v>
      </c>
      <c r="E563">
        <v>74</v>
      </c>
      <c r="F563" t="s">
        <v>740</v>
      </c>
      <c r="G563" s="3"/>
      <c r="H563" s="3"/>
      <c r="I563" s="3"/>
      <c r="J563" s="3"/>
      <c r="K563" s="3"/>
      <c r="L563" s="3"/>
      <c r="M56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4" spans="1:13" x14ac:dyDescent="0.35">
      <c r="A564" s="3" t="s">
        <v>794</v>
      </c>
      <c r="B564" s="3"/>
      <c r="C564">
        <v>45200.511111111111</v>
      </c>
      <c r="D564" t="s">
        <v>861</v>
      </c>
      <c r="E564">
        <v>22</v>
      </c>
      <c r="F564" t="s">
        <v>748</v>
      </c>
      <c r="G564" s="3"/>
      <c r="H564" s="3"/>
      <c r="I564" s="3"/>
      <c r="J564" s="3"/>
      <c r="K564" s="3"/>
      <c r="L564" s="3"/>
      <c r="M5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5" spans="1:13" x14ac:dyDescent="0.35">
      <c r="A565" s="3" t="s">
        <v>750</v>
      </c>
      <c r="B565" s="3"/>
      <c r="C565">
        <v>45221.565972222219</v>
      </c>
      <c r="D565" t="s">
        <v>751</v>
      </c>
      <c r="E565">
        <v>87</v>
      </c>
      <c r="F565" t="s">
        <v>742</v>
      </c>
      <c r="G565" s="3"/>
      <c r="H565" s="3"/>
      <c r="I565" s="3"/>
      <c r="J565" s="3"/>
      <c r="K565" s="3"/>
      <c r="L565" s="3"/>
      <c r="M5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6" spans="1:13" x14ac:dyDescent="0.35">
      <c r="A566" s="3" t="s">
        <v>750</v>
      </c>
      <c r="B566" s="3"/>
      <c r="C566">
        <v>45215.056944444441</v>
      </c>
      <c r="D566" t="s">
        <v>897</v>
      </c>
      <c r="E566">
        <v>99</v>
      </c>
      <c r="F566" t="s">
        <v>742</v>
      </c>
      <c r="G566" s="3"/>
      <c r="H566" s="3"/>
      <c r="I566" s="3"/>
      <c r="J566" s="3"/>
      <c r="K566" s="3"/>
      <c r="L566" s="3"/>
      <c r="M56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7" spans="1:13" x14ac:dyDescent="0.35">
      <c r="A567" s="3" t="s">
        <v>750</v>
      </c>
      <c r="B567" s="3"/>
      <c r="C567">
        <v>45230.862500000003</v>
      </c>
      <c r="D567" t="s">
        <v>1064</v>
      </c>
      <c r="E567">
        <v>67</v>
      </c>
      <c r="F567" t="s">
        <v>740</v>
      </c>
      <c r="G567" s="3"/>
      <c r="H567" s="3"/>
      <c r="I567" s="3"/>
      <c r="J567" s="3"/>
      <c r="K567" s="3"/>
      <c r="L567" s="3"/>
      <c r="M56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8" spans="1:13" x14ac:dyDescent="0.35">
      <c r="A568" s="3" t="s">
        <v>750</v>
      </c>
      <c r="B568" s="3"/>
      <c r="C568">
        <v>45212.680555555547</v>
      </c>
      <c r="D568" t="s">
        <v>1289</v>
      </c>
      <c r="E568">
        <v>63</v>
      </c>
      <c r="F568" t="s">
        <v>740</v>
      </c>
      <c r="G568" s="3"/>
      <c r="H568" s="3"/>
      <c r="I568" s="3"/>
      <c r="J568" s="3"/>
      <c r="K568" s="3"/>
      <c r="L568" s="3"/>
      <c r="M5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69" spans="1:13" x14ac:dyDescent="0.35">
      <c r="A569" s="3" t="s">
        <v>750</v>
      </c>
      <c r="B569" s="3"/>
      <c r="C569">
        <v>45222.55972222222</v>
      </c>
      <c r="D569" t="s">
        <v>1290</v>
      </c>
      <c r="E569">
        <v>26</v>
      </c>
      <c r="F569" t="s">
        <v>748</v>
      </c>
      <c r="G569" s="3"/>
      <c r="H569" s="3"/>
      <c r="I569" s="3"/>
      <c r="J569" s="3"/>
      <c r="K569" s="3"/>
      <c r="L569" s="3"/>
      <c r="M5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0" spans="1:13" x14ac:dyDescent="0.35">
      <c r="A570" s="3" t="s">
        <v>750</v>
      </c>
      <c r="B570" s="3"/>
      <c r="C570">
        <v>45204.39166666667</v>
      </c>
      <c r="D570" t="s">
        <v>1112</v>
      </c>
      <c r="E570">
        <v>98</v>
      </c>
      <c r="F570" t="s">
        <v>748</v>
      </c>
      <c r="G570" s="3"/>
      <c r="H570" s="3"/>
      <c r="I570" s="3"/>
      <c r="J570" s="3"/>
      <c r="K570" s="3"/>
      <c r="L570" s="3"/>
      <c r="M57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1" spans="1:13" x14ac:dyDescent="0.35">
      <c r="A571" s="3" t="s">
        <v>750</v>
      </c>
      <c r="B571" s="3"/>
      <c r="C571">
        <v>45205.729166666657</v>
      </c>
      <c r="D571" t="s">
        <v>896</v>
      </c>
      <c r="E571">
        <v>106</v>
      </c>
      <c r="F571" t="s">
        <v>748</v>
      </c>
      <c r="G571" s="3"/>
      <c r="H571" s="3"/>
      <c r="I571" s="3"/>
      <c r="J571" s="3"/>
      <c r="K571" s="3"/>
      <c r="L571" s="3"/>
      <c r="M57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2" spans="1:13" x14ac:dyDescent="0.35">
      <c r="A572" s="3" t="s">
        <v>750</v>
      </c>
      <c r="B572" s="3"/>
      <c r="C572">
        <v>45207.304861111108</v>
      </c>
      <c r="D572" t="s">
        <v>1024</v>
      </c>
      <c r="E572">
        <v>50</v>
      </c>
      <c r="F572" t="s">
        <v>742</v>
      </c>
      <c r="G572" s="3"/>
      <c r="H572" s="3"/>
      <c r="I572" s="3"/>
      <c r="J572" s="3"/>
      <c r="K572" s="3"/>
      <c r="L572" s="3"/>
      <c r="M57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3" spans="1:13" x14ac:dyDescent="0.35">
      <c r="A573" s="3" t="s">
        <v>750</v>
      </c>
      <c r="B573" s="3"/>
      <c r="C573">
        <v>45227.92291666667</v>
      </c>
      <c r="D573" t="s">
        <v>1099</v>
      </c>
      <c r="E573">
        <v>26</v>
      </c>
      <c r="F573" t="s">
        <v>748</v>
      </c>
      <c r="G573" s="3"/>
      <c r="H573" s="3"/>
      <c r="I573" s="3"/>
      <c r="J573" s="3"/>
      <c r="K573" s="3"/>
      <c r="L573" s="3"/>
      <c r="M5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4" spans="1:13" x14ac:dyDescent="0.35">
      <c r="A574" s="3" t="s">
        <v>750</v>
      </c>
      <c r="B574" s="3"/>
      <c r="C574">
        <v>45225.623611111107</v>
      </c>
      <c r="D574" t="s">
        <v>898</v>
      </c>
      <c r="E574">
        <v>22</v>
      </c>
      <c r="F574" t="s">
        <v>740</v>
      </c>
      <c r="G574" s="3"/>
      <c r="H574" s="3"/>
      <c r="I574" s="3"/>
      <c r="J574" s="3"/>
      <c r="K574" s="3"/>
      <c r="L574" s="3"/>
      <c r="M5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5" spans="1:13" x14ac:dyDescent="0.35">
      <c r="A575" s="3" t="s">
        <v>750</v>
      </c>
      <c r="B575" s="3"/>
      <c r="C575">
        <v>45201.726388888892</v>
      </c>
      <c r="D575" t="s">
        <v>838</v>
      </c>
      <c r="E575">
        <v>97</v>
      </c>
      <c r="F575" t="s">
        <v>742</v>
      </c>
      <c r="G575" s="3"/>
      <c r="H575" s="3"/>
      <c r="I575" s="3"/>
      <c r="J575" s="3"/>
      <c r="K575" s="3"/>
      <c r="L575" s="3"/>
      <c r="M5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6" spans="1:13" x14ac:dyDescent="0.35">
      <c r="A576" s="3" t="s">
        <v>750</v>
      </c>
      <c r="B576" s="3"/>
      <c r="C576">
        <v>45230.565972222219</v>
      </c>
      <c r="D576" t="s">
        <v>1112</v>
      </c>
      <c r="E576">
        <v>74</v>
      </c>
      <c r="F576" t="s">
        <v>740</v>
      </c>
      <c r="G576" s="3"/>
      <c r="H576" s="3"/>
      <c r="I576" s="3"/>
      <c r="J576" s="3"/>
      <c r="K576" s="3"/>
      <c r="L576" s="3"/>
      <c r="M5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7" spans="1:13" x14ac:dyDescent="0.35">
      <c r="A577" s="3" t="s">
        <v>750</v>
      </c>
      <c r="B577" s="3"/>
      <c r="C577">
        <v>45216.183333333327</v>
      </c>
      <c r="D577" t="s">
        <v>884</v>
      </c>
      <c r="E577">
        <v>67</v>
      </c>
      <c r="F577" t="s">
        <v>742</v>
      </c>
      <c r="G577" s="3"/>
      <c r="H577" s="3"/>
      <c r="I577" s="3"/>
      <c r="J577" s="3"/>
      <c r="K577" s="3"/>
      <c r="L577" s="3"/>
      <c r="M5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8" spans="1:13" x14ac:dyDescent="0.35">
      <c r="A578" s="3" t="s">
        <v>750</v>
      </c>
      <c r="B578" s="3"/>
      <c r="C578">
        <v>45207.342361111107</v>
      </c>
      <c r="D578" t="s">
        <v>1291</v>
      </c>
      <c r="E578">
        <v>28</v>
      </c>
      <c r="F578" t="s">
        <v>740</v>
      </c>
      <c r="G578" s="3"/>
      <c r="H578" s="3"/>
      <c r="I578" s="3"/>
      <c r="J578" s="3"/>
      <c r="K578" s="3"/>
      <c r="L578" s="3"/>
      <c r="M5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79" spans="1:13" x14ac:dyDescent="0.35">
      <c r="A579" s="3" t="s">
        <v>750</v>
      </c>
      <c r="B579" s="3"/>
      <c r="C579">
        <v>45210.836805555547</v>
      </c>
      <c r="D579" t="s">
        <v>945</v>
      </c>
      <c r="E579">
        <v>118</v>
      </c>
      <c r="F579" t="s">
        <v>740</v>
      </c>
      <c r="G579" s="3"/>
      <c r="H579" s="3"/>
      <c r="I579" s="3"/>
      <c r="J579" s="3"/>
      <c r="K579" s="3"/>
      <c r="L579" s="3"/>
      <c r="M5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0" spans="1:13" x14ac:dyDescent="0.35">
      <c r="A580" s="3" t="s">
        <v>750</v>
      </c>
      <c r="B580" s="3"/>
      <c r="C580">
        <v>45229.620833333327</v>
      </c>
      <c r="D580" t="s">
        <v>940</v>
      </c>
      <c r="E580">
        <v>74</v>
      </c>
      <c r="F580" t="s">
        <v>748</v>
      </c>
      <c r="G580" s="3"/>
      <c r="H580" s="3"/>
      <c r="I580" s="3"/>
      <c r="J580" s="3"/>
      <c r="K580" s="3"/>
      <c r="L580" s="3"/>
      <c r="M5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1" spans="1:13" x14ac:dyDescent="0.35">
      <c r="A581" s="3" t="s">
        <v>750</v>
      </c>
      <c r="B581" s="3"/>
      <c r="C581">
        <v>45211.106944444437</v>
      </c>
      <c r="D581" t="s">
        <v>866</v>
      </c>
      <c r="E581">
        <v>87</v>
      </c>
      <c r="F581" t="s">
        <v>748</v>
      </c>
      <c r="G581" s="3"/>
      <c r="H581" s="3"/>
      <c r="I581" s="3"/>
      <c r="J581" s="3"/>
      <c r="K581" s="3"/>
      <c r="L581" s="3"/>
      <c r="M58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2" spans="1:13" x14ac:dyDescent="0.35">
      <c r="A582" s="3" t="s">
        <v>750</v>
      </c>
      <c r="B582" s="3"/>
      <c r="C582">
        <v>45223.252083333333</v>
      </c>
      <c r="D582" t="s">
        <v>964</v>
      </c>
      <c r="E582">
        <v>12</v>
      </c>
      <c r="F582" t="s">
        <v>742</v>
      </c>
      <c r="G582" s="3"/>
      <c r="H582" s="3"/>
      <c r="I582" s="3"/>
      <c r="J582" s="3"/>
      <c r="K582" s="3"/>
      <c r="L582" s="3"/>
      <c r="M5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3" spans="1:13" x14ac:dyDescent="0.35">
      <c r="A583" s="3" t="s">
        <v>750</v>
      </c>
      <c r="B583" s="3"/>
      <c r="C583">
        <v>45208.529861111107</v>
      </c>
      <c r="D583" t="s">
        <v>1292</v>
      </c>
      <c r="E583">
        <v>72</v>
      </c>
      <c r="F583" t="s">
        <v>748</v>
      </c>
      <c r="G583" s="3"/>
      <c r="H583" s="3"/>
      <c r="I583" s="3"/>
      <c r="J583" s="3"/>
      <c r="K583" s="3"/>
      <c r="L583" s="3"/>
      <c r="M58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4" spans="1:13" x14ac:dyDescent="0.35">
      <c r="A584" s="3" t="s">
        <v>750</v>
      </c>
      <c r="B584" s="3"/>
      <c r="C584">
        <v>45219.793055555558</v>
      </c>
      <c r="D584" t="s">
        <v>1157</v>
      </c>
      <c r="E584">
        <v>9</v>
      </c>
      <c r="F584" t="s">
        <v>742</v>
      </c>
      <c r="G584" s="3"/>
      <c r="H584" s="3"/>
      <c r="I584" s="3"/>
      <c r="J584" s="3"/>
      <c r="K584" s="3"/>
      <c r="L584" s="3"/>
      <c r="M5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5" spans="1:13" x14ac:dyDescent="0.35">
      <c r="A585" s="3" t="s">
        <v>750</v>
      </c>
      <c r="B585" s="3"/>
      <c r="C585">
        <v>45227.091666666667</v>
      </c>
      <c r="D585" t="s">
        <v>811</v>
      </c>
      <c r="E585">
        <v>112</v>
      </c>
      <c r="F585" t="s">
        <v>740</v>
      </c>
      <c r="G585" s="3"/>
      <c r="H585" s="3"/>
      <c r="I585" s="3"/>
      <c r="J585" s="3"/>
      <c r="K585" s="3"/>
      <c r="L585" s="3"/>
      <c r="M5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6" spans="1:13" x14ac:dyDescent="0.35">
      <c r="A586" s="3" t="s">
        <v>750</v>
      </c>
      <c r="B586" s="3"/>
      <c r="C586">
        <v>45225.781944444447</v>
      </c>
      <c r="D586" t="s">
        <v>792</v>
      </c>
      <c r="E586">
        <v>113</v>
      </c>
      <c r="F586" t="s">
        <v>742</v>
      </c>
      <c r="G586" s="3"/>
      <c r="H586" s="3"/>
      <c r="I586" s="3"/>
      <c r="J586" s="3"/>
      <c r="K586" s="3"/>
      <c r="L586" s="3"/>
      <c r="M58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7" spans="1:13" x14ac:dyDescent="0.35">
      <c r="A587" s="3" t="s">
        <v>750</v>
      </c>
      <c r="B587" s="3"/>
      <c r="C587">
        <v>45221.717361111107</v>
      </c>
      <c r="D587" t="s">
        <v>1040</v>
      </c>
      <c r="E587">
        <v>14</v>
      </c>
      <c r="F587" t="s">
        <v>740</v>
      </c>
      <c r="G587" s="3"/>
      <c r="H587" s="3"/>
      <c r="I587" s="3"/>
      <c r="J587" s="3"/>
      <c r="K587" s="3"/>
      <c r="L587" s="3"/>
      <c r="M58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8" spans="1:13" x14ac:dyDescent="0.35">
      <c r="A588" s="3" t="s">
        <v>750</v>
      </c>
      <c r="B588" s="3"/>
      <c r="C588">
        <v>45215.288194444453</v>
      </c>
      <c r="D588" t="s">
        <v>789</v>
      </c>
      <c r="E588">
        <v>109</v>
      </c>
      <c r="F588" t="s">
        <v>740</v>
      </c>
      <c r="G588" s="3"/>
      <c r="H588" s="3"/>
      <c r="I588" s="3"/>
      <c r="J588" s="3"/>
      <c r="K588" s="3"/>
      <c r="L588" s="3"/>
      <c r="M58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89" spans="1:13" x14ac:dyDescent="0.35">
      <c r="A589" s="3" t="s">
        <v>750</v>
      </c>
      <c r="B589" s="3"/>
      <c r="C589">
        <v>45229.429861111108</v>
      </c>
      <c r="D589" t="s">
        <v>1196</v>
      </c>
      <c r="E589">
        <v>90</v>
      </c>
      <c r="F589" t="s">
        <v>740</v>
      </c>
      <c r="G589" s="3"/>
      <c r="H589" s="3"/>
      <c r="I589" s="3"/>
      <c r="J589" s="3"/>
      <c r="K589" s="3"/>
      <c r="L589" s="3"/>
      <c r="M58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0" spans="1:13" x14ac:dyDescent="0.35">
      <c r="A590" s="3" t="s">
        <v>750</v>
      </c>
      <c r="B590" s="3"/>
      <c r="C590">
        <v>45230.009027777778</v>
      </c>
      <c r="D590" t="s">
        <v>803</v>
      </c>
      <c r="E590">
        <v>11</v>
      </c>
      <c r="F590" t="s">
        <v>742</v>
      </c>
      <c r="G590" s="3"/>
      <c r="H590" s="3"/>
      <c r="I590" s="3"/>
      <c r="J590" s="3"/>
      <c r="K590" s="3"/>
      <c r="L590" s="3"/>
      <c r="M59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1" spans="1:13" x14ac:dyDescent="0.35">
      <c r="A591" s="3" t="s">
        <v>750</v>
      </c>
      <c r="B591" s="3"/>
      <c r="C591">
        <v>45229.282638888893</v>
      </c>
      <c r="D591" t="s">
        <v>1048</v>
      </c>
      <c r="E591">
        <v>102</v>
      </c>
      <c r="F591" t="s">
        <v>742</v>
      </c>
      <c r="G591" s="3"/>
      <c r="H591" s="3"/>
      <c r="I591" s="3"/>
      <c r="J591" s="3"/>
      <c r="K591" s="3"/>
      <c r="L591" s="3"/>
      <c r="M59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2" spans="1:13" x14ac:dyDescent="0.35">
      <c r="A592" s="3" t="s">
        <v>750</v>
      </c>
      <c r="B592" s="3"/>
      <c r="C592">
        <v>45203.991666666669</v>
      </c>
      <c r="D592" t="s">
        <v>1293</v>
      </c>
      <c r="E592">
        <v>5</v>
      </c>
      <c r="F592" t="s">
        <v>748</v>
      </c>
      <c r="G592" s="3"/>
      <c r="H592" s="3"/>
      <c r="I592" s="3"/>
      <c r="J592" s="3"/>
      <c r="K592" s="3"/>
      <c r="L592" s="3"/>
      <c r="M5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3" spans="1:13" x14ac:dyDescent="0.35">
      <c r="A593" s="3" t="s">
        <v>750</v>
      </c>
      <c r="B593" s="3"/>
      <c r="C593">
        <v>45215.322222222218</v>
      </c>
      <c r="D593" t="s">
        <v>1294</v>
      </c>
      <c r="E593">
        <v>57</v>
      </c>
      <c r="F593" t="s">
        <v>748</v>
      </c>
      <c r="G593" s="3"/>
      <c r="H593" s="3"/>
      <c r="I593" s="3"/>
      <c r="J593" s="3"/>
      <c r="K593" s="3"/>
      <c r="L593" s="3"/>
      <c r="M59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4" spans="1:13" x14ac:dyDescent="0.35">
      <c r="A594" s="3" t="s">
        <v>750</v>
      </c>
      <c r="B594" s="3"/>
      <c r="C594">
        <v>45219.925694444442</v>
      </c>
      <c r="D594" t="s">
        <v>1295</v>
      </c>
      <c r="E594">
        <v>22</v>
      </c>
      <c r="F594" t="s">
        <v>740</v>
      </c>
      <c r="G594" s="3"/>
      <c r="H594" s="3"/>
      <c r="I594" s="3"/>
      <c r="J594" s="3"/>
      <c r="K594" s="3"/>
      <c r="L594" s="3"/>
      <c r="M59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5" spans="1:13" x14ac:dyDescent="0.35">
      <c r="A595" s="3" t="s">
        <v>750</v>
      </c>
      <c r="B595" s="3"/>
      <c r="C595">
        <v>45212.315972222219</v>
      </c>
      <c r="D595" t="s">
        <v>1123</v>
      </c>
      <c r="E595">
        <v>112</v>
      </c>
      <c r="F595" t="s">
        <v>740</v>
      </c>
      <c r="G595" s="3"/>
      <c r="H595" s="3"/>
      <c r="I595" s="3"/>
      <c r="J595" s="3"/>
      <c r="K595" s="3"/>
      <c r="L595" s="3"/>
      <c r="M59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6" spans="1:13" x14ac:dyDescent="0.35">
      <c r="A596" s="3" t="s">
        <v>750</v>
      </c>
      <c r="B596" s="3"/>
      <c r="C596">
        <v>45210.39166666667</v>
      </c>
      <c r="D596" t="s">
        <v>1082</v>
      </c>
      <c r="E596">
        <v>85</v>
      </c>
      <c r="F596" t="s">
        <v>742</v>
      </c>
      <c r="G596" s="3"/>
      <c r="H596" s="3"/>
      <c r="I596" s="3"/>
      <c r="J596" s="3"/>
      <c r="K596" s="3"/>
      <c r="L596" s="3"/>
      <c r="M5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7" spans="1:13" x14ac:dyDescent="0.35">
      <c r="A597" s="3" t="s">
        <v>750</v>
      </c>
      <c r="B597" s="3"/>
      <c r="C597">
        <v>45214.736805555563</v>
      </c>
      <c r="D597" t="s">
        <v>1296</v>
      </c>
      <c r="E597">
        <v>34</v>
      </c>
      <c r="F597" t="s">
        <v>748</v>
      </c>
      <c r="G597" s="3"/>
      <c r="H597" s="3"/>
      <c r="I597" s="3"/>
      <c r="J597" s="3"/>
      <c r="K597" s="3"/>
      <c r="L597" s="3"/>
      <c r="M5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8" spans="1:13" x14ac:dyDescent="0.35">
      <c r="A598" s="3" t="s">
        <v>750</v>
      </c>
      <c r="B598" s="3"/>
      <c r="C598">
        <v>45211.386111111111</v>
      </c>
      <c r="D598" t="s">
        <v>1134</v>
      </c>
      <c r="E598">
        <v>13</v>
      </c>
      <c r="F598" t="s">
        <v>742</v>
      </c>
      <c r="G598" s="3"/>
      <c r="H598" s="3"/>
      <c r="I598" s="3"/>
      <c r="J598" s="3"/>
      <c r="K598" s="3"/>
      <c r="L598" s="3"/>
      <c r="M59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599" spans="1:13" x14ac:dyDescent="0.35">
      <c r="A599" s="3" t="s">
        <v>750</v>
      </c>
      <c r="B599" s="3"/>
      <c r="C599">
        <v>45211.705555555563</v>
      </c>
      <c r="D599" t="s">
        <v>1297</v>
      </c>
      <c r="E599">
        <v>95</v>
      </c>
      <c r="F599" t="s">
        <v>742</v>
      </c>
      <c r="G599" s="3"/>
      <c r="H599" s="3"/>
      <c r="I599" s="3"/>
      <c r="J599" s="3"/>
      <c r="K599" s="3"/>
      <c r="L599" s="3"/>
      <c r="M59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0" spans="1:13" x14ac:dyDescent="0.35">
      <c r="A600" s="3" t="s">
        <v>750</v>
      </c>
      <c r="B600" s="3"/>
      <c r="C600">
        <v>45215.587500000001</v>
      </c>
      <c r="D600" t="s">
        <v>856</v>
      </c>
      <c r="E600">
        <v>24</v>
      </c>
      <c r="F600" t="s">
        <v>742</v>
      </c>
      <c r="G600" s="3"/>
      <c r="H600" s="3"/>
      <c r="I600" s="3"/>
      <c r="J600" s="3"/>
      <c r="K600" s="3"/>
      <c r="L600" s="3"/>
      <c r="M60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1" spans="1:13" x14ac:dyDescent="0.35">
      <c r="A601" s="3" t="s">
        <v>750</v>
      </c>
      <c r="B601" s="3"/>
      <c r="C601">
        <v>45225.979166666657</v>
      </c>
      <c r="D601" t="s">
        <v>778</v>
      </c>
      <c r="E601">
        <v>6</v>
      </c>
      <c r="F601" t="s">
        <v>740</v>
      </c>
      <c r="G601" s="3"/>
      <c r="H601" s="3"/>
      <c r="I601" s="3"/>
      <c r="J601" s="3"/>
      <c r="K601" s="3"/>
      <c r="L601" s="3"/>
      <c r="M60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2" spans="1:13" x14ac:dyDescent="0.35">
      <c r="A602" s="3" t="s">
        <v>750</v>
      </c>
      <c r="B602" s="3"/>
      <c r="C602">
        <v>45224.456944444442</v>
      </c>
      <c r="D602" t="s">
        <v>1036</v>
      </c>
      <c r="E602">
        <v>32</v>
      </c>
      <c r="F602" t="s">
        <v>740</v>
      </c>
      <c r="G602" s="3"/>
      <c r="H602" s="3"/>
      <c r="I602" s="3"/>
      <c r="J602" s="3"/>
      <c r="K602" s="3"/>
      <c r="L602" s="3"/>
      <c r="M60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3" spans="1:13" x14ac:dyDescent="0.35">
      <c r="A603" s="3" t="s">
        <v>750</v>
      </c>
      <c r="B603" s="3"/>
      <c r="C603">
        <v>45206.472222222219</v>
      </c>
      <c r="D603" t="s">
        <v>1298</v>
      </c>
      <c r="E603">
        <v>69</v>
      </c>
      <c r="F603" t="s">
        <v>748</v>
      </c>
      <c r="G603" s="3"/>
      <c r="H603" s="3"/>
      <c r="I603" s="3"/>
      <c r="J603" s="3"/>
      <c r="K603" s="3"/>
      <c r="L603" s="3"/>
      <c r="M6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4" spans="1:13" x14ac:dyDescent="0.35">
      <c r="A604" s="3" t="s">
        <v>750</v>
      </c>
      <c r="B604" s="3"/>
      <c r="C604">
        <v>45213.066666666673</v>
      </c>
      <c r="D604" t="s">
        <v>858</v>
      </c>
      <c r="E604">
        <v>63</v>
      </c>
      <c r="F604" t="s">
        <v>740</v>
      </c>
      <c r="G604" s="3"/>
      <c r="H604" s="3"/>
      <c r="I604" s="3"/>
      <c r="J604" s="3"/>
      <c r="K604" s="3"/>
      <c r="L604" s="3"/>
      <c r="M60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5" spans="1:13" x14ac:dyDescent="0.35">
      <c r="A605" s="3" t="s">
        <v>750</v>
      </c>
      <c r="B605" s="3"/>
      <c r="C605">
        <v>45227.324305555558</v>
      </c>
      <c r="D605" t="s">
        <v>1299</v>
      </c>
      <c r="E605">
        <v>52</v>
      </c>
      <c r="F605" t="s">
        <v>740</v>
      </c>
      <c r="G605" s="3"/>
      <c r="H605" s="3"/>
      <c r="I605" s="3"/>
      <c r="J605" s="3"/>
      <c r="K605" s="3"/>
      <c r="L605" s="3"/>
      <c r="M6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6" spans="1:13" x14ac:dyDescent="0.35">
      <c r="A606" s="3" t="s">
        <v>750</v>
      </c>
      <c r="B606" s="3"/>
      <c r="C606">
        <v>45204.011111111111</v>
      </c>
      <c r="D606" t="s">
        <v>908</v>
      </c>
      <c r="E606">
        <v>12</v>
      </c>
      <c r="F606" t="s">
        <v>742</v>
      </c>
      <c r="G606" s="3"/>
      <c r="H606" s="3"/>
      <c r="I606" s="3"/>
      <c r="J606" s="3"/>
      <c r="K606" s="3"/>
      <c r="L606" s="3"/>
      <c r="M6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7" spans="1:13" x14ac:dyDescent="0.35">
      <c r="A607" s="3" t="s">
        <v>750</v>
      </c>
      <c r="B607" s="3"/>
      <c r="C607">
        <v>45217.775694444441</v>
      </c>
      <c r="D607" t="s">
        <v>823</v>
      </c>
      <c r="E607">
        <v>84</v>
      </c>
      <c r="F607" t="s">
        <v>740</v>
      </c>
      <c r="G607" s="3"/>
      <c r="H607" s="3"/>
      <c r="I607" s="3"/>
      <c r="J607" s="3"/>
      <c r="K607" s="3"/>
      <c r="L607" s="3"/>
      <c r="M60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8" spans="1:13" x14ac:dyDescent="0.35">
      <c r="A608" s="3" t="s">
        <v>750</v>
      </c>
      <c r="B608" s="3"/>
      <c r="C608">
        <v>45223.554166666669</v>
      </c>
      <c r="D608" t="s">
        <v>1300</v>
      </c>
      <c r="E608">
        <v>86</v>
      </c>
      <c r="F608" t="s">
        <v>742</v>
      </c>
      <c r="G608" s="3"/>
      <c r="H608" s="3"/>
      <c r="I608" s="3"/>
      <c r="J608" s="3"/>
      <c r="K608" s="3"/>
      <c r="L608" s="3"/>
      <c r="M60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09" spans="1:13" x14ac:dyDescent="0.35">
      <c r="A609" s="3" t="s">
        <v>750</v>
      </c>
      <c r="B609" s="3"/>
      <c r="C609">
        <v>45204.26458333333</v>
      </c>
      <c r="D609" t="s">
        <v>1261</v>
      </c>
      <c r="E609">
        <v>90</v>
      </c>
      <c r="F609" t="s">
        <v>748</v>
      </c>
      <c r="G609" s="3"/>
      <c r="H609" s="3"/>
      <c r="I609" s="3"/>
      <c r="J609" s="3"/>
      <c r="K609" s="3"/>
      <c r="L609" s="3"/>
      <c r="M60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0" spans="1:13" x14ac:dyDescent="0.35">
      <c r="A610" s="3" t="s">
        <v>750</v>
      </c>
      <c r="B610" s="3"/>
      <c r="C610">
        <v>45207.525000000001</v>
      </c>
      <c r="D610" t="s">
        <v>1301</v>
      </c>
      <c r="E610">
        <v>83</v>
      </c>
      <c r="F610" t="s">
        <v>740</v>
      </c>
      <c r="G610" s="3"/>
      <c r="H610" s="3"/>
      <c r="I610" s="3"/>
      <c r="J610" s="3"/>
      <c r="K610" s="3"/>
      <c r="L610" s="3"/>
      <c r="M6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1" spans="1:13" x14ac:dyDescent="0.35">
      <c r="A611" s="3" t="s">
        <v>750</v>
      </c>
      <c r="B611" s="3"/>
      <c r="C611">
        <v>45226.313194444447</v>
      </c>
      <c r="D611" t="s">
        <v>943</v>
      </c>
      <c r="E611">
        <v>66</v>
      </c>
      <c r="F611" t="s">
        <v>748</v>
      </c>
      <c r="G611" s="3"/>
      <c r="H611" s="3"/>
      <c r="I611" s="3"/>
      <c r="J611" s="3"/>
      <c r="K611" s="3"/>
      <c r="L611" s="3"/>
      <c r="M6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2" spans="1:13" x14ac:dyDescent="0.35">
      <c r="A612" s="3" t="s">
        <v>750</v>
      </c>
      <c r="B612" s="3"/>
      <c r="C612">
        <v>45217.863194444442</v>
      </c>
      <c r="D612" t="s">
        <v>1302</v>
      </c>
      <c r="E612">
        <v>89</v>
      </c>
      <c r="F612" t="s">
        <v>740</v>
      </c>
      <c r="G612" s="3"/>
      <c r="H612" s="3"/>
      <c r="I612" s="3"/>
      <c r="J612" s="3"/>
      <c r="K612" s="3"/>
      <c r="L612" s="3"/>
      <c r="M61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3" spans="1:13" x14ac:dyDescent="0.35">
      <c r="A613" s="3" t="s">
        <v>750</v>
      </c>
      <c r="B613" s="3"/>
      <c r="C613">
        <v>45210.366666666669</v>
      </c>
      <c r="D613" t="s">
        <v>1303</v>
      </c>
      <c r="E613">
        <v>67</v>
      </c>
      <c r="F613" t="s">
        <v>742</v>
      </c>
      <c r="G613" s="3"/>
      <c r="H613" s="3"/>
      <c r="I613" s="3"/>
      <c r="J613" s="3"/>
      <c r="K613" s="3"/>
      <c r="L613" s="3"/>
      <c r="M61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4" spans="1:13" x14ac:dyDescent="0.35">
      <c r="A614" s="3" t="s">
        <v>750</v>
      </c>
      <c r="B614" s="3"/>
      <c r="C614">
        <v>45226.656944444447</v>
      </c>
      <c r="D614" t="s">
        <v>1177</v>
      </c>
      <c r="E614">
        <v>7</v>
      </c>
      <c r="F614" t="s">
        <v>740</v>
      </c>
      <c r="G614" s="3"/>
      <c r="H614" s="3"/>
      <c r="I614" s="3"/>
      <c r="J614" s="3"/>
      <c r="K614" s="3"/>
      <c r="L614" s="3"/>
      <c r="M6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5" spans="1:13" x14ac:dyDescent="0.35">
      <c r="A615" s="3" t="s">
        <v>773</v>
      </c>
      <c r="B615" s="3"/>
      <c r="C615">
        <v>45224.963888888888</v>
      </c>
      <c r="D615" t="s">
        <v>1304</v>
      </c>
      <c r="E615">
        <v>83</v>
      </c>
      <c r="F615" t="s">
        <v>742</v>
      </c>
      <c r="G615" s="3"/>
      <c r="H615" s="3"/>
      <c r="I615" s="3"/>
      <c r="J615" s="3"/>
      <c r="K615" s="3"/>
      <c r="L615" s="3"/>
      <c r="M61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6" spans="1:13" x14ac:dyDescent="0.35">
      <c r="A616" s="3" t="s">
        <v>773</v>
      </c>
      <c r="B616" s="3"/>
      <c r="C616">
        <v>45225.948611111111</v>
      </c>
      <c r="D616" t="s">
        <v>853</v>
      </c>
      <c r="E616">
        <v>30</v>
      </c>
      <c r="F616" t="s">
        <v>740</v>
      </c>
      <c r="G616" s="3"/>
      <c r="H616" s="3"/>
      <c r="I616" s="3"/>
      <c r="J616" s="3"/>
      <c r="K616" s="3"/>
      <c r="L616" s="3"/>
      <c r="M6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7" spans="1:13" x14ac:dyDescent="0.35">
      <c r="A617" s="3" t="s">
        <v>773</v>
      </c>
      <c r="B617" s="3"/>
      <c r="C617">
        <v>45202.699305555558</v>
      </c>
      <c r="D617" t="s">
        <v>835</v>
      </c>
      <c r="E617">
        <v>63</v>
      </c>
      <c r="F617" t="s">
        <v>742</v>
      </c>
      <c r="G617" s="3"/>
      <c r="H617" s="3"/>
      <c r="I617" s="3"/>
      <c r="J617" s="3"/>
      <c r="K617" s="3"/>
      <c r="L617" s="3"/>
      <c r="M61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8" spans="1:13" x14ac:dyDescent="0.35">
      <c r="A618" s="3" t="s">
        <v>773</v>
      </c>
      <c r="B618" s="3"/>
      <c r="C618">
        <v>45211.04583333333</v>
      </c>
      <c r="D618" t="s">
        <v>966</v>
      </c>
      <c r="E618">
        <v>18</v>
      </c>
      <c r="F618" t="s">
        <v>748</v>
      </c>
      <c r="G618" s="3"/>
      <c r="H618" s="3"/>
      <c r="I618" s="3"/>
      <c r="J618" s="3"/>
      <c r="K618" s="3"/>
      <c r="L618" s="3"/>
      <c r="M6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19" spans="1:13" x14ac:dyDescent="0.35">
      <c r="A619" s="3" t="s">
        <v>773</v>
      </c>
      <c r="B619" s="3"/>
      <c r="C619">
        <v>45213.328472222223</v>
      </c>
      <c r="D619" t="s">
        <v>1305</v>
      </c>
      <c r="E619">
        <v>22</v>
      </c>
      <c r="F619" t="s">
        <v>748</v>
      </c>
      <c r="G619" s="3"/>
      <c r="H619" s="3"/>
      <c r="I619" s="3"/>
      <c r="J619" s="3"/>
      <c r="K619" s="3"/>
      <c r="L619" s="3"/>
      <c r="M6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0" spans="1:13" x14ac:dyDescent="0.35">
      <c r="A620" s="3" t="s">
        <v>773</v>
      </c>
      <c r="B620" s="3"/>
      <c r="C620">
        <v>45202.443055555559</v>
      </c>
      <c r="D620" t="s">
        <v>1254</v>
      </c>
      <c r="E620">
        <v>43</v>
      </c>
      <c r="F620" t="s">
        <v>740</v>
      </c>
      <c r="G620" s="3"/>
      <c r="H620" s="3"/>
      <c r="I620" s="3"/>
      <c r="J620" s="3"/>
      <c r="K620" s="3"/>
      <c r="L620" s="3"/>
      <c r="M6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1" spans="1:13" x14ac:dyDescent="0.35">
      <c r="A621" s="3" t="s">
        <v>773</v>
      </c>
      <c r="B621" s="3"/>
      <c r="C621">
        <v>45224.818055555559</v>
      </c>
      <c r="D621" t="s">
        <v>1155</v>
      </c>
      <c r="E621">
        <v>5</v>
      </c>
      <c r="F621" t="s">
        <v>748</v>
      </c>
      <c r="G621" s="3"/>
      <c r="H621" s="3"/>
      <c r="I621" s="3"/>
      <c r="J621" s="3"/>
      <c r="K621" s="3"/>
      <c r="L621" s="3"/>
      <c r="M62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2" spans="1:13" x14ac:dyDescent="0.35">
      <c r="A622" s="3" t="s">
        <v>773</v>
      </c>
      <c r="B622" s="3"/>
      <c r="C622">
        <v>45212.417361111111</v>
      </c>
      <c r="D622" t="s">
        <v>1306</v>
      </c>
      <c r="E622">
        <v>55</v>
      </c>
      <c r="F622" t="s">
        <v>742</v>
      </c>
      <c r="G622" s="3"/>
      <c r="H622" s="3"/>
      <c r="I622" s="3"/>
      <c r="J622" s="3"/>
      <c r="K622" s="3"/>
      <c r="L622" s="3"/>
      <c r="M6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3" spans="1:13" x14ac:dyDescent="0.35">
      <c r="A623" s="3" t="s">
        <v>773</v>
      </c>
      <c r="B623" s="3"/>
      <c r="C623">
        <v>45220.368055555547</v>
      </c>
      <c r="D623" t="s">
        <v>1307</v>
      </c>
      <c r="E623">
        <v>47</v>
      </c>
      <c r="F623" t="s">
        <v>748</v>
      </c>
      <c r="G623" s="3"/>
      <c r="H623" s="3"/>
      <c r="I623" s="3"/>
      <c r="J623" s="3"/>
      <c r="K623" s="3"/>
      <c r="L623" s="3"/>
      <c r="M6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4" spans="1:13" x14ac:dyDescent="0.35">
      <c r="A624" s="3" t="s">
        <v>773</v>
      </c>
      <c r="B624" s="3"/>
      <c r="C624">
        <v>45214.634722222218</v>
      </c>
      <c r="D624" t="s">
        <v>907</v>
      </c>
      <c r="E624">
        <v>112</v>
      </c>
      <c r="F624" t="s">
        <v>742</v>
      </c>
      <c r="G624" s="3"/>
      <c r="H624" s="3"/>
      <c r="I624" s="3"/>
      <c r="J624" s="3"/>
      <c r="K624" s="3"/>
      <c r="L624" s="3"/>
      <c r="M6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5" spans="1:13" x14ac:dyDescent="0.35">
      <c r="A625" s="3" t="s">
        <v>773</v>
      </c>
      <c r="B625" s="3"/>
      <c r="C625">
        <v>45211.724999999999</v>
      </c>
      <c r="D625" t="s">
        <v>813</v>
      </c>
      <c r="E625">
        <v>84</v>
      </c>
      <c r="F625" t="s">
        <v>748</v>
      </c>
      <c r="G625" s="3"/>
      <c r="H625" s="3"/>
      <c r="I625" s="3"/>
      <c r="J625" s="3"/>
      <c r="K625" s="3"/>
      <c r="L625" s="3"/>
      <c r="M6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6" spans="1:13" x14ac:dyDescent="0.35">
      <c r="A626" s="3" t="s">
        <v>773</v>
      </c>
      <c r="B626" s="3"/>
      <c r="C626">
        <v>45213.238194444442</v>
      </c>
      <c r="D626" t="s">
        <v>917</v>
      </c>
      <c r="E626">
        <v>53</v>
      </c>
      <c r="F626" t="s">
        <v>742</v>
      </c>
      <c r="G626" s="3"/>
      <c r="H626" s="3"/>
      <c r="I626" s="3"/>
      <c r="J626" s="3"/>
      <c r="K626" s="3"/>
      <c r="L626" s="3"/>
      <c r="M6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7" spans="1:13" x14ac:dyDescent="0.35">
      <c r="A627" s="3" t="s">
        <v>773</v>
      </c>
      <c r="B627" s="3"/>
      <c r="C627">
        <v>45218.89166666667</v>
      </c>
      <c r="D627" t="s">
        <v>1070</v>
      </c>
      <c r="E627">
        <v>107</v>
      </c>
      <c r="F627" t="s">
        <v>742</v>
      </c>
      <c r="G627" s="3"/>
      <c r="H627" s="3"/>
      <c r="I627" s="3"/>
      <c r="J627" s="3"/>
      <c r="K627" s="3"/>
      <c r="L627" s="3"/>
      <c r="M6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8" spans="1:13" x14ac:dyDescent="0.35">
      <c r="A628" s="3" t="s">
        <v>773</v>
      </c>
      <c r="B628" s="3"/>
      <c r="C628">
        <v>45202.804166666669</v>
      </c>
      <c r="D628" t="s">
        <v>812</v>
      </c>
      <c r="E628">
        <v>115</v>
      </c>
      <c r="F628" t="s">
        <v>742</v>
      </c>
      <c r="G628" s="3"/>
      <c r="H628" s="3"/>
      <c r="I628" s="3"/>
      <c r="J628" s="3"/>
      <c r="K628" s="3"/>
      <c r="L628" s="3"/>
      <c r="M6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29" spans="1:13" x14ac:dyDescent="0.35">
      <c r="A629" s="3" t="s">
        <v>773</v>
      </c>
      <c r="B629" s="3"/>
      <c r="C629">
        <v>45225.322916666657</v>
      </c>
      <c r="D629" t="s">
        <v>1308</v>
      </c>
      <c r="E629">
        <v>47</v>
      </c>
      <c r="F629" t="s">
        <v>748</v>
      </c>
      <c r="G629" s="3"/>
      <c r="H629" s="3"/>
      <c r="I629" s="3"/>
      <c r="J629" s="3"/>
      <c r="K629" s="3"/>
      <c r="L629" s="3"/>
      <c r="M6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0" spans="1:13" x14ac:dyDescent="0.35">
      <c r="A630" s="3" t="s">
        <v>773</v>
      </c>
      <c r="B630" s="3"/>
      <c r="C630">
        <v>45202.095138888893</v>
      </c>
      <c r="D630" t="s">
        <v>1309</v>
      </c>
      <c r="E630">
        <v>61</v>
      </c>
      <c r="F630" t="s">
        <v>742</v>
      </c>
      <c r="G630" s="3"/>
      <c r="H630" s="3"/>
      <c r="I630" s="3"/>
      <c r="J630" s="3"/>
      <c r="K630" s="3"/>
      <c r="L630" s="3"/>
      <c r="M6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1" spans="1:13" x14ac:dyDescent="0.35">
      <c r="A631" s="3" t="s">
        <v>773</v>
      </c>
      <c r="B631" s="3"/>
      <c r="C631">
        <v>45204.53125</v>
      </c>
      <c r="D631" t="s">
        <v>904</v>
      </c>
      <c r="E631">
        <v>47</v>
      </c>
      <c r="F631" t="s">
        <v>740</v>
      </c>
      <c r="G631" s="3"/>
      <c r="H631" s="3"/>
      <c r="I631" s="3"/>
      <c r="J631" s="3"/>
      <c r="K631" s="3"/>
      <c r="L631" s="3"/>
      <c r="M63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2" spans="1:13" x14ac:dyDescent="0.35">
      <c r="A632" s="3" t="s">
        <v>773</v>
      </c>
      <c r="B632" s="3"/>
      <c r="C632">
        <v>45225.839583333327</v>
      </c>
      <c r="D632" t="s">
        <v>1310</v>
      </c>
      <c r="E632">
        <v>60</v>
      </c>
      <c r="F632" t="s">
        <v>748</v>
      </c>
      <c r="G632" s="3"/>
      <c r="H632" s="3"/>
      <c r="I632" s="3"/>
      <c r="J632" s="3"/>
      <c r="K632" s="3"/>
      <c r="L632" s="3"/>
      <c r="M6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3" spans="1:13" x14ac:dyDescent="0.35">
      <c r="A633" s="3" t="s">
        <v>773</v>
      </c>
      <c r="B633" s="3"/>
      <c r="C633">
        <v>45223.513888888891</v>
      </c>
      <c r="D633" t="s">
        <v>1227</v>
      </c>
      <c r="E633">
        <v>109</v>
      </c>
      <c r="F633" t="s">
        <v>742</v>
      </c>
      <c r="G633" s="3"/>
      <c r="H633" s="3"/>
      <c r="I633" s="3"/>
      <c r="J633" s="3"/>
      <c r="K633" s="3"/>
      <c r="L633" s="3"/>
      <c r="M6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4" spans="1:13" x14ac:dyDescent="0.35">
      <c r="A634" s="3" t="s">
        <v>773</v>
      </c>
      <c r="B634" s="3"/>
      <c r="C634">
        <v>45211.128472222219</v>
      </c>
      <c r="D634" t="s">
        <v>952</v>
      </c>
      <c r="E634">
        <v>110</v>
      </c>
      <c r="F634" t="s">
        <v>742</v>
      </c>
      <c r="G634" s="3"/>
      <c r="H634" s="3"/>
      <c r="I634" s="3"/>
      <c r="J634" s="3"/>
      <c r="K634" s="3"/>
      <c r="L634" s="3"/>
      <c r="M6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5" spans="1:13" x14ac:dyDescent="0.35">
      <c r="A635" s="3" t="s">
        <v>773</v>
      </c>
      <c r="B635" s="3"/>
      <c r="C635">
        <v>45200.394444444442</v>
      </c>
      <c r="D635" t="s">
        <v>1204</v>
      </c>
      <c r="E635">
        <v>115</v>
      </c>
      <c r="F635" t="s">
        <v>742</v>
      </c>
      <c r="G635" s="3"/>
      <c r="H635" s="3"/>
      <c r="I635" s="3"/>
      <c r="J635" s="3"/>
      <c r="K635" s="3"/>
      <c r="L635" s="3"/>
      <c r="M6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6" spans="1:13" x14ac:dyDescent="0.35">
      <c r="A636" s="3" t="s">
        <v>773</v>
      </c>
      <c r="B636" s="3"/>
      <c r="C636">
        <v>45211.337500000001</v>
      </c>
      <c r="D636" t="s">
        <v>997</v>
      </c>
      <c r="E636">
        <v>88</v>
      </c>
      <c r="F636" t="s">
        <v>742</v>
      </c>
      <c r="G636" s="3"/>
      <c r="H636" s="3"/>
      <c r="I636" s="3"/>
      <c r="J636" s="3"/>
      <c r="K636" s="3"/>
      <c r="L636" s="3"/>
      <c r="M6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7" spans="1:13" x14ac:dyDescent="0.35">
      <c r="A637" s="3" t="s">
        <v>773</v>
      </c>
      <c r="B637" s="3"/>
      <c r="C637">
        <v>45204.09097222222</v>
      </c>
      <c r="D637" t="s">
        <v>1311</v>
      </c>
      <c r="E637">
        <v>81</v>
      </c>
      <c r="F637" t="s">
        <v>740</v>
      </c>
      <c r="G637" s="3"/>
      <c r="H637" s="3"/>
      <c r="I637" s="3"/>
      <c r="J637" s="3"/>
      <c r="K637" s="3"/>
      <c r="L637" s="3"/>
      <c r="M63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8" spans="1:13" x14ac:dyDescent="0.35">
      <c r="A638" s="3" t="s">
        <v>773</v>
      </c>
      <c r="B638" s="3"/>
      <c r="C638">
        <v>45213.607638888891</v>
      </c>
      <c r="D638" t="s">
        <v>1312</v>
      </c>
      <c r="E638">
        <v>22</v>
      </c>
      <c r="F638" t="s">
        <v>740</v>
      </c>
      <c r="G638" s="3"/>
      <c r="H638" s="3"/>
      <c r="I638" s="3"/>
      <c r="J638" s="3"/>
      <c r="K638" s="3"/>
      <c r="L638" s="3"/>
      <c r="M6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39" spans="1:13" x14ac:dyDescent="0.35">
      <c r="A639" s="3" t="s">
        <v>773</v>
      </c>
      <c r="B639" s="3"/>
      <c r="C639">
        <v>45217.68472222222</v>
      </c>
      <c r="D639" t="s">
        <v>1137</v>
      </c>
      <c r="E639">
        <v>43</v>
      </c>
      <c r="F639" t="s">
        <v>740</v>
      </c>
      <c r="G639" s="3"/>
      <c r="H639" s="3"/>
      <c r="I639" s="3"/>
      <c r="J639" s="3"/>
      <c r="K639" s="3"/>
      <c r="L639" s="3"/>
      <c r="M63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0" spans="1:13" x14ac:dyDescent="0.35">
      <c r="A640" s="3" t="s">
        <v>773</v>
      </c>
      <c r="B640" s="3"/>
      <c r="C640">
        <v>45203.003472222219</v>
      </c>
      <c r="D640" t="s">
        <v>1313</v>
      </c>
      <c r="E640">
        <v>46</v>
      </c>
      <c r="F640" t="s">
        <v>742</v>
      </c>
      <c r="G640" s="3"/>
      <c r="H640" s="3"/>
      <c r="I640" s="3"/>
      <c r="J640" s="3"/>
      <c r="K640" s="3"/>
      <c r="L640" s="3"/>
      <c r="M6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1" spans="1:13" x14ac:dyDescent="0.35">
      <c r="A641" s="3" t="s">
        <v>773</v>
      </c>
      <c r="B641" s="3"/>
      <c r="C641">
        <v>45211.711805555547</v>
      </c>
      <c r="D641" t="s">
        <v>1314</v>
      </c>
      <c r="E641">
        <v>82</v>
      </c>
      <c r="F641" t="s">
        <v>742</v>
      </c>
      <c r="G641" s="3"/>
      <c r="H641" s="3"/>
      <c r="I641" s="3"/>
      <c r="J641" s="3"/>
      <c r="K641" s="3"/>
      <c r="L641" s="3"/>
      <c r="M6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2" spans="1:13" x14ac:dyDescent="0.35">
      <c r="A642" s="3" t="s">
        <v>773</v>
      </c>
      <c r="B642" s="3"/>
      <c r="C642">
        <v>45219.826388888891</v>
      </c>
      <c r="D642" t="s">
        <v>1045</v>
      </c>
      <c r="E642">
        <v>93</v>
      </c>
      <c r="F642" t="s">
        <v>748</v>
      </c>
      <c r="G642" s="3"/>
      <c r="H642" s="3"/>
      <c r="I642" s="3"/>
      <c r="J642" s="3"/>
      <c r="K642" s="3"/>
      <c r="L642" s="3"/>
      <c r="M6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3" spans="1:13" x14ac:dyDescent="0.35">
      <c r="A643" s="3" t="s">
        <v>773</v>
      </c>
      <c r="B643" s="3"/>
      <c r="C643">
        <v>45210.5</v>
      </c>
      <c r="D643" t="s">
        <v>1315</v>
      </c>
      <c r="E643">
        <v>30</v>
      </c>
      <c r="F643" t="s">
        <v>740</v>
      </c>
      <c r="G643" s="3"/>
      <c r="H643" s="3"/>
      <c r="I643" s="3"/>
      <c r="J643" s="3"/>
      <c r="K643" s="3"/>
      <c r="L643" s="3"/>
      <c r="M64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4" spans="1:13" x14ac:dyDescent="0.35">
      <c r="A644" s="3" t="s">
        <v>773</v>
      </c>
      <c r="B644" s="3"/>
      <c r="C644">
        <v>45209.558333333327</v>
      </c>
      <c r="D644" t="s">
        <v>774</v>
      </c>
      <c r="E644">
        <v>66</v>
      </c>
      <c r="F644" t="s">
        <v>742</v>
      </c>
      <c r="G644" s="3"/>
      <c r="H644" s="3"/>
      <c r="I644" s="3"/>
      <c r="J644" s="3"/>
      <c r="K644" s="3"/>
      <c r="L644" s="3"/>
      <c r="M64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5" spans="1:13" x14ac:dyDescent="0.35">
      <c r="A645" s="3" t="s">
        <v>773</v>
      </c>
      <c r="B645" s="3"/>
      <c r="C645">
        <v>45224.115277777782</v>
      </c>
      <c r="D645" t="s">
        <v>967</v>
      </c>
      <c r="E645">
        <v>45</v>
      </c>
      <c r="F645" t="s">
        <v>742</v>
      </c>
      <c r="G645" s="3"/>
      <c r="H645" s="3"/>
      <c r="I645" s="3"/>
      <c r="J645" s="3"/>
      <c r="K645" s="3"/>
      <c r="L645" s="3"/>
      <c r="M6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6" spans="1:13" x14ac:dyDescent="0.35">
      <c r="A646" s="3" t="s">
        <v>773</v>
      </c>
      <c r="B646" s="3"/>
      <c r="C646">
        <v>45228.747916666667</v>
      </c>
      <c r="D646" t="s">
        <v>1303</v>
      </c>
      <c r="E646">
        <v>27</v>
      </c>
      <c r="F646" t="s">
        <v>740</v>
      </c>
      <c r="G646" s="3"/>
      <c r="H646" s="3"/>
      <c r="I646" s="3"/>
      <c r="J646" s="3"/>
      <c r="K646" s="3"/>
      <c r="L646" s="3"/>
      <c r="M6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7" spans="1:13" x14ac:dyDescent="0.35">
      <c r="A647" s="3" t="s">
        <v>773</v>
      </c>
      <c r="B647" s="3"/>
      <c r="C647">
        <v>45207.772916666669</v>
      </c>
      <c r="D647" t="s">
        <v>1297</v>
      </c>
      <c r="E647">
        <v>55</v>
      </c>
      <c r="F647" t="s">
        <v>742</v>
      </c>
      <c r="G647" s="3"/>
      <c r="H647" s="3"/>
      <c r="I647" s="3"/>
      <c r="J647" s="3"/>
      <c r="K647" s="3"/>
      <c r="L647" s="3"/>
      <c r="M64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8" spans="1:13" x14ac:dyDescent="0.35">
      <c r="A648" s="3" t="s">
        <v>773</v>
      </c>
      <c r="B648" s="3"/>
      <c r="C648">
        <v>45205.89166666667</v>
      </c>
      <c r="D648" t="s">
        <v>1297</v>
      </c>
      <c r="E648">
        <v>45</v>
      </c>
      <c r="F648" t="s">
        <v>742</v>
      </c>
      <c r="G648" s="3"/>
      <c r="H648" s="3"/>
      <c r="I648" s="3"/>
      <c r="J648" s="3"/>
      <c r="K648" s="3"/>
      <c r="L648" s="3"/>
      <c r="M64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49" spans="1:13" x14ac:dyDescent="0.35">
      <c r="A649" s="3" t="s">
        <v>773</v>
      </c>
      <c r="B649" s="3"/>
      <c r="C649">
        <v>45205.178472222222</v>
      </c>
      <c r="D649" t="s">
        <v>859</v>
      </c>
      <c r="E649">
        <v>42</v>
      </c>
      <c r="F649" t="s">
        <v>742</v>
      </c>
      <c r="G649" s="3"/>
      <c r="H649" s="3"/>
      <c r="I649" s="3"/>
      <c r="J649" s="3"/>
      <c r="K649" s="3"/>
      <c r="L649" s="3"/>
      <c r="M6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0" spans="1:13" x14ac:dyDescent="0.35">
      <c r="A650" s="3" t="s">
        <v>773</v>
      </c>
      <c r="B650" s="3"/>
      <c r="C650">
        <v>45209.354861111111</v>
      </c>
      <c r="D650" t="s">
        <v>1278</v>
      </c>
      <c r="E650">
        <v>99</v>
      </c>
      <c r="F650" t="s">
        <v>742</v>
      </c>
      <c r="G650" s="3"/>
      <c r="H650" s="3"/>
      <c r="I650" s="3"/>
      <c r="J650" s="3"/>
      <c r="K650" s="3"/>
      <c r="L650" s="3"/>
      <c r="M6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1" spans="1:13" x14ac:dyDescent="0.35">
      <c r="A651" s="3" t="s">
        <v>773</v>
      </c>
      <c r="B651" s="3"/>
      <c r="C651">
        <v>45204.090277777781</v>
      </c>
      <c r="D651" t="s">
        <v>1316</v>
      </c>
      <c r="E651">
        <v>93</v>
      </c>
      <c r="F651" t="s">
        <v>748</v>
      </c>
      <c r="G651" s="3"/>
      <c r="H651" s="3"/>
      <c r="I651" s="3"/>
      <c r="J651" s="3"/>
      <c r="K651" s="3"/>
      <c r="L651" s="3"/>
      <c r="M6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2" spans="1:13" x14ac:dyDescent="0.35">
      <c r="A652" s="3" t="s">
        <v>773</v>
      </c>
      <c r="B652" s="3"/>
      <c r="C652">
        <v>45213.351388888892</v>
      </c>
      <c r="D652" t="s">
        <v>801</v>
      </c>
      <c r="E652">
        <v>86</v>
      </c>
      <c r="F652" t="s">
        <v>748</v>
      </c>
      <c r="G652" s="3"/>
      <c r="H652" s="3"/>
      <c r="I652" s="3"/>
      <c r="J652" s="3"/>
      <c r="K652" s="3"/>
      <c r="L652" s="3"/>
      <c r="M6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3" spans="1:13" x14ac:dyDescent="0.35">
      <c r="A653" s="3" t="s">
        <v>773</v>
      </c>
      <c r="B653" s="3"/>
      <c r="C653">
        <v>45209.659722222219</v>
      </c>
      <c r="D653" t="s">
        <v>928</v>
      </c>
      <c r="E653">
        <v>67</v>
      </c>
      <c r="F653" t="s">
        <v>748</v>
      </c>
      <c r="G653" s="3"/>
      <c r="H653" s="3"/>
      <c r="I653" s="3"/>
      <c r="J653" s="3"/>
      <c r="K653" s="3"/>
      <c r="L653" s="3"/>
      <c r="M65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4" spans="1:13" x14ac:dyDescent="0.35">
      <c r="A654" s="3" t="s">
        <v>773</v>
      </c>
      <c r="B654" s="3"/>
      <c r="C654">
        <v>45202.469444444447</v>
      </c>
      <c r="D654" t="s">
        <v>1317</v>
      </c>
      <c r="E654">
        <v>78</v>
      </c>
      <c r="F654" t="s">
        <v>740</v>
      </c>
      <c r="G654" s="3"/>
      <c r="H654" s="3"/>
      <c r="I654" s="3"/>
      <c r="J654" s="3"/>
      <c r="K654" s="3"/>
      <c r="L654" s="3"/>
      <c r="M65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5" spans="1:13" x14ac:dyDescent="0.35">
      <c r="A655" s="3" t="s">
        <v>773</v>
      </c>
      <c r="B655" s="3"/>
      <c r="C655">
        <v>45230.323611111111</v>
      </c>
      <c r="D655" t="s">
        <v>822</v>
      </c>
      <c r="E655">
        <v>105</v>
      </c>
      <c r="F655" t="s">
        <v>740</v>
      </c>
      <c r="G655" s="3"/>
      <c r="H655" s="3"/>
      <c r="I655" s="3"/>
      <c r="J655" s="3"/>
      <c r="K655" s="3"/>
      <c r="L655" s="3"/>
      <c r="M65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6" spans="1:13" x14ac:dyDescent="0.35">
      <c r="A656" s="3" t="s">
        <v>773</v>
      </c>
      <c r="B656" s="3"/>
      <c r="C656">
        <v>45220.651388888888</v>
      </c>
      <c r="D656" t="s">
        <v>1123</v>
      </c>
      <c r="E656">
        <v>36</v>
      </c>
      <c r="F656" t="s">
        <v>740</v>
      </c>
      <c r="G656" s="3"/>
      <c r="H656" s="3"/>
      <c r="I656" s="3"/>
      <c r="J656" s="3"/>
      <c r="K656" s="3"/>
      <c r="L656" s="3"/>
      <c r="M65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7" spans="1:13" x14ac:dyDescent="0.35">
      <c r="A657" s="3" t="s">
        <v>773</v>
      </c>
      <c r="B657" s="3"/>
      <c r="C657">
        <v>45202.699305555558</v>
      </c>
      <c r="D657" t="s">
        <v>835</v>
      </c>
      <c r="E657">
        <v>63</v>
      </c>
      <c r="F657" t="s">
        <v>742</v>
      </c>
      <c r="G657" s="3"/>
      <c r="H657" s="3"/>
      <c r="I657" s="3"/>
      <c r="J657" s="3"/>
      <c r="K657" s="3"/>
      <c r="L657" s="3"/>
      <c r="M65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8" spans="1:13" x14ac:dyDescent="0.35">
      <c r="A658" s="3" t="s">
        <v>783</v>
      </c>
      <c r="B658" s="3"/>
      <c r="C658">
        <v>45207.599305555559</v>
      </c>
      <c r="D658" t="s">
        <v>1099</v>
      </c>
      <c r="E658">
        <v>59</v>
      </c>
      <c r="F658" t="s">
        <v>740</v>
      </c>
      <c r="G658" s="3"/>
      <c r="H658" s="3"/>
      <c r="I658" s="3"/>
      <c r="J658" s="3"/>
      <c r="K658" s="3"/>
      <c r="L658" s="3"/>
      <c r="M65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59" spans="1:13" x14ac:dyDescent="0.35">
      <c r="A659" s="3" t="s">
        <v>783</v>
      </c>
      <c r="B659" s="3"/>
      <c r="C659">
        <v>45212.617361111108</v>
      </c>
      <c r="D659" t="s">
        <v>1318</v>
      </c>
      <c r="E659">
        <v>28</v>
      </c>
      <c r="F659" t="s">
        <v>740</v>
      </c>
      <c r="G659" s="3"/>
      <c r="H659" s="3"/>
      <c r="I659" s="3"/>
      <c r="J659" s="3"/>
      <c r="K659" s="3"/>
      <c r="L659" s="3"/>
      <c r="M6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0" spans="1:13" x14ac:dyDescent="0.35">
      <c r="A660" s="3" t="s">
        <v>783</v>
      </c>
      <c r="B660" s="3"/>
      <c r="C660">
        <v>45221.780555555553</v>
      </c>
      <c r="D660" t="s">
        <v>899</v>
      </c>
      <c r="E660">
        <v>67</v>
      </c>
      <c r="F660" t="s">
        <v>740</v>
      </c>
      <c r="G660" s="3"/>
      <c r="H660" s="3"/>
      <c r="I660" s="3"/>
      <c r="J660" s="3"/>
      <c r="K660" s="3"/>
      <c r="L660" s="3"/>
      <c r="M6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1" spans="1:13" x14ac:dyDescent="0.35">
      <c r="A661" s="3" t="s">
        <v>783</v>
      </c>
      <c r="B661" s="3"/>
      <c r="C661">
        <v>45216.181944444441</v>
      </c>
      <c r="D661" t="s">
        <v>1319</v>
      </c>
      <c r="E661">
        <v>86</v>
      </c>
      <c r="F661" t="s">
        <v>742</v>
      </c>
      <c r="G661" s="3"/>
      <c r="H661" s="3"/>
      <c r="I661" s="3"/>
      <c r="J661" s="3"/>
      <c r="K661" s="3"/>
      <c r="L661" s="3"/>
      <c r="M6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2" spans="1:13" x14ac:dyDescent="0.35">
      <c r="A662" s="3" t="s">
        <v>783</v>
      </c>
      <c r="B662" s="3"/>
      <c r="C662">
        <v>45200.629166666673</v>
      </c>
      <c r="D662" t="s">
        <v>1200</v>
      </c>
      <c r="E662">
        <v>73</v>
      </c>
      <c r="F662" t="s">
        <v>742</v>
      </c>
      <c r="G662" s="3"/>
      <c r="H662" s="3"/>
      <c r="I662" s="3"/>
      <c r="J662" s="3"/>
      <c r="K662" s="3"/>
      <c r="L662" s="3"/>
      <c r="M6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3" spans="1:13" x14ac:dyDescent="0.35">
      <c r="A663" s="3" t="s">
        <v>783</v>
      </c>
      <c r="B663" s="3"/>
      <c r="C663">
        <v>45209.581944444442</v>
      </c>
      <c r="D663" t="s">
        <v>1320</v>
      </c>
      <c r="E663">
        <v>93</v>
      </c>
      <c r="F663" t="s">
        <v>742</v>
      </c>
      <c r="G663" s="3"/>
      <c r="H663" s="3"/>
      <c r="I663" s="3"/>
      <c r="J663" s="3"/>
      <c r="K663" s="3"/>
      <c r="L663" s="3"/>
      <c r="M66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4" spans="1:13" x14ac:dyDescent="0.35">
      <c r="A664" s="3" t="s">
        <v>783</v>
      </c>
      <c r="B664" s="3"/>
      <c r="C664">
        <v>45230.088194444441</v>
      </c>
      <c r="D664" t="s">
        <v>1256</v>
      </c>
      <c r="E664">
        <v>87</v>
      </c>
      <c r="F664" t="s">
        <v>748</v>
      </c>
      <c r="G664" s="3"/>
      <c r="H664" s="3"/>
      <c r="I664" s="3"/>
      <c r="J664" s="3"/>
      <c r="K664" s="3"/>
      <c r="L664" s="3"/>
      <c r="M6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5" spans="1:13" x14ac:dyDescent="0.35">
      <c r="A665" s="3" t="s">
        <v>783</v>
      </c>
      <c r="B665" s="3"/>
      <c r="C665">
        <v>45226.964583333327</v>
      </c>
      <c r="D665" t="s">
        <v>909</v>
      </c>
      <c r="E665">
        <v>27</v>
      </c>
      <c r="F665" t="s">
        <v>742</v>
      </c>
      <c r="G665" s="3"/>
      <c r="H665" s="3"/>
      <c r="I665" s="3"/>
      <c r="J665" s="3"/>
      <c r="K665" s="3"/>
      <c r="L665" s="3"/>
      <c r="M6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6" spans="1:13" x14ac:dyDescent="0.35">
      <c r="A666" s="3" t="s">
        <v>783</v>
      </c>
      <c r="B666" s="3"/>
      <c r="C666">
        <v>45211.38958333333</v>
      </c>
      <c r="D666" t="s">
        <v>1321</v>
      </c>
      <c r="E666">
        <v>76</v>
      </c>
      <c r="F666" t="s">
        <v>742</v>
      </c>
      <c r="G666" s="3"/>
      <c r="H666" s="3"/>
      <c r="I666" s="3"/>
      <c r="J666" s="3"/>
      <c r="K666" s="3"/>
      <c r="L666" s="3"/>
      <c r="M66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7" spans="1:13" x14ac:dyDescent="0.35">
      <c r="A667" s="3" t="s">
        <v>783</v>
      </c>
      <c r="B667" s="3"/>
      <c r="C667">
        <v>45214.272916666669</v>
      </c>
      <c r="D667" t="s">
        <v>1125</v>
      </c>
      <c r="E667">
        <v>26</v>
      </c>
      <c r="F667" t="s">
        <v>742</v>
      </c>
      <c r="G667" s="3"/>
      <c r="H667" s="3"/>
      <c r="I667" s="3"/>
      <c r="J667" s="3"/>
      <c r="K667" s="3"/>
      <c r="L667" s="3"/>
      <c r="M66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8" spans="1:13" x14ac:dyDescent="0.35">
      <c r="A668" s="3" t="s">
        <v>783</v>
      </c>
      <c r="B668" s="3"/>
      <c r="C668">
        <v>45215.479166666657</v>
      </c>
      <c r="D668" t="s">
        <v>1094</v>
      </c>
      <c r="E668">
        <v>67</v>
      </c>
      <c r="F668" t="s">
        <v>748</v>
      </c>
      <c r="G668" s="3"/>
      <c r="H668" s="3"/>
      <c r="I668" s="3"/>
      <c r="J668" s="3"/>
      <c r="K668" s="3"/>
      <c r="L668" s="3"/>
      <c r="M6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69" spans="1:13" x14ac:dyDescent="0.35">
      <c r="A669" s="3" t="s">
        <v>783</v>
      </c>
      <c r="B669" s="3"/>
      <c r="C669">
        <v>45203.615277777782</v>
      </c>
      <c r="D669" t="s">
        <v>1322</v>
      </c>
      <c r="E669">
        <v>41</v>
      </c>
      <c r="F669" t="s">
        <v>740</v>
      </c>
      <c r="G669" s="3"/>
      <c r="H669" s="3"/>
      <c r="I669" s="3"/>
      <c r="J669" s="3"/>
      <c r="K669" s="3"/>
      <c r="L669" s="3"/>
      <c r="M6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0" spans="1:13" x14ac:dyDescent="0.35">
      <c r="A670" s="3" t="s">
        <v>783</v>
      </c>
      <c r="B670" s="3"/>
      <c r="C670">
        <v>45222.597222222219</v>
      </c>
      <c r="D670" t="s">
        <v>903</v>
      </c>
      <c r="E670">
        <v>22</v>
      </c>
      <c r="F670" t="s">
        <v>742</v>
      </c>
      <c r="G670" s="3"/>
      <c r="H670" s="3"/>
      <c r="I670" s="3"/>
      <c r="J670" s="3"/>
      <c r="K670" s="3"/>
      <c r="L670" s="3"/>
      <c r="M67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1" spans="1:13" x14ac:dyDescent="0.35">
      <c r="A671" s="3" t="s">
        <v>783</v>
      </c>
      <c r="B671" s="3"/>
      <c r="C671">
        <v>45202.376388888893</v>
      </c>
      <c r="D671" t="s">
        <v>888</v>
      </c>
      <c r="E671">
        <v>28</v>
      </c>
      <c r="F671" t="s">
        <v>740</v>
      </c>
      <c r="G671" s="3"/>
      <c r="H671" s="3"/>
      <c r="I671" s="3"/>
      <c r="J671" s="3"/>
      <c r="K671" s="3"/>
      <c r="L671" s="3"/>
      <c r="M67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2" spans="1:13" x14ac:dyDescent="0.35">
      <c r="A672" s="3" t="s">
        <v>783</v>
      </c>
      <c r="B672" s="3"/>
      <c r="C672">
        <v>45225.921527777777</v>
      </c>
      <c r="D672" t="s">
        <v>1287</v>
      </c>
      <c r="E672">
        <v>45</v>
      </c>
      <c r="F672" t="s">
        <v>740</v>
      </c>
      <c r="G672" s="3"/>
      <c r="H672" s="3"/>
      <c r="I672" s="3"/>
      <c r="J672" s="3"/>
      <c r="K672" s="3"/>
      <c r="L672" s="3"/>
      <c r="M67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3" spans="1:13" x14ac:dyDescent="0.35">
      <c r="A673" s="3" t="s">
        <v>783</v>
      </c>
      <c r="B673" s="3"/>
      <c r="C673">
        <v>45200.445138888892</v>
      </c>
      <c r="D673" t="s">
        <v>911</v>
      </c>
      <c r="E673">
        <v>112</v>
      </c>
      <c r="F673" t="s">
        <v>740</v>
      </c>
      <c r="G673" s="3"/>
      <c r="H673" s="3"/>
      <c r="I673" s="3"/>
      <c r="J673" s="3"/>
      <c r="K673" s="3"/>
      <c r="L673" s="3"/>
      <c r="M6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4" spans="1:13" x14ac:dyDescent="0.35">
      <c r="A674" s="3" t="s">
        <v>783</v>
      </c>
      <c r="B674" s="3"/>
      <c r="C674">
        <v>45203.910416666673</v>
      </c>
      <c r="D674" t="s">
        <v>1306</v>
      </c>
      <c r="E674">
        <v>62</v>
      </c>
      <c r="F674" t="s">
        <v>740</v>
      </c>
      <c r="G674" s="3"/>
      <c r="H674" s="3"/>
      <c r="I674" s="3"/>
      <c r="J674" s="3"/>
      <c r="K674" s="3"/>
      <c r="L674" s="3"/>
      <c r="M6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5" spans="1:13" x14ac:dyDescent="0.35">
      <c r="A675" s="3" t="s">
        <v>783</v>
      </c>
      <c r="B675" s="3"/>
      <c r="C675">
        <v>45205.96875</v>
      </c>
      <c r="D675" t="s">
        <v>1323</v>
      </c>
      <c r="E675">
        <v>84</v>
      </c>
      <c r="F675" t="s">
        <v>742</v>
      </c>
      <c r="G675" s="3"/>
      <c r="H675" s="3"/>
      <c r="I675" s="3"/>
      <c r="J675" s="3"/>
      <c r="K675" s="3"/>
      <c r="L675" s="3"/>
      <c r="M6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6" spans="1:13" x14ac:dyDescent="0.35">
      <c r="A676" s="3" t="s">
        <v>783</v>
      </c>
      <c r="B676" s="3"/>
      <c r="C676">
        <v>45216.232638888891</v>
      </c>
      <c r="D676" t="s">
        <v>959</v>
      </c>
      <c r="E676">
        <v>11</v>
      </c>
      <c r="F676" t="s">
        <v>748</v>
      </c>
      <c r="G676" s="3"/>
      <c r="H676" s="3"/>
      <c r="I676" s="3"/>
      <c r="J676" s="3"/>
      <c r="K676" s="3"/>
      <c r="L676" s="3"/>
      <c r="M6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7" spans="1:13" x14ac:dyDescent="0.35">
      <c r="A677" s="3" t="s">
        <v>783</v>
      </c>
      <c r="B677" s="3"/>
      <c r="C677">
        <v>45205.440972222219</v>
      </c>
      <c r="D677" t="s">
        <v>901</v>
      </c>
      <c r="E677">
        <v>115</v>
      </c>
      <c r="F677" t="s">
        <v>742</v>
      </c>
      <c r="G677" s="3"/>
      <c r="H677" s="3"/>
      <c r="I677" s="3"/>
      <c r="J677" s="3"/>
      <c r="K677" s="3"/>
      <c r="L677" s="3"/>
      <c r="M6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8" spans="1:13" x14ac:dyDescent="0.35">
      <c r="A678" s="3" t="s">
        <v>783</v>
      </c>
      <c r="B678" s="3"/>
      <c r="C678">
        <v>45213.593055555553</v>
      </c>
      <c r="D678" t="s">
        <v>1281</v>
      </c>
      <c r="E678">
        <v>50</v>
      </c>
      <c r="F678" t="s">
        <v>748</v>
      </c>
      <c r="G678" s="3"/>
      <c r="H678" s="3"/>
      <c r="I678" s="3"/>
      <c r="J678" s="3"/>
      <c r="K678" s="3"/>
      <c r="L678" s="3"/>
      <c r="M6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79" spans="1:13" x14ac:dyDescent="0.35">
      <c r="A679" s="3" t="s">
        <v>783</v>
      </c>
      <c r="B679" s="3"/>
      <c r="C679">
        <v>45225.527777777781</v>
      </c>
      <c r="D679" t="s">
        <v>1324</v>
      </c>
      <c r="E679">
        <v>6</v>
      </c>
      <c r="F679" t="s">
        <v>742</v>
      </c>
      <c r="G679" s="3"/>
      <c r="H679" s="3"/>
      <c r="I679" s="3"/>
      <c r="J679" s="3"/>
      <c r="K679" s="3"/>
      <c r="L679" s="3"/>
      <c r="M6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0" spans="1:13" x14ac:dyDescent="0.35">
      <c r="A680" s="3" t="s">
        <v>783</v>
      </c>
      <c r="B680" s="3"/>
      <c r="C680">
        <v>45205.236111111109</v>
      </c>
      <c r="D680" t="s">
        <v>1129</v>
      </c>
      <c r="E680">
        <v>67</v>
      </c>
      <c r="F680" t="s">
        <v>742</v>
      </c>
      <c r="G680" s="3"/>
      <c r="H680" s="3"/>
      <c r="I680" s="3"/>
      <c r="J680" s="3"/>
      <c r="K680" s="3"/>
      <c r="L680" s="3"/>
      <c r="M6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1" spans="1:13" x14ac:dyDescent="0.35">
      <c r="A681" s="3" t="s">
        <v>783</v>
      </c>
      <c r="B681" s="3"/>
      <c r="C681">
        <v>45221.559027777781</v>
      </c>
      <c r="D681" t="s">
        <v>968</v>
      </c>
      <c r="E681">
        <v>22</v>
      </c>
      <c r="F681" t="s">
        <v>740</v>
      </c>
      <c r="G681" s="3"/>
      <c r="H681" s="3"/>
      <c r="I681" s="3"/>
      <c r="J681" s="3"/>
      <c r="K681" s="3"/>
      <c r="L681" s="3"/>
      <c r="M68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2" spans="1:13" x14ac:dyDescent="0.35">
      <c r="A682" s="3" t="s">
        <v>783</v>
      </c>
      <c r="B682" s="3"/>
      <c r="C682">
        <v>45200.98541666667</v>
      </c>
      <c r="D682" t="s">
        <v>956</v>
      </c>
      <c r="E682">
        <v>29</v>
      </c>
      <c r="F682" t="s">
        <v>748</v>
      </c>
      <c r="G682" s="3"/>
      <c r="H682" s="3"/>
      <c r="I682" s="3"/>
      <c r="J682" s="3"/>
      <c r="K682" s="3"/>
      <c r="L682" s="3"/>
      <c r="M6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3" spans="1:13" x14ac:dyDescent="0.35">
      <c r="A683" s="3" t="s">
        <v>783</v>
      </c>
      <c r="B683" s="3"/>
      <c r="C683">
        <v>45228.269444444442</v>
      </c>
      <c r="D683" t="s">
        <v>1074</v>
      </c>
      <c r="E683">
        <v>109</v>
      </c>
      <c r="F683" t="s">
        <v>742</v>
      </c>
      <c r="G683" s="3"/>
      <c r="H683" s="3"/>
      <c r="I683" s="3"/>
      <c r="J683" s="3"/>
      <c r="K683" s="3"/>
      <c r="L683" s="3"/>
      <c r="M68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4" spans="1:13" x14ac:dyDescent="0.35">
      <c r="A684" s="3" t="s">
        <v>783</v>
      </c>
      <c r="B684" s="3"/>
      <c r="C684">
        <v>45218.558333333327</v>
      </c>
      <c r="D684" t="s">
        <v>1133</v>
      </c>
      <c r="E684">
        <v>54</v>
      </c>
      <c r="F684" t="s">
        <v>748</v>
      </c>
      <c r="G684" s="3"/>
      <c r="H684" s="3"/>
      <c r="I684" s="3"/>
      <c r="J684" s="3"/>
      <c r="K684" s="3"/>
      <c r="L684" s="3"/>
      <c r="M6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5" spans="1:13" x14ac:dyDescent="0.35">
      <c r="A685" s="3" t="s">
        <v>783</v>
      </c>
      <c r="B685" s="3"/>
      <c r="C685">
        <v>45200.925694444442</v>
      </c>
      <c r="D685" t="s">
        <v>951</v>
      </c>
      <c r="E685">
        <v>76</v>
      </c>
      <c r="F685" t="s">
        <v>748</v>
      </c>
      <c r="G685" s="3"/>
      <c r="H685" s="3"/>
      <c r="I685" s="3"/>
      <c r="J685" s="3"/>
      <c r="K685" s="3"/>
      <c r="L685" s="3"/>
      <c r="M6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6" spans="1:13" x14ac:dyDescent="0.35">
      <c r="A686" s="3" t="s">
        <v>783</v>
      </c>
      <c r="B686" s="3"/>
      <c r="C686">
        <v>45206.366666666669</v>
      </c>
      <c r="D686" t="s">
        <v>1153</v>
      </c>
      <c r="E686">
        <v>69</v>
      </c>
      <c r="F686" t="s">
        <v>742</v>
      </c>
      <c r="G686" s="3"/>
      <c r="H686" s="3"/>
      <c r="I686" s="3"/>
      <c r="J686" s="3"/>
      <c r="K686" s="3"/>
      <c r="L686" s="3"/>
      <c r="M68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7" spans="1:13" x14ac:dyDescent="0.35">
      <c r="A687" s="3" t="s">
        <v>783</v>
      </c>
      <c r="B687" s="3"/>
      <c r="C687">
        <v>45222.10833333333</v>
      </c>
      <c r="D687" t="s">
        <v>1325</v>
      </c>
      <c r="E687">
        <v>88</v>
      </c>
      <c r="F687" t="s">
        <v>748</v>
      </c>
      <c r="G687" s="3"/>
      <c r="H687" s="3"/>
      <c r="I687" s="3"/>
      <c r="J687" s="3"/>
      <c r="K687" s="3"/>
      <c r="L687" s="3"/>
      <c r="M68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8" spans="1:13" x14ac:dyDescent="0.35">
      <c r="A688" s="3" t="s">
        <v>783</v>
      </c>
      <c r="B688" s="3"/>
      <c r="C688">
        <v>45203.71597222222</v>
      </c>
      <c r="D688" t="s">
        <v>1326</v>
      </c>
      <c r="E688">
        <v>68</v>
      </c>
      <c r="F688" t="s">
        <v>742</v>
      </c>
      <c r="G688" s="3"/>
      <c r="H688" s="3"/>
      <c r="I688" s="3"/>
      <c r="J688" s="3"/>
      <c r="K688" s="3"/>
      <c r="L688" s="3"/>
      <c r="M68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89" spans="1:13" x14ac:dyDescent="0.35">
      <c r="A689" s="3" t="s">
        <v>783</v>
      </c>
      <c r="B689" s="3"/>
      <c r="C689">
        <v>45211.425000000003</v>
      </c>
      <c r="D689" t="s">
        <v>864</v>
      </c>
      <c r="E689">
        <v>57</v>
      </c>
      <c r="F689" t="s">
        <v>742</v>
      </c>
      <c r="G689" s="3"/>
      <c r="H689" s="3"/>
      <c r="I689" s="3"/>
      <c r="J689" s="3"/>
      <c r="K689" s="3"/>
      <c r="L689" s="3"/>
      <c r="M68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0" spans="1:13" x14ac:dyDescent="0.35">
      <c r="A690" s="3" t="s">
        <v>783</v>
      </c>
      <c r="B690" s="3"/>
      <c r="C690">
        <v>45214.136111111111</v>
      </c>
      <c r="D690" t="s">
        <v>1327</v>
      </c>
      <c r="E690">
        <v>92</v>
      </c>
      <c r="F690" t="s">
        <v>740</v>
      </c>
      <c r="G690" s="3"/>
      <c r="H690" s="3"/>
      <c r="I690" s="3"/>
      <c r="J690" s="3"/>
      <c r="K690" s="3"/>
      <c r="L690" s="3"/>
      <c r="M69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1" spans="1:13" x14ac:dyDescent="0.35">
      <c r="A691" s="3" t="s">
        <v>783</v>
      </c>
      <c r="B691" s="3"/>
      <c r="C691">
        <v>45221.647916666669</v>
      </c>
      <c r="D691" t="s">
        <v>953</v>
      </c>
      <c r="E691">
        <v>67</v>
      </c>
      <c r="F691" t="s">
        <v>740</v>
      </c>
      <c r="G691" s="3"/>
      <c r="H691" s="3"/>
      <c r="I691" s="3"/>
      <c r="J691" s="3"/>
      <c r="K691" s="3"/>
      <c r="L691" s="3"/>
      <c r="M69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2" spans="1:13" x14ac:dyDescent="0.35">
      <c r="A692" s="3" t="s">
        <v>783</v>
      </c>
      <c r="B692" s="3"/>
      <c r="C692">
        <v>45230.847222222219</v>
      </c>
      <c r="D692" t="s">
        <v>1059</v>
      </c>
      <c r="E692">
        <v>58</v>
      </c>
      <c r="F692" t="s">
        <v>748</v>
      </c>
      <c r="G692" s="3"/>
      <c r="H692" s="3"/>
      <c r="I692" s="3"/>
      <c r="J692" s="3"/>
      <c r="K692" s="3"/>
      <c r="L692" s="3"/>
      <c r="M6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3" spans="1:13" x14ac:dyDescent="0.35">
      <c r="A693" s="3" t="s">
        <v>783</v>
      </c>
      <c r="B693" s="3"/>
      <c r="C693">
        <v>45219.527083333327</v>
      </c>
      <c r="D693" t="s">
        <v>1273</v>
      </c>
      <c r="E693">
        <v>95</v>
      </c>
      <c r="F693" t="s">
        <v>740</v>
      </c>
      <c r="G693" s="3"/>
      <c r="H693" s="3"/>
      <c r="I693" s="3"/>
      <c r="J693" s="3"/>
      <c r="K693" s="3"/>
      <c r="L693" s="3"/>
      <c r="M69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4" spans="1:13" x14ac:dyDescent="0.35">
      <c r="A694" s="3" t="s">
        <v>783</v>
      </c>
      <c r="B694" s="3"/>
      <c r="C694">
        <v>45212.754861111112</v>
      </c>
      <c r="D694" t="s">
        <v>955</v>
      </c>
      <c r="E694">
        <v>112</v>
      </c>
      <c r="F694" t="s">
        <v>748</v>
      </c>
      <c r="G694" s="3"/>
      <c r="H694" s="3"/>
      <c r="I694" s="3"/>
      <c r="J694" s="3"/>
      <c r="K694" s="3"/>
      <c r="L694" s="3"/>
      <c r="M69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5" spans="1:13" x14ac:dyDescent="0.35">
      <c r="A695" s="3" t="s">
        <v>783</v>
      </c>
      <c r="B695" s="3"/>
      <c r="C695">
        <v>45211.495833333327</v>
      </c>
      <c r="D695" t="s">
        <v>1092</v>
      </c>
      <c r="E695">
        <v>61</v>
      </c>
      <c r="F695" t="s">
        <v>742</v>
      </c>
      <c r="G695" s="3"/>
      <c r="H695" s="3"/>
      <c r="I695" s="3"/>
      <c r="J695" s="3"/>
      <c r="K695" s="3"/>
      <c r="L695" s="3"/>
      <c r="M69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6" spans="1:13" x14ac:dyDescent="0.35">
      <c r="A696" s="3" t="s">
        <v>783</v>
      </c>
      <c r="B696" s="3"/>
      <c r="C696">
        <v>45214.799305555563</v>
      </c>
      <c r="D696" t="s">
        <v>1328</v>
      </c>
      <c r="E696">
        <v>67</v>
      </c>
      <c r="F696" t="s">
        <v>740</v>
      </c>
      <c r="G696" s="3"/>
      <c r="H696" s="3"/>
      <c r="I696" s="3"/>
      <c r="J696" s="3"/>
      <c r="K696" s="3"/>
      <c r="L696" s="3"/>
      <c r="M6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7" spans="1:13" x14ac:dyDescent="0.35">
      <c r="A697" s="3" t="s">
        <v>783</v>
      </c>
      <c r="B697" s="3"/>
      <c r="C697">
        <v>45226.90625</v>
      </c>
      <c r="D697" t="s">
        <v>1212</v>
      </c>
      <c r="E697">
        <v>26</v>
      </c>
      <c r="F697" t="s">
        <v>742</v>
      </c>
      <c r="G697" s="3"/>
      <c r="H697" s="3"/>
      <c r="I697" s="3"/>
      <c r="J697" s="3"/>
      <c r="K697" s="3"/>
      <c r="L697" s="3"/>
      <c r="M6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8" spans="1:13" x14ac:dyDescent="0.35">
      <c r="A698" s="3" t="s">
        <v>783</v>
      </c>
      <c r="B698" s="3"/>
      <c r="C698">
        <v>45225.415277777778</v>
      </c>
      <c r="D698" t="s">
        <v>1329</v>
      </c>
      <c r="E698">
        <v>15</v>
      </c>
      <c r="F698" t="s">
        <v>740</v>
      </c>
      <c r="G698" s="3"/>
      <c r="H698" s="3"/>
      <c r="I698" s="3"/>
      <c r="J698" s="3"/>
      <c r="K698" s="3"/>
      <c r="L698" s="3"/>
      <c r="M69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699" spans="1:13" x14ac:dyDescent="0.35">
      <c r="A699" s="3" t="s">
        <v>783</v>
      </c>
      <c r="B699" s="3"/>
      <c r="C699">
        <v>45219.753472222219</v>
      </c>
      <c r="D699" t="s">
        <v>1090</v>
      </c>
      <c r="E699">
        <v>77</v>
      </c>
      <c r="F699" t="s">
        <v>740</v>
      </c>
      <c r="G699" s="3"/>
      <c r="H699" s="3"/>
      <c r="I699" s="3"/>
      <c r="J699" s="3"/>
      <c r="K699" s="3"/>
      <c r="L699" s="3"/>
      <c r="M69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0" spans="1:13" x14ac:dyDescent="0.35">
      <c r="A700" s="3" t="s">
        <v>783</v>
      </c>
      <c r="B700" s="3"/>
      <c r="C700">
        <v>45221.180555555547</v>
      </c>
      <c r="D700" t="s">
        <v>828</v>
      </c>
      <c r="E700">
        <v>8</v>
      </c>
      <c r="F700" t="s">
        <v>740</v>
      </c>
      <c r="G700" s="3"/>
      <c r="H700" s="3"/>
      <c r="I700" s="3"/>
      <c r="J700" s="3"/>
      <c r="K700" s="3"/>
      <c r="L700" s="3"/>
      <c r="M70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1" spans="1:13" x14ac:dyDescent="0.35">
      <c r="A701" s="3" t="s">
        <v>783</v>
      </c>
      <c r="B701" s="3"/>
      <c r="C701">
        <v>45203.304861111108</v>
      </c>
      <c r="D701" t="s">
        <v>846</v>
      </c>
      <c r="E701">
        <v>106</v>
      </c>
      <c r="F701" t="s">
        <v>742</v>
      </c>
      <c r="G701" s="3"/>
      <c r="H701" s="3"/>
      <c r="I701" s="3"/>
      <c r="J701" s="3"/>
      <c r="K701" s="3"/>
      <c r="L701" s="3"/>
      <c r="M70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2" spans="1:13" x14ac:dyDescent="0.35">
      <c r="A702" s="3" t="s">
        <v>783</v>
      </c>
      <c r="B702" s="3"/>
      <c r="C702">
        <v>45203.224305555559</v>
      </c>
      <c r="D702" t="s">
        <v>979</v>
      </c>
      <c r="E702">
        <v>102</v>
      </c>
      <c r="F702" t="s">
        <v>748</v>
      </c>
      <c r="G702" s="3"/>
      <c r="H702" s="3"/>
      <c r="I702" s="3"/>
      <c r="J702" s="3"/>
      <c r="K702" s="3"/>
      <c r="L702" s="3"/>
      <c r="M70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3" spans="1:13" x14ac:dyDescent="0.35">
      <c r="A703" s="3" t="s">
        <v>783</v>
      </c>
      <c r="B703" s="3"/>
      <c r="C703">
        <v>45222.188888888893</v>
      </c>
      <c r="D703" t="s">
        <v>966</v>
      </c>
      <c r="E703">
        <v>33</v>
      </c>
      <c r="F703" t="s">
        <v>740</v>
      </c>
      <c r="G703" s="3"/>
      <c r="H703" s="3"/>
      <c r="I703" s="3"/>
      <c r="J703" s="3"/>
      <c r="K703" s="3"/>
      <c r="L703" s="3"/>
      <c r="M7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4" spans="1:13" x14ac:dyDescent="0.35">
      <c r="A704" s="3" t="s">
        <v>783</v>
      </c>
      <c r="B704" s="3"/>
      <c r="C704">
        <v>45212.568055555559</v>
      </c>
      <c r="D704" t="s">
        <v>784</v>
      </c>
      <c r="E704">
        <v>42</v>
      </c>
      <c r="F704" t="s">
        <v>742</v>
      </c>
      <c r="G704" s="3"/>
      <c r="H704" s="3"/>
      <c r="I704" s="3"/>
      <c r="J704" s="3"/>
      <c r="K704" s="3"/>
      <c r="L704" s="3"/>
      <c r="M70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5" spans="1:13" x14ac:dyDescent="0.35">
      <c r="A705" s="3" t="s">
        <v>783</v>
      </c>
      <c r="B705" s="3"/>
      <c r="C705">
        <v>45204.76666666667</v>
      </c>
      <c r="D705" t="s">
        <v>868</v>
      </c>
      <c r="E705">
        <v>9</v>
      </c>
      <c r="F705" t="s">
        <v>748</v>
      </c>
      <c r="G705" s="3"/>
      <c r="H705" s="3"/>
      <c r="I705" s="3"/>
      <c r="J705" s="3"/>
      <c r="K705" s="3"/>
      <c r="L705" s="3"/>
      <c r="M7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6" spans="1:13" x14ac:dyDescent="0.35">
      <c r="A706" s="3" t="s">
        <v>767</v>
      </c>
      <c r="B706" s="3"/>
      <c r="C706">
        <v>45202.868055555547</v>
      </c>
      <c r="D706" t="s">
        <v>1143</v>
      </c>
      <c r="E706">
        <v>91</v>
      </c>
      <c r="F706" t="s">
        <v>742</v>
      </c>
      <c r="G706" s="3"/>
      <c r="H706" s="3"/>
      <c r="I706" s="3"/>
      <c r="J706" s="3"/>
      <c r="K706" s="3"/>
      <c r="L706" s="3"/>
      <c r="M7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7" spans="1:13" x14ac:dyDescent="0.35">
      <c r="A707" s="3" t="s">
        <v>767</v>
      </c>
      <c r="B707" s="3"/>
      <c r="C707">
        <v>45228.100694444453</v>
      </c>
      <c r="D707" t="s">
        <v>1179</v>
      </c>
      <c r="E707">
        <v>23</v>
      </c>
      <c r="F707" t="s">
        <v>748</v>
      </c>
      <c r="G707" s="3"/>
      <c r="H707" s="3"/>
      <c r="I707" s="3"/>
      <c r="J707" s="3"/>
      <c r="K707" s="3"/>
      <c r="L707" s="3"/>
      <c r="M70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8" spans="1:13" x14ac:dyDescent="0.35">
      <c r="A708" s="3" t="s">
        <v>767</v>
      </c>
      <c r="B708" s="3"/>
      <c r="C708">
        <v>45216.970138888893</v>
      </c>
      <c r="D708" t="s">
        <v>836</v>
      </c>
      <c r="E708">
        <v>13</v>
      </c>
      <c r="F708" t="s">
        <v>748</v>
      </c>
      <c r="G708" s="3"/>
      <c r="H708" s="3"/>
      <c r="I708" s="3"/>
      <c r="J708" s="3"/>
      <c r="K708" s="3"/>
      <c r="L708" s="3"/>
      <c r="M70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09" spans="1:13" x14ac:dyDescent="0.35">
      <c r="A709" s="3" t="s">
        <v>767</v>
      </c>
      <c r="B709" s="3"/>
      <c r="C709">
        <v>45222.478472222218</v>
      </c>
      <c r="D709" t="s">
        <v>1038</v>
      </c>
      <c r="E709">
        <v>72</v>
      </c>
      <c r="F709" t="s">
        <v>742</v>
      </c>
      <c r="G709" s="3"/>
      <c r="H709" s="3"/>
      <c r="I709" s="3"/>
      <c r="J709" s="3"/>
      <c r="K709" s="3"/>
      <c r="L709" s="3"/>
      <c r="M70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0" spans="1:13" x14ac:dyDescent="0.35">
      <c r="A710" s="3" t="s">
        <v>767</v>
      </c>
      <c r="B710" s="3"/>
      <c r="C710">
        <v>45230.638888888891</v>
      </c>
      <c r="D710" t="s">
        <v>996</v>
      </c>
      <c r="E710">
        <v>77</v>
      </c>
      <c r="F710" t="s">
        <v>742</v>
      </c>
      <c r="G710" s="3"/>
      <c r="H710" s="3"/>
      <c r="I710" s="3"/>
      <c r="J710" s="3"/>
      <c r="K710" s="3"/>
      <c r="L710" s="3"/>
      <c r="M7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1" spans="1:13" x14ac:dyDescent="0.35">
      <c r="A711" s="3" t="s">
        <v>767</v>
      </c>
      <c r="B711" s="3"/>
      <c r="C711">
        <v>45218.038194444453</v>
      </c>
      <c r="D711" t="s">
        <v>944</v>
      </c>
      <c r="E711">
        <v>6</v>
      </c>
      <c r="F711" t="s">
        <v>740</v>
      </c>
      <c r="G711" s="3"/>
      <c r="H711" s="3"/>
      <c r="I711" s="3"/>
      <c r="J711" s="3"/>
      <c r="K711" s="3"/>
      <c r="L711" s="3"/>
      <c r="M7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2" spans="1:13" x14ac:dyDescent="0.35">
      <c r="A712" s="3" t="s">
        <v>767</v>
      </c>
      <c r="B712" s="3"/>
      <c r="C712">
        <v>45224.961805555547</v>
      </c>
      <c r="D712" t="s">
        <v>1310</v>
      </c>
      <c r="E712">
        <v>83</v>
      </c>
      <c r="F712" t="s">
        <v>748</v>
      </c>
      <c r="G712" s="3"/>
      <c r="H712" s="3"/>
      <c r="I712" s="3"/>
      <c r="J712" s="3"/>
      <c r="K712" s="3"/>
      <c r="L712" s="3"/>
      <c r="M71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3" spans="1:13" x14ac:dyDescent="0.35">
      <c r="A713" s="3" t="s">
        <v>767</v>
      </c>
      <c r="B713" s="3"/>
      <c r="C713">
        <v>45223.611111111109</v>
      </c>
      <c r="D713" t="s">
        <v>1303</v>
      </c>
      <c r="E713">
        <v>88</v>
      </c>
      <c r="F713" t="s">
        <v>740</v>
      </c>
      <c r="G713" s="3"/>
      <c r="H713" s="3"/>
      <c r="I713" s="3"/>
      <c r="J713" s="3"/>
      <c r="K713" s="3"/>
      <c r="L713" s="3"/>
      <c r="M71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4" spans="1:13" x14ac:dyDescent="0.35">
      <c r="A714" s="3" t="s">
        <v>767</v>
      </c>
      <c r="B714" s="3"/>
      <c r="C714">
        <v>45221.931944444441</v>
      </c>
      <c r="D714" t="s">
        <v>1330</v>
      </c>
      <c r="E714">
        <v>26</v>
      </c>
      <c r="F714" t="s">
        <v>740</v>
      </c>
      <c r="G714" s="3"/>
      <c r="H714" s="3"/>
      <c r="I714" s="3"/>
      <c r="J714" s="3"/>
      <c r="K714" s="3"/>
      <c r="L714" s="3"/>
      <c r="M7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5" spans="1:13" x14ac:dyDescent="0.35">
      <c r="A715" s="3" t="s">
        <v>767</v>
      </c>
      <c r="B715" s="3"/>
      <c r="C715">
        <v>45227.118055555547</v>
      </c>
      <c r="D715" t="s">
        <v>1331</v>
      </c>
      <c r="E715">
        <v>61</v>
      </c>
      <c r="F715" t="s">
        <v>742</v>
      </c>
      <c r="G715" s="3"/>
      <c r="H715" s="3"/>
      <c r="I715" s="3"/>
      <c r="J715" s="3"/>
      <c r="K715" s="3"/>
      <c r="L715" s="3"/>
      <c r="M71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6" spans="1:13" x14ac:dyDescent="0.35">
      <c r="A716" s="3" t="s">
        <v>767</v>
      </c>
      <c r="B716" s="3"/>
      <c r="C716">
        <v>45217.509027777778</v>
      </c>
      <c r="D716" t="s">
        <v>1025</v>
      </c>
      <c r="E716">
        <v>49</v>
      </c>
      <c r="F716" t="s">
        <v>740</v>
      </c>
      <c r="G716" s="3"/>
      <c r="H716" s="3"/>
      <c r="I716" s="3"/>
      <c r="J716" s="3"/>
      <c r="K716" s="3"/>
      <c r="L716" s="3"/>
      <c r="M7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7" spans="1:13" x14ac:dyDescent="0.35">
      <c r="A717" s="3" t="s">
        <v>767</v>
      </c>
      <c r="B717" s="3"/>
      <c r="C717">
        <v>45230.577777777777</v>
      </c>
      <c r="D717" t="s">
        <v>1332</v>
      </c>
      <c r="E717">
        <v>97</v>
      </c>
      <c r="F717" t="s">
        <v>740</v>
      </c>
      <c r="G717" s="3"/>
      <c r="H717" s="3"/>
      <c r="I717" s="3"/>
      <c r="J717" s="3"/>
      <c r="K717" s="3"/>
      <c r="L717" s="3"/>
      <c r="M71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8" spans="1:13" x14ac:dyDescent="0.35">
      <c r="A718" s="3" t="s">
        <v>767</v>
      </c>
      <c r="B718" s="3"/>
      <c r="C718">
        <v>45206.636805555558</v>
      </c>
      <c r="D718" t="s">
        <v>815</v>
      </c>
      <c r="E718">
        <v>32</v>
      </c>
      <c r="F718" t="s">
        <v>748</v>
      </c>
      <c r="G718" s="3"/>
      <c r="H718" s="3"/>
      <c r="I718" s="3"/>
      <c r="J718" s="3"/>
      <c r="K718" s="3"/>
      <c r="L718" s="3"/>
      <c r="M7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19" spans="1:13" x14ac:dyDescent="0.35">
      <c r="A719" s="3" t="s">
        <v>767</v>
      </c>
      <c r="B719" s="3"/>
      <c r="C719">
        <v>45210.38958333333</v>
      </c>
      <c r="D719" t="s">
        <v>893</v>
      </c>
      <c r="E719">
        <v>85</v>
      </c>
      <c r="F719" t="s">
        <v>740</v>
      </c>
      <c r="G719" s="3"/>
      <c r="H719" s="3"/>
      <c r="I719" s="3"/>
      <c r="J719" s="3"/>
      <c r="K719" s="3"/>
      <c r="L719" s="3"/>
      <c r="M7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0" spans="1:13" x14ac:dyDescent="0.35">
      <c r="A720" s="3" t="s">
        <v>767</v>
      </c>
      <c r="B720" s="3"/>
      <c r="C720">
        <v>45217.755555555559</v>
      </c>
      <c r="D720" t="s">
        <v>1333</v>
      </c>
      <c r="E720">
        <v>100</v>
      </c>
      <c r="F720" t="s">
        <v>740</v>
      </c>
      <c r="G720" s="3"/>
      <c r="H720" s="3"/>
      <c r="I720" s="3"/>
      <c r="J720" s="3"/>
      <c r="K720" s="3"/>
      <c r="L720" s="3"/>
      <c r="M7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1" spans="1:13" x14ac:dyDescent="0.35">
      <c r="A721" s="3" t="s">
        <v>767</v>
      </c>
      <c r="B721" s="3"/>
      <c r="C721">
        <v>45218.659722222219</v>
      </c>
      <c r="D721" t="s">
        <v>1334</v>
      </c>
      <c r="E721">
        <v>24</v>
      </c>
      <c r="F721" t="s">
        <v>740</v>
      </c>
      <c r="G721" s="3"/>
      <c r="H721" s="3"/>
      <c r="I721" s="3"/>
      <c r="J721" s="3"/>
      <c r="K721" s="3"/>
      <c r="L721" s="3"/>
      <c r="M72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2" spans="1:13" x14ac:dyDescent="0.35">
      <c r="A722" s="3" t="s">
        <v>767</v>
      </c>
      <c r="B722" s="3"/>
      <c r="C722">
        <v>45210.908333333333</v>
      </c>
      <c r="D722" t="s">
        <v>1283</v>
      </c>
      <c r="E722">
        <v>57</v>
      </c>
      <c r="F722" t="s">
        <v>748</v>
      </c>
      <c r="G722" s="3"/>
      <c r="H722" s="3"/>
      <c r="I722" s="3"/>
      <c r="J722" s="3"/>
      <c r="K722" s="3"/>
      <c r="L722" s="3"/>
      <c r="M7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3" spans="1:13" x14ac:dyDescent="0.35">
      <c r="A723" s="3" t="s">
        <v>767</v>
      </c>
      <c r="B723" s="3"/>
      <c r="C723">
        <v>45201.04583333333</v>
      </c>
      <c r="D723" t="s">
        <v>1160</v>
      </c>
      <c r="E723">
        <v>83</v>
      </c>
      <c r="F723" t="s">
        <v>742</v>
      </c>
      <c r="G723" s="3"/>
      <c r="H723" s="3"/>
      <c r="I723" s="3"/>
      <c r="J723" s="3"/>
      <c r="K723" s="3"/>
      <c r="L723" s="3"/>
      <c r="M7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4" spans="1:13" x14ac:dyDescent="0.35">
      <c r="A724" s="3" t="s">
        <v>767</v>
      </c>
      <c r="B724" s="3"/>
      <c r="C724">
        <v>45220.584027777782</v>
      </c>
      <c r="D724" t="s">
        <v>855</v>
      </c>
      <c r="E724">
        <v>92</v>
      </c>
      <c r="F724" t="s">
        <v>748</v>
      </c>
      <c r="G724" s="3"/>
      <c r="H724" s="3"/>
      <c r="I724" s="3"/>
      <c r="J724" s="3"/>
      <c r="K724" s="3"/>
      <c r="L724" s="3"/>
      <c r="M7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5" spans="1:13" x14ac:dyDescent="0.35">
      <c r="A725" s="3" t="s">
        <v>767</v>
      </c>
      <c r="B725" s="3"/>
      <c r="C725">
        <v>45203.227777777778</v>
      </c>
      <c r="D725" t="s">
        <v>1158</v>
      </c>
      <c r="E725">
        <v>61</v>
      </c>
      <c r="F725" t="s">
        <v>742</v>
      </c>
      <c r="G725" s="3"/>
      <c r="H725" s="3"/>
      <c r="I725" s="3"/>
      <c r="J725" s="3"/>
      <c r="K725" s="3"/>
      <c r="L725" s="3"/>
      <c r="M7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6" spans="1:13" x14ac:dyDescent="0.35">
      <c r="A726" s="3" t="s">
        <v>767</v>
      </c>
      <c r="B726" s="3"/>
      <c r="C726">
        <v>45214.018750000003</v>
      </c>
      <c r="D726" t="s">
        <v>930</v>
      </c>
      <c r="E726">
        <v>115</v>
      </c>
      <c r="F726" t="s">
        <v>742</v>
      </c>
      <c r="G726" s="3"/>
      <c r="H726" s="3"/>
      <c r="I726" s="3"/>
      <c r="J726" s="3"/>
      <c r="K726" s="3"/>
      <c r="L726" s="3"/>
      <c r="M7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7" spans="1:13" x14ac:dyDescent="0.35">
      <c r="A727" s="3" t="s">
        <v>767</v>
      </c>
      <c r="B727" s="3"/>
      <c r="C727">
        <v>45206.956944444442</v>
      </c>
      <c r="D727" t="s">
        <v>766</v>
      </c>
      <c r="E727">
        <v>32</v>
      </c>
      <c r="F727" t="s">
        <v>742</v>
      </c>
      <c r="G727" s="3"/>
      <c r="H727" s="3"/>
      <c r="I727" s="3"/>
      <c r="J727" s="3"/>
      <c r="K727" s="3"/>
      <c r="L727" s="3"/>
      <c r="M7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8" spans="1:13" x14ac:dyDescent="0.35">
      <c r="A728" s="3" t="s">
        <v>767</v>
      </c>
      <c r="B728" s="3"/>
      <c r="C728">
        <v>45204.84652777778</v>
      </c>
      <c r="D728" t="s">
        <v>1335</v>
      </c>
      <c r="E728">
        <v>16</v>
      </c>
      <c r="F728" t="s">
        <v>748</v>
      </c>
      <c r="G728" s="3"/>
      <c r="H728" s="3"/>
      <c r="I728" s="3"/>
      <c r="J728" s="3"/>
      <c r="K728" s="3"/>
      <c r="L728" s="3"/>
      <c r="M7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29" spans="1:13" x14ac:dyDescent="0.35">
      <c r="A729" s="3" t="s">
        <v>767</v>
      </c>
      <c r="B729" s="3"/>
      <c r="C729">
        <v>45205.336805555547</v>
      </c>
      <c r="D729" t="s">
        <v>1336</v>
      </c>
      <c r="E729">
        <v>119</v>
      </c>
      <c r="F729" t="s">
        <v>748</v>
      </c>
      <c r="G729" s="3"/>
      <c r="H729" s="3"/>
      <c r="I729" s="3"/>
      <c r="J729" s="3"/>
      <c r="K729" s="3"/>
      <c r="L729" s="3"/>
      <c r="M7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0" spans="1:13" x14ac:dyDescent="0.35">
      <c r="A730" s="3" t="s">
        <v>767</v>
      </c>
      <c r="B730" s="3"/>
      <c r="C730">
        <v>45220.469444444447</v>
      </c>
      <c r="D730" t="s">
        <v>963</v>
      </c>
      <c r="E730">
        <v>17</v>
      </c>
      <c r="F730" t="s">
        <v>742</v>
      </c>
      <c r="G730" s="3"/>
      <c r="H730" s="3"/>
      <c r="I730" s="3"/>
      <c r="J730" s="3"/>
      <c r="K730" s="3"/>
      <c r="L730" s="3"/>
      <c r="M7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1" spans="1:13" x14ac:dyDescent="0.35">
      <c r="A731" s="3" t="s">
        <v>767</v>
      </c>
      <c r="B731" s="3"/>
      <c r="C731">
        <v>45202.487500000003</v>
      </c>
      <c r="D731" t="s">
        <v>1337</v>
      </c>
      <c r="E731">
        <v>22</v>
      </c>
      <c r="F731" t="s">
        <v>748</v>
      </c>
      <c r="G731" s="3"/>
      <c r="H731" s="3"/>
      <c r="I731" s="3"/>
      <c r="J731" s="3"/>
      <c r="K731" s="3"/>
      <c r="L731" s="3"/>
      <c r="M73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2" spans="1:13" x14ac:dyDescent="0.35">
      <c r="A732" s="3" t="s">
        <v>767</v>
      </c>
      <c r="B732" s="3"/>
      <c r="C732">
        <v>45228.840277777781</v>
      </c>
      <c r="D732" t="s">
        <v>1046</v>
      </c>
      <c r="E732">
        <v>101</v>
      </c>
      <c r="F732" t="s">
        <v>740</v>
      </c>
      <c r="G732" s="3"/>
      <c r="H732" s="3"/>
      <c r="I732" s="3"/>
      <c r="J732" s="3"/>
      <c r="K732" s="3"/>
      <c r="L732" s="3"/>
      <c r="M7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3" spans="1:13" x14ac:dyDescent="0.35">
      <c r="A733" s="3" t="s">
        <v>767</v>
      </c>
      <c r="B733" s="3"/>
      <c r="C733">
        <v>45201.527777777781</v>
      </c>
      <c r="D733" t="s">
        <v>882</v>
      </c>
      <c r="E733">
        <v>20</v>
      </c>
      <c r="F733" t="s">
        <v>742</v>
      </c>
      <c r="G733" s="3"/>
      <c r="H733" s="3"/>
      <c r="I733" s="3"/>
      <c r="J733" s="3"/>
      <c r="K733" s="3"/>
      <c r="L733" s="3"/>
      <c r="M7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4" spans="1:13" x14ac:dyDescent="0.35">
      <c r="A734" s="3" t="s">
        <v>767</v>
      </c>
      <c r="B734" s="3"/>
      <c r="C734">
        <v>45209.988888888889</v>
      </c>
      <c r="D734" t="s">
        <v>1338</v>
      </c>
      <c r="E734">
        <v>80</v>
      </c>
      <c r="F734" t="s">
        <v>742</v>
      </c>
      <c r="G734" s="3"/>
      <c r="H734" s="3"/>
      <c r="I734" s="3"/>
      <c r="J734" s="3"/>
      <c r="K734" s="3"/>
      <c r="L734" s="3"/>
      <c r="M7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5" spans="1:13" x14ac:dyDescent="0.35">
      <c r="A735" s="3" t="s">
        <v>767</v>
      </c>
      <c r="B735" s="3"/>
      <c r="C735">
        <v>45224.310416666667</v>
      </c>
      <c r="D735" t="s">
        <v>1287</v>
      </c>
      <c r="E735">
        <v>98</v>
      </c>
      <c r="F735" t="s">
        <v>742</v>
      </c>
      <c r="G735" s="3"/>
      <c r="H735" s="3"/>
      <c r="I735" s="3"/>
      <c r="J735" s="3"/>
      <c r="K735" s="3"/>
      <c r="L735" s="3"/>
      <c r="M7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6" spans="1:13" x14ac:dyDescent="0.35">
      <c r="A736" s="3" t="s">
        <v>767</v>
      </c>
      <c r="B736" s="3"/>
      <c r="C736">
        <v>45220.114583333343</v>
      </c>
      <c r="D736" t="s">
        <v>1048</v>
      </c>
      <c r="E736">
        <v>54</v>
      </c>
      <c r="F736" t="s">
        <v>742</v>
      </c>
      <c r="G736" s="3"/>
      <c r="H736" s="3"/>
      <c r="I736" s="3"/>
      <c r="J736" s="3"/>
      <c r="K736" s="3"/>
      <c r="L736" s="3"/>
      <c r="M7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7" spans="1:13" x14ac:dyDescent="0.35">
      <c r="A737" s="3" t="s">
        <v>767</v>
      </c>
      <c r="B737" s="3"/>
      <c r="C737">
        <v>45203.009027777778</v>
      </c>
      <c r="D737" t="s">
        <v>1316</v>
      </c>
      <c r="E737">
        <v>49</v>
      </c>
      <c r="F737" t="s">
        <v>740</v>
      </c>
      <c r="G737" s="3"/>
      <c r="H737" s="3"/>
      <c r="I737" s="3"/>
      <c r="J737" s="3"/>
      <c r="K737" s="3"/>
      <c r="L737" s="3"/>
      <c r="M73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8" spans="1:13" x14ac:dyDescent="0.35">
      <c r="A738" s="3" t="s">
        <v>767</v>
      </c>
      <c r="B738" s="3"/>
      <c r="C738">
        <v>45215.088888888888</v>
      </c>
      <c r="D738" t="s">
        <v>1262</v>
      </c>
      <c r="E738">
        <v>59</v>
      </c>
      <c r="F738" t="s">
        <v>748</v>
      </c>
      <c r="G738" s="3"/>
      <c r="H738" s="3"/>
      <c r="I738" s="3"/>
      <c r="J738" s="3"/>
      <c r="K738" s="3"/>
      <c r="L738" s="3"/>
      <c r="M7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39" spans="1:13" x14ac:dyDescent="0.35">
      <c r="A739" s="3" t="s">
        <v>767</v>
      </c>
      <c r="B739" s="3"/>
      <c r="C739">
        <v>45218.314583333333</v>
      </c>
      <c r="D739" t="s">
        <v>1339</v>
      </c>
      <c r="E739">
        <v>45</v>
      </c>
      <c r="F739" t="s">
        <v>740</v>
      </c>
      <c r="G739" s="3"/>
      <c r="H739" s="3"/>
      <c r="I739" s="3"/>
      <c r="J739" s="3"/>
      <c r="K739" s="3"/>
      <c r="L739" s="3"/>
      <c r="M73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0" spans="1:13" x14ac:dyDescent="0.35">
      <c r="A740" s="3" t="s">
        <v>767</v>
      </c>
      <c r="B740" s="3"/>
      <c r="C740">
        <v>45221.583333333343</v>
      </c>
      <c r="D740" t="s">
        <v>1340</v>
      </c>
      <c r="E740">
        <v>106</v>
      </c>
      <c r="F740" t="s">
        <v>748</v>
      </c>
      <c r="G740" s="3"/>
      <c r="H740" s="3"/>
      <c r="I740" s="3"/>
      <c r="J740" s="3"/>
      <c r="K740" s="3"/>
      <c r="L740" s="3"/>
      <c r="M7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1" spans="1:13" x14ac:dyDescent="0.35">
      <c r="A741" s="3" t="s">
        <v>767</v>
      </c>
      <c r="B741" s="3"/>
      <c r="C741">
        <v>45200.931250000001</v>
      </c>
      <c r="D741" t="s">
        <v>1208</v>
      </c>
      <c r="E741">
        <v>22</v>
      </c>
      <c r="F741" t="s">
        <v>740</v>
      </c>
      <c r="G741" s="3"/>
      <c r="H741" s="3"/>
      <c r="I741" s="3"/>
      <c r="J741" s="3"/>
      <c r="K741" s="3"/>
      <c r="L741" s="3"/>
      <c r="M7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2" spans="1:13" x14ac:dyDescent="0.35">
      <c r="A742" s="3" t="s">
        <v>767</v>
      </c>
      <c r="B742" s="3"/>
      <c r="C742">
        <v>45226.163194444453</v>
      </c>
      <c r="D742" t="s">
        <v>1341</v>
      </c>
      <c r="E742">
        <v>36</v>
      </c>
      <c r="F742" t="s">
        <v>742</v>
      </c>
      <c r="G742" s="3"/>
      <c r="H742" s="3"/>
      <c r="I742" s="3"/>
      <c r="J742" s="3"/>
      <c r="K742" s="3"/>
      <c r="L742" s="3"/>
      <c r="M7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3" spans="1:13" x14ac:dyDescent="0.35">
      <c r="A743" s="3" t="s">
        <v>767</v>
      </c>
      <c r="B743" s="3"/>
      <c r="C743">
        <v>45213.922222222223</v>
      </c>
      <c r="D743" t="s">
        <v>1290</v>
      </c>
      <c r="E743">
        <v>40</v>
      </c>
      <c r="F743" t="s">
        <v>740</v>
      </c>
      <c r="G743" s="3"/>
      <c r="H743" s="3"/>
      <c r="I743" s="3"/>
      <c r="J743" s="3"/>
      <c r="K743" s="3"/>
      <c r="L743" s="3"/>
      <c r="M74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4" spans="1:13" x14ac:dyDescent="0.35">
      <c r="A744" s="3" t="s">
        <v>767</v>
      </c>
      <c r="B744" s="3"/>
      <c r="C744">
        <v>45215.093055555553</v>
      </c>
      <c r="D744" t="s">
        <v>849</v>
      </c>
      <c r="E744">
        <v>87</v>
      </c>
      <c r="F744" t="s">
        <v>740</v>
      </c>
      <c r="G744" s="3"/>
      <c r="H744" s="3"/>
      <c r="I744" s="3"/>
      <c r="J744" s="3"/>
      <c r="K744" s="3"/>
      <c r="L744" s="3"/>
      <c r="M74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5" spans="1:13" x14ac:dyDescent="0.35">
      <c r="A745" s="3" t="s">
        <v>767</v>
      </c>
      <c r="B745" s="3"/>
      <c r="C745">
        <v>45212.115277777782</v>
      </c>
      <c r="D745" t="s">
        <v>1214</v>
      </c>
      <c r="E745">
        <v>15</v>
      </c>
      <c r="F745" t="s">
        <v>742</v>
      </c>
      <c r="G745" s="3"/>
      <c r="H745" s="3"/>
      <c r="I745" s="3"/>
      <c r="J745" s="3"/>
      <c r="K745" s="3"/>
      <c r="L745" s="3"/>
      <c r="M7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6" spans="1:13" x14ac:dyDescent="0.35">
      <c r="A746" s="3" t="s">
        <v>767</v>
      </c>
      <c r="B746" s="3"/>
      <c r="C746">
        <v>45225.129166666673</v>
      </c>
      <c r="D746" t="s">
        <v>1078</v>
      </c>
      <c r="E746">
        <v>36</v>
      </c>
      <c r="F746" t="s">
        <v>748</v>
      </c>
      <c r="G746" s="3"/>
      <c r="H746" s="3"/>
      <c r="I746" s="3"/>
      <c r="J746" s="3"/>
      <c r="K746" s="3"/>
      <c r="L746" s="3"/>
      <c r="M7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7" spans="1:13" x14ac:dyDescent="0.35">
      <c r="A747" s="3" t="s">
        <v>767</v>
      </c>
      <c r="B747" s="3"/>
      <c r="C747">
        <v>45210.49722222222</v>
      </c>
      <c r="D747" t="s">
        <v>1163</v>
      </c>
      <c r="E747">
        <v>75</v>
      </c>
      <c r="F747" t="s">
        <v>748</v>
      </c>
      <c r="G747" s="3"/>
      <c r="H747" s="3"/>
      <c r="I747" s="3"/>
      <c r="J747" s="3"/>
      <c r="K747" s="3"/>
      <c r="L747" s="3"/>
      <c r="M74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8" spans="1:13" x14ac:dyDescent="0.35">
      <c r="A748" s="3" t="s">
        <v>767</v>
      </c>
      <c r="B748" s="3"/>
      <c r="C748">
        <v>45209.183333333327</v>
      </c>
      <c r="D748" t="s">
        <v>1342</v>
      </c>
      <c r="E748">
        <v>81</v>
      </c>
      <c r="F748" t="s">
        <v>742</v>
      </c>
      <c r="G748" s="3"/>
      <c r="H748" s="3"/>
      <c r="I748" s="3"/>
      <c r="J748" s="3"/>
      <c r="K748" s="3"/>
      <c r="L748" s="3"/>
      <c r="M74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49" spans="1:13" x14ac:dyDescent="0.35">
      <c r="A749" s="3" t="s">
        <v>767</v>
      </c>
      <c r="B749" s="3"/>
      <c r="C749">
        <v>45224.195138888892</v>
      </c>
      <c r="D749" t="s">
        <v>978</v>
      </c>
      <c r="E749">
        <v>81</v>
      </c>
      <c r="F749" t="s">
        <v>742</v>
      </c>
      <c r="G749" s="3"/>
      <c r="H749" s="3"/>
      <c r="I749" s="3"/>
      <c r="J749" s="3"/>
      <c r="K749" s="3"/>
      <c r="L749" s="3"/>
      <c r="M7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0" spans="1:13" x14ac:dyDescent="0.35">
      <c r="A750" s="3" t="s">
        <v>762</v>
      </c>
      <c r="B750" s="3"/>
      <c r="C750">
        <v>45223.293749999997</v>
      </c>
      <c r="D750" t="s">
        <v>896</v>
      </c>
      <c r="E750">
        <v>42</v>
      </c>
      <c r="F750" t="s">
        <v>748</v>
      </c>
      <c r="G750" s="3"/>
      <c r="H750" s="3"/>
      <c r="I750" s="3"/>
      <c r="J750" s="3"/>
      <c r="K750" s="3"/>
      <c r="L750" s="3"/>
      <c r="M7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1" spans="1:13" x14ac:dyDescent="0.35">
      <c r="A751" s="3" t="s">
        <v>762</v>
      </c>
      <c r="B751" s="3"/>
      <c r="C751">
        <v>45207.124305555553</v>
      </c>
      <c r="D751" t="s">
        <v>1343</v>
      </c>
      <c r="E751">
        <v>77</v>
      </c>
      <c r="F751" t="s">
        <v>748</v>
      </c>
      <c r="G751" s="3"/>
      <c r="H751" s="3"/>
      <c r="I751" s="3"/>
      <c r="J751" s="3"/>
      <c r="K751" s="3"/>
      <c r="L751" s="3"/>
      <c r="M7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2" spans="1:13" x14ac:dyDescent="0.35">
      <c r="A752" s="3" t="s">
        <v>762</v>
      </c>
      <c r="B752" s="3"/>
      <c r="C752">
        <v>45213.145138888889</v>
      </c>
      <c r="D752" t="s">
        <v>861</v>
      </c>
      <c r="E752">
        <v>105</v>
      </c>
      <c r="F752" t="s">
        <v>742</v>
      </c>
      <c r="G752" s="3"/>
      <c r="H752" s="3"/>
      <c r="I752" s="3"/>
      <c r="J752" s="3"/>
      <c r="K752" s="3"/>
      <c r="L752" s="3"/>
      <c r="M7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3" spans="1:13" x14ac:dyDescent="0.35">
      <c r="A753" s="3" t="s">
        <v>762</v>
      </c>
      <c r="B753" s="3"/>
      <c r="C753">
        <v>45219.793749999997</v>
      </c>
      <c r="D753" t="s">
        <v>1344</v>
      </c>
      <c r="E753">
        <v>43</v>
      </c>
      <c r="F753" t="s">
        <v>742</v>
      </c>
      <c r="G753" s="3"/>
      <c r="H753" s="3"/>
      <c r="I753" s="3"/>
      <c r="J753" s="3"/>
      <c r="K753" s="3"/>
      <c r="L753" s="3"/>
      <c r="M75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4" spans="1:13" x14ac:dyDescent="0.35">
      <c r="A754" s="3" t="s">
        <v>762</v>
      </c>
      <c r="B754" s="3"/>
      <c r="C754">
        <v>45209.907638888893</v>
      </c>
      <c r="D754" t="s">
        <v>999</v>
      </c>
      <c r="E754">
        <v>99</v>
      </c>
      <c r="F754" t="s">
        <v>748</v>
      </c>
      <c r="G754" s="3"/>
      <c r="H754" s="3"/>
      <c r="I754" s="3"/>
      <c r="J754" s="3"/>
      <c r="K754" s="3"/>
      <c r="L754" s="3"/>
      <c r="M75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5" spans="1:13" x14ac:dyDescent="0.35">
      <c r="A755" s="3" t="s">
        <v>762</v>
      </c>
      <c r="B755" s="3"/>
      <c r="C755">
        <v>45221.96597222222</v>
      </c>
      <c r="D755" t="s">
        <v>1345</v>
      </c>
      <c r="E755">
        <v>84</v>
      </c>
      <c r="F755" t="s">
        <v>748</v>
      </c>
      <c r="G755" s="3"/>
      <c r="H755" s="3"/>
      <c r="I755" s="3"/>
      <c r="J755" s="3"/>
      <c r="K755" s="3"/>
      <c r="L755" s="3"/>
      <c r="M75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6" spans="1:13" x14ac:dyDescent="0.35">
      <c r="A756" s="3" t="s">
        <v>762</v>
      </c>
      <c r="B756" s="3"/>
      <c r="C756">
        <v>45203.03125</v>
      </c>
      <c r="D756" t="s">
        <v>1026</v>
      </c>
      <c r="E756">
        <v>36</v>
      </c>
      <c r="F756" t="s">
        <v>748</v>
      </c>
      <c r="G756" s="3"/>
      <c r="H756" s="3"/>
      <c r="I756" s="3"/>
      <c r="J756" s="3"/>
      <c r="K756" s="3"/>
      <c r="L756" s="3"/>
      <c r="M75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7" spans="1:13" x14ac:dyDescent="0.35">
      <c r="A757" s="3" t="s">
        <v>762</v>
      </c>
      <c r="B757" s="3"/>
      <c r="C757">
        <v>45204.916666666657</v>
      </c>
      <c r="D757" t="s">
        <v>1346</v>
      </c>
      <c r="E757">
        <v>64</v>
      </c>
      <c r="F757" t="s">
        <v>748</v>
      </c>
      <c r="G757" s="3"/>
      <c r="H757" s="3"/>
      <c r="I757" s="3"/>
      <c r="J757" s="3"/>
      <c r="K757" s="3"/>
      <c r="L757" s="3"/>
      <c r="M75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8" spans="1:13" x14ac:dyDescent="0.35">
      <c r="A758" s="3" t="s">
        <v>762</v>
      </c>
      <c r="B758" s="3"/>
      <c r="C758">
        <v>45205.640277777777</v>
      </c>
      <c r="D758" t="s">
        <v>1110</v>
      </c>
      <c r="E758">
        <v>52</v>
      </c>
      <c r="F758" t="s">
        <v>740</v>
      </c>
      <c r="G758" s="3"/>
      <c r="H758" s="3"/>
      <c r="I758" s="3"/>
      <c r="J758" s="3"/>
      <c r="K758" s="3"/>
      <c r="L758" s="3"/>
      <c r="M75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59" spans="1:13" x14ac:dyDescent="0.35">
      <c r="A759" s="3" t="s">
        <v>762</v>
      </c>
      <c r="B759" s="3"/>
      <c r="C759">
        <v>45216.701388888891</v>
      </c>
      <c r="D759" t="s">
        <v>834</v>
      </c>
      <c r="E759">
        <v>80</v>
      </c>
      <c r="F759" t="s">
        <v>740</v>
      </c>
      <c r="G759" s="3"/>
      <c r="H759" s="3"/>
      <c r="I759" s="3"/>
      <c r="J759" s="3"/>
      <c r="K759" s="3"/>
      <c r="L759" s="3"/>
      <c r="M7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0" spans="1:13" x14ac:dyDescent="0.35">
      <c r="A760" s="3" t="s">
        <v>762</v>
      </c>
      <c r="B760" s="3"/>
      <c r="C760">
        <v>45226.969444444447</v>
      </c>
      <c r="D760" t="s">
        <v>1113</v>
      </c>
      <c r="E760">
        <v>68</v>
      </c>
      <c r="F760" t="s">
        <v>740</v>
      </c>
      <c r="G760" s="3"/>
      <c r="H760" s="3"/>
      <c r="I760" s="3"/>
      <c r="J760" s="3"/>
      <c r="K760" s="3"/>
      <c r="L760" s="3"/>
      <c r="M7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1" spans="1:13" x14ac:dyDescent="0.35">
      <c r="A761" s="3" t="s">
        <v>762</v>
      </c>
      <c r="B761" s="3"/>
      <c r="C761">
        <v>45205.463888888888</v>
      </c>
      <c r="D761" t="s">
        <v>763</v>
      </c>
      <c r="E761">
        <v>103</v>
      </c>
      <c r="F761" t="s">
        <v>740</v>
      </c>
      <c r="G761" s="3"/>
      <c r="H761" s="3"/>
      <c r="I761" s="3"/>
      <c r="J761" s="3"/>
      <c r="K761" s="3"/>
      <c r="L761" s="3"/>
      <c r="M7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2" spans="1:13" x14ac:dyDescent="0.35">
      <c r="A762" s="3" t="s">
        <v>762</v>
      </c>
      <c r="B762" s="3"/>
      <c r="C762">
        <v>45223.365277777782</v>
      </c>
      <c r="D762" t="s">
        <v>1347</v>
      </c>
      <c r="E762">
        <v>104</v>
      </c>
      <c r="F762" t="s">
        <v>742</v>
      </c>
      <c r="G762" s="3"/>
      <c r="H762" s="3"/>
      <c r="I762" s="3"/>
      <c r="J762" s="3"/>
      <c r="K762" s="3"/>
      <c r="L762" s="3"/>
      <c r="M7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3" spans="1:13" x14ac:dyDescent="0.35">
      <c r="A763" s="3" t="s">
        <v>762</v>
      </c>
      <c r="B763" s="3"/>
      <c r="C763">
        <v>45228.15902777778</v>
      </c>
      <c r="D763" t="s">
        <v>821</v>
      </c>
      <c r="E763">
        <v>30</v>
      </c>
      <c r="F763" t="s">
        <v>740</v>
      </c>
      <c r="G763" s="3"/>
      <c r="H763" s="3"/>
      <c r="I763" s="3"/>
      <c r="J763" s="3"/>
      <c r="K763" s="3"/>
      <c r="L763" s="3"/>
      <c r="M76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4" spans="1:13" x14ac:dyDescent="0.35">
      <c r="A764" s="3" t="s">
        <v>762</v>
      </c>
      <c r="B764" s="3"/>
      <c r="C764">
        <v>45228.01458333333</v>
      </c>
      <c r="D764" t="s">
        <v>1086</v>
      </c>
      <c r="E764">
        <v>98</v>
      </c>
      <c r="F764" t="s">
        <v>740</v>
      </c>
      <c r="G764" s="3"/>
      <c r="H764" s="3"/>
      <c r="I764" s="3"/>
      <c r="J764" s="3"/>
      <c r="K764" s="3"/>
      <c r="L764" s="3"/>
      <c r="M7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5" spans="1:13" x14ac:dyDescent="0.35">
      <c r="A765" s="3" t="s">
        <v>762</v>
      </c>
      <c r="B765" s="3"/>
      <c r="C765">
        <v>45225.553472222222</v>
      </c>
      <c r="D765" t="s">
        <v>1348</v>
      </c>
      <c r="E765">
        <v>120</v>
      </c>
      <c r="F765" t="s">
        <v>740</v>
      </c>
      <c r="G765" s="3"/>
      <c r="H765" s="3"/>
      <c r="I765" s="3"/>
      <c r="J765" s="3"/>
      <c r="K765" s="3"/>
      <c r="L765" s="3"/>
      <c r="M7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6" spans="1:13" x14ac:dyDescent="0.35">
      <c r="A766" s="3" t="s">
        <v>762</v>
      </c>
      <c r="B766" s="3"/>
      <c r="C766">
        <v>45216.094444444447</v>
      </c>
      <c r="D766" t="s">
        <v>894</v>
      </c>
      <c r="E766">
        <v>74</v>
      </c>
      <c r="F766" t="s">
        <v>740</v>
      </c>
      <c r="G766" s="3"/>
      <c r="H766" s="3"/>
      <c r="I766" s="3"/>
      <c r="J766" s="3"/>
      <c r="K766" s="3"/>
      <c r="L766" s="3"/>
      <c r="M76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7" spans="1:13" x14ac:dyDescent="0.35">
      <c r="A767" s="3" t="s">
        <v>762</v>
      </c>
      <c r="B767" s="3"/>
      <c r="C767">
        <v>45222.777777777781</v>
      </c>
      <c r="D767" t="s">
        <v>1349</v>
      </c>
      <c r="E767">
        <v>102</v>
      </c>
      <c r="F767" t="s">
        <v>748</v>
      </c>
      <c r="G767" s="3"/>
      <c r="H767" s="3"/>
      <c r="I767" s="3"/>
      <c r="J767" s="3"/>
      <c r="K767" s="3"/>
      <c r="L767" s="3"/>
      <c r="M76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8" spans="1:13" x14ac:dyDescent="0.35">
      <c r="A768" s="3" t="s">
        <v>762</v>
      </c>
      <c r="B768" s="3"/>
      <c r="C768">
        <v>45202.645138888889</v>
      </c>
      <c r="D768" t="s">
        <v>947</v>
      </c>
      <c r="E768">
        <v>106</v>
      </c>
      <c r="F768" t="s">
        <v>748</v>
      </c>
      <c r="G768" s="3"/>
      <c r="H768" s="3"/>
      <c r="I768" s="3"/>
      <c r="J768" s="3"/>
      <c r="K768" s="3"/>
      <c r="L768" s="3"/>
      <c r="M7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69" spans="1:13" x14ac:dyDescent="0.35">
      <c r="A769" s="3" t="s">
        <v>762</v>
      </c>
      <c r="B769" s="3"/>
      <c r="C769">
        <v>45216.460416666669</v>
      </c>
      <c r="D769" t="s">
        <v>985</v>
      </c>
      <c r="E769">
        <v>36</v>
      </c>
      <c r="F769" t="s">
        <v>748</v>
      </c>
      <c r="G769" s="3"/>
      <c r="H769" s="3"/>
      <c r="I769" s="3"/>
      <c r="J769" s="3"/>
      <c r="K769" s="3"/>
      <c r="L769" s="3"/>
      <c r="M7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0" spans="1:13" x14ac:dyDescent="0.35">
      <c r="A770" s="3" t="s">
        <v>762</v>
      </c>
      <c r="B770" s="3"/>
      <c r="C770">
        <v>45215.756944444453</v>
      </c>
      <c r="D770" t="s">
        <v>1350</v>
      </c>
      <c r="E770">
        <v>24</v>
      </c>
      <c r="F770" t="s">
        <v>748</v>
      </c>
      <c r="G770" s="3"/>
      <c r="H770" s="3"/>
      <c r="I770" s="3"/>
      <c r="J770" s="3"/>
      <c r="K770" s="3"/>
      <c r="L770" s="3"/>
      <c r="M77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1" spans="1:13" x14ac:dyDescent="0.35">
      <c r="A771" s="3" t="s">
        <v>762</v>
      </c>
      <c r="B771" s="3"/>
      <c r="C771">
        <v>45211.219444444447</v>
      </c>
      <c r="D771" t="s">
        <v>1351</v>
      </c>
      <c r="E771">
        <v>5</v>
      </c>
      <c r="F771" t="s">
        <v>740</v>
      </c>
      <c r="G771" s="3"/>
      <c r="H771" s="3"/>
      <c r="I771" s="3"/>
      <c r="J771" s="3"/>
      <c r="K771" s="3"/>
      <c r="L771" s="3"/>
      <c r="M77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2" spans="1:13" x14ac:dyDescent="0.35">
      <c r="A772" s="3" t="s">
        <v>762</v>
      </c>
      <c r="B772" s="3"/>
      <c r="C772">
        <v>45224.164583333331</v>
      </c>
      <c r="D772" t="s">
        <v>1352</v>
      </c>
      <c r="E772">
        <v>57</v>
      </c>
      <c r="F772" t="s">
        <v>742</v>
      </c>
      <c r="G772" s="3"/>
      <c r="H772" s="3"/>
      <c r="I772" s="3"/>
      <c r="J772" s="3"/>
      <c r="K772" s="3"/>
      <c r="L772" s="3"/>
      <c r="M77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3" spans="1:13" x14ac:dyDescent="0.35">
      <c r="A773" s="3" t="s">
        <v>762</v>
      </c>
      <c r="B773" s="3"/>
      <c r="C773">
        <v>45218.906944444447</v>
      </c>
      <c r="D773" t="s">
        <v>1160</v>
      </c>
      <c r="E773">
        <v>8</v>
      </c>
      <c r="F773" t="s">
        <v>748</v>
      </c>
      <c r="G773" s="3"/>
      <c r="H773" s="3"/>
      <c r="I773" s="3"/>
      <c r="J773" s="3"/>
      <c r="K773" s="3"/>
      <c r="L773" s="3"/>
      <c r="M7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4" spans="1:13" x14ac:dyDescent="0.35">
      <c r="A774" s="3" t="s">
        <v>762</v>
      </c>
      <c r="B774" s="3"/>
      <c r="C774">
        <v>45203.324305555558</v>
      </c>
      <c r="D774" t="s">
        <v>1353</v>
      </c>
      <c r="E774">
        <v>34</v>
      </c>
      <c r="F774" t="s">
        <v>740</v>
      </c>
      <c r="G774" s="3"/>
      <c r="H774" s="3"/>
      <c r="I774" s="3"/>
      <c r="J774" s="3"/>
      <c r="K774" s="3"/>
      <c r="L774" s="3"/>
      <c r="M7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5" spans="1:13" x14ac:dyDescent="0.35">
      <c r="A775" s="3" t="s">
        <v>762</v>
      </c>
      <c r="B775" s="3"/>
      <c r="C775">
        <v>45216.001388888893</v>
      </c>
      <c r="D775" t="s">
        <v>1354</v>
      </c>
      <c r="E775">
        <v>74</v>
      </c>
      <c r="F775" t="s">
        <v>748</v>
      </c>
      <c r="G775" s="3"/>
      <c r="H775" s="3"/>
      <c r="I775" s="3"/>
      <c r="J775" s="3"/>
      <c r="K775" s="3"/>
      <c r="L775" s="3"/>
      <c r="M7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6" spans="1:13" x14ac:dyDescent="0.35">
      <c r="A776" s="3" t="s">
        <v>762</v>
      </c>
      <c r="B776" s="3"/>
      <c r="C776">
        <v>45227.010416666657</v>
      </c>
      <c r="D776" t="s">
        <v>1355</v>
      </c>
      <c r="E776">
        <v>49</v>
      </c>
      <c r="F776" t="s">
        <v>748</v>
      </c>
      <c r="G776" s="3"/>
      <c r="H776" s="3"/>
      <c r="I776" s="3"/>
      <c r="J776" s="3"/>
      <c r="K776" s="3"/>
      <c r="L776" s="3"/>
      <c r="M7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7" spans="1:13" x14ac:dyDescent="0.35">
      <c r="A777" s="3" t="s">
        <v>762</v>
      </c>
      <c r="B777" s="3"/>
      <c r="C777">
        <v>45201.640972222223</v>
      </c>
      <c r="D777" t="s">
        <v>1054</v>
      </c>
      <c r="E777">
        <v>86</v>
      </c>
      <c r="F777" t="s">
        <v>748</v>
      </c>
      <c r="G777" s="3"/>
      <c r="H777" s="3"/>
      <c r="I777" s="3"/>
      <c r="J777" s="3"/>
      <c r="K777" s="3"/>
      <c r="L777" s="3"/>
      <c r="M7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8" spans="1:13" x14ac:dyDescent="0.35">
      <c r="A778" s="3" t="s">
        <v>762</v>
      </c>
      <c r="B778" s="3"/>
      <c r="C778">
        <v>45212.174305555563</v>
      </c>
      <c r="D778" t="s">
        <v>1356</v>
      </c>
      <c r="E778">
        <v>112</v>
      </c>
      <c r="F778" t="s">
        <v>748</v>
      </c>
      <c r="G778" s="3"/>
      <c r="H778" s="3"/>
      <c r="I778" s="3"/>
      <c r="J778" s="3"/>
      <c r="K778" s="3"/>
      <c r="L778" s="3"/>
      <c r="M7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79" spans="1:13" x14ac:dyDescent="0.35">
      <c r="A779" s="3" t="s">
        <v>762</v>
      </c>
      <c r="B779" s="3"/>
      <c r="C779">
        <v>45229.065972222219</v>
      </c>
      <c r="D779" t="s">
        <v>929</v>
      </c>
      <c r="E779">
        <v>93</v>
      </c>
      <c r="F779" t="s">
        <v>740</v>
      </c>
      <c r="G779" s="3"/>
      <c r="H779" s="3"/>
      <c r="I779" s="3"/>
      <c r="J779" s="3"/>
      <c r="K779" s="3"/>
      <c r="L779" s="3"/>
      <c r="M7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0" spans="1:13" x14ac:dyDescent="0.35">
      <c r="A780" s="3" t="s">
        <v>762</v>
      </c>
      <c r="B780" s="3"/>
      <c r="C780">
        <v>45225.949305555558</v>
      </c>
      <c r="D780" t="s">
        <v>1357</v>
      </c>
      <c r="E780">
        <v>117</v>
      </c>
      <c r="F780" t="s">
        <v>740</v>
      </c>
      <c r="G780" s="3"/>
      <c r="H780" s="3"/>
      <c r="I780" s="3"/>
      <c r="J780" s="3"/>
      <c r="K780" s="3"/>
      <c r="L780" s="3"/>
      <c r="M7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1" spans="1:13" x14ac:dyDescent="0.35">
      <c r="A781" s="3" t="s">
        <v>762</v>
      </c>
      <c r="B781" s="3"/>
      <c r="C781">
        <v>45220.551388888889</v>
      </c>
      <c r="D781" t="s">
        <v>1358</v>
      </c>
      <c r="E781">
        <v>6</v>
      </c>
      <c r="F781" t="s">
        <v>740</v>
      </c>
      <c r="G781" s="3"/>
      <c r="H781" s="3"/>
      <c r="I781" s="3"/>
      <c r="J781" s="3"/>
      <c r="K781" s="3"/>
      <c r="L781" s="3"/>
      <c r="M78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2" spans="1:13" x14ac:dyDescent="0.35">
      <c r="A782" s="3" t="s">
        <v>762</v>
      </c>
      <c r="B782" s="3"/>
      <c r="C782">
        <v>45210.30972222222</v>
      </c>
      <c r="D782" t="s">
        <v>1223</v>
      </c>
      <c r="E782">
        <v>47</v>
      </c>
      <c r="F782" t="s">
        <v>742</v>
      </c>
      <c r="G782" s="3"/>
      <c r="H782" s="3"/>
      <c r="I782" s="3"/>
      <c r="J782" s="3"/>
      <c r="K782" s="3"/>
      <c r="L782" s="3"/>
      <c r="M7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3" spans="1:13" x14ac:dyDescent="0.35">
      <c r="A783" s="3" t="s">
        <v>762</v>
      </c>
      <c r="B783" s="3"/>
      <c r="C783">
        <v>45229.972222222219</v>
      </c>
      <c r="D783" t="s">
        <v>917</v>
      </c>
      <c r="E783">
        <v>5</v>
      </c>
      <c r="F783" t="s">
        <v>748</v>
      </c>
      <c r="G783" s="3"/>
      <c r="H783" s="3"/>
      <c r="I783" s="3"/>
      <c r="J783" s="3"/>
      <c r="K783" s="3"/>
      <c r="L783" s="3"/>
      <c r="M78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4" spans="1:13" x14ac:dyDescent="0.35">
      <c r="A784" s="3" t="s">
        <v>762</v>
      </c>
      <c r="B784" s="3"/>
      <c r="C784">
        <v>45208.10833333333</v>
      </c>
      <c r="D784" t="s">
        <v>910</v>
      </c>
      <c r="E784">
        <v>102</v>
      </c>
      <c r="F784" t="s">
        <v>742</v>
      </c>
      <c r="G784" s="3"/>
      <c r="H784" s="3"/>
      <c r="I784" s="3"/>
      <c r="J784" s="3"/>
      <c r="K784" s="3"/>
      <c r="L784" s="3"/>
      <c r="M7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5" spans="1:13" x14ac:dyDescent="0.35">
      <c r="A785" s="3" t="s">
        <v>762</v>
      </c>
      <c r="B785" s="3"/>
      <c r="C785">
        <v>45211.147222222222</v>
      </c>
      <c r="D785" t="s">
        <v>1359</v>
      </c>
      <c r="E785">
        <v>89</v>
      </c>
      <c r="F785" t="s">
        <v>742</v>
      </c>
      <c r="G785" s="3"/>
      <c r="H785" s="3"/>
      <c r="I785" s="3"/>
      <c r="J785" s="3"/>
      <c r="K785" s="3"/>
      <c r="L785" s="3"/>
      <c r="M7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6" spans="1:13" x14ac:dyDescent="0.35">
      <c r="A786" s="3" t="s">
        <v>762</v>
      </c>
      <c r="B786" s="3"/>
      <c r="C786">
        <v>45221.049305555563</v>
      </c>
      <c r="D786" t="s">
        <v>867</v>
      </c>
      <c r="E786">
        <v>53</v>
      </c>
      <c r="F786" t="s">
        <v>742</v>
      </c>
      <c r="G786" s="3"/>
      <c r="H786" s="3"/>
      <c r="I786" s="3"/>
      <c r="J786" s="3"/>
      <c r="K786" s="3"/>
      <c r="L786" s="3"/>
      <c r="M78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7" spans="1:13" x14ac:dyDescent="0.35">
      <c r="A787" s="3" t="s">
        <v>762</v>
      </c>
      <c r="B787" s="3"/>
      <c r="C787">
        <v>45207.668055555558</v>
      </c>
      <c r="D787" t="s">
        <v>937</v>
      </c>
      <c r="E787">
        <v>113</v>
      </c>
      <c r="F787" t="s">
        <v>740</v>
      </c>
      <c r="G787" s="3"/>
      <c r="H787" s="3"/>
      <c r="I787" s="3"/>
      <c r="J787" s="3"/>
      <c r="K787" s="3"/>
      <c r="L787" s="3"/>
      <c r="M78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8" spans="1:13" x14ac:dyDescent="0.35">
      <c r="A788" s="3" t="s">
        <v>762</v>
      </c>
      <c r="B788" s="3"/>
      <c r="C788">
        <v>45230.50277777778</v>
      </c>
      <c r="D788" t="s">
        <v>1264</v>
      </c>
      <c r="E788">
        <v>99</v>
      </c>
      <c r="F788" t="s">
        <v>740</v>
      </c>
      <c r="G788" s="3"/>
      <c r="H788" s="3"/>
      <c r="I788" s="3"/>
      <c r="J788" s="3"/>
      <c r="K788" s="3"/>
      <c r="L788" s="3"/>
      <c r="M78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89" spans="1:13" x14ac:dyDescent="0.35">
      <c r="A789" s="3" t="s">
        <v>762</v>
      </c>
      <c r="B789" s="3"/>
      <c r="C789">
        <v>45228.621527777781</v>
      </c>
      <c r="D789" t="s">
        <v>799</v>
      </c>
      <c r="E789">
        <v>98</v>
      </c>
      <c r="F789" t="s">
        <v>748</v>
      </c>
      <c r="G789" s="3"/>
      <c r="H789" s="3"/>
      <c r="I789" s="3"/>
      <c r="J789" s="3"/>
      <c r="K789" s="3"/>
      <c r="L789" s="3"/>
      <c r="M78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0" spans="1:13" x14ac:dyDescent="0.35">
      <c r="A790" s="3" t="s">
        <v>762</v>
      </c>
      <c r="B790" s="3"/>
      <c r="C790">
        <v>45209.388888888891</v>
      </c>
      <c r="D790" t="s">
        <v>1360</v>
      </c>
      <c r="E790">
        <v>44</v>
      </c>
      <c r="F790" t="s">
        <v>740</v>
      </c>
      <c r="G790" s="3"/>
      <c r="H790" s="3"/>
      <c r="I790" s="3"/>
      <c r="J790" s="3"/>
      <c r="K790" s="3"/>
      <c r="L790" s="3"/>
      <c r="M79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1" spans="1:13" x14ac:dyDescent="0.35">
      <c r="A791" s="3" t="s">
        <v>762</v>
      </c>
      <c r="B791" s="3"/>
      <c r="C791">
        <v>45202.728472222218</v>
      </c>
      <c r="D791" t="s">
        <v>1314</v>
      </c>
      <c r="E791">
        <v>18</v>
      </c>
      <c r="F791" t="s">
        <v>740</v>
      </c>
      <c r="G791" s="3"/>
      <c r="H791" s="3"/>
      <c r="I791" s="3"/>
      <c r="J791" s="3"/>
      <c r="K791" s="3"/>
      <c r="L791" s="3"/>
      <c r="M79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2" spans="1:13" x14ac:dyDescent="0.35">
      <c r="A792" s="3" t="s">
        <v>762</v>
      </c>
      <c r="B792" s="3"/>
      <c r="C792">
        <v>45200.466666666667</v>
      </c>
      <c r="D792" t="s">
        <v>827</v>
      </c>
      <c r="E792">
        <v>31</v>
      </c>
      <c r="F792" t="s">
        <v>742</v>
      </c>
      <c r="G792" s="3"/>
      <c r="H792" s="3"/>
      <c r="I792" s="3"/>
      <c r="J792" s="3"/>
      <c r="K792" s="3"/>
      <c r="L792" s="3"/>
      <c r="M7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3" spans="1:13" x14ac:dyDescent="0.35">
      <c r="A793" s="3" t="s">
        <v>762</v>
      </c>
      <c r="B793" s="3"/>
      <c r="C793">
        <v>45225.553472222222</v>
      </c>
      <c r="D793" t="s">
        <v>1348</v>
      </c>
      <c r="E793">
        <v>120</v>
      </c>
      <c r="F793" t="s">
        <v>740</v>
      </c>
      <c r="G793" s="3"/>
      <c r="H793" s="3"/>
      <c r="I793" s="3"/>
      <c r="J793" s="3"/>
      <c r="K793" s="3"/>
      <c r="L793" s="3"/>
      <c r="M79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4" spans="1:13" x14ac:dyDescent="0.35">
      <c r="A794" s="3" t="s">
        <v>741</v>
      </c>
      <c r="B794" s="3"/>
      <c r="C794">
        <v>45226.209027777782</v>
      </c>
      <c r="D794" t="s">
        <v>917</v>
      </c>
      <c r="E794">
        <v>81</v>
      </c>
      <c r="F794" t="s">
        <v>748</v>
      </c>
      <c r="G794" s="3"/>
      <c r="H794" s="3"/>
      <c r="I794" s="3"/>
      <c r="J794" s="3"/>
      <c r="K794" s="3"/>
      <c r="L794" s="3"/>
      <c r="M79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5" spans="1:13" x14ac:dyDescent="0.35">
      <c r="A795" s="3" t="s">
        <v>741</v>
      </c>
      <c r="B795" s="3"/>
      <c r="C795">
        <v>45230.537499999999</v>
      </c>
      <c r="D795" t="s">
        <v>1361</v>
      </c>
      <c r="E795">
        <v>33</v>
      </c>
      <c r="F795" t="s">
        <v>742</v>
      </c>
      <c r="G795" s="3"/>
      <c r="H795" s="3"/>
      <c r="I795" s="3"/>
      <c r="J795" s="3"/>
      <c r="K795" s="3"/>
      <c r="L795" s="3"/>
      <c r="M79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6" spans="1:13" x14ac:dyDescent="0.35">
      <c r="A796" s="3" t="s">
        <v>741</v>
      </c>
      <c r="B796" s="3"/>
      <c r="C796">
        <v>45214.740972222222</v>
      </c>
      <c r="D796" t="s">
        <v>964</v>
      </c>
      <c r="E796">
        <v>8</v>
      </c>
      <c r="F796" t="s">
        <v>740</v>
      </c>
      <c r="G796" s="3"/>
      <c r="H796" s="3"/>
      <c r="I796" s="3"/>
      <c r="J796" s="3"/>
      <c r="K796" s="3"/>
      <c r="L796" s="3"/>
      <c r="M7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7" spans="1:13" x14ac:dyDescent="0.35">
      <c r="A797" s="3" t="s">
        <v>741</v>
      </c>
      <c r="B797" s="3"/>
      <c r="C797">
        <v>45217.29583333333</v>
      </c>
      <c r="D797" t="s">
        <v>1362</v>
      </c>
      <c r="E797">
        <v>119</v>
      </c>
      <c r="F797" t="s">
        <v>740</v>
      </c>
      <c r="G797" s="3"/>
      <c r="H797" s="3"/>
      <c r="I797" s="3"/>
      <c r="J797" s="3"/>
      <c r="K797" s="3"/>
      <c r="L797" s="3"/>
      <c r="M7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8" spans="1:13" x14ac:dyDescent="0.35">
      <c r="A798" s="3" t="s">
        <v>741</v>
      </c>
      <c r="B798" s="3"/>
      <c r="C798">
        <v>45214.160416666673</v>
      </c>
      <c r="D798" t="s">
        <v>945</v>
      </c>
      <c r="E798">
        <v>108</v>
      </c>
      <c r="F798" t="s">
        <v>748</v>
      </c>
      <c r="G798" s="3"/>
      <c r="H798" s="3"/>
      <c r="I798" s="3"/>
      <c r="J798" s="3"/>
      <c r="K798" s="3"/>
      <c r="L798" s="3"/>
      <c r="M79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799" spans="1:13" x14ac:dyDescent="0.35">
      <c r="A799" s="3" t="s">
        <v>741</v>
      </c>
      <c r="B799" s="3"/>
      <c r="C799">
        <v>45225.171527777777</v>
      </c>
      <c r="D799" t="s">
        <v>848</v>
      </c>
      <c r="E799">
        <v>104</v>
      </c>
      <c r="F799" t="s">
        <v>742</v>
      </c>
      <c r="G799" s="3"/>
      <c r="H799" s="3"/>
      <c r="I799" s="3"/>
      <c r="J799" s="3"/>
      <c r="K799" s="3"/>
      <c r="L799" s="3"/>
      <c r="M79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0" spans="1:13" x14ac:dyDescent="0.35">
      <c r="A800" s="3" t="s">
        <v>741</v>
      </c>
      <c r="B800" s="3"/>
      <c r="C800">
        <v>45200.078472222223</v>
      </c>
      <c r="D800" t="s">
        <v>991</v>
      </c>
      <c r="E800">
        <v>40</v>
      </c>
      <c r="F800" t="s">
        <v>740</v>
      </c>
      <c r="G800" s="3"/>
      <c r="H800" s="3"/>
      <c r="I800" s="3"/>
      <c r="J800" s="3"/>
      <c r="K800" s="3"/>
      <c r="L800" s="3"/>
      <c r="M80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1" spans="1:13" x14ac:dyDescent="0.35">
      <c r="A801" s="3" t="s">
        <v>741</v>
      </c>
      <c r="B801" s="3"/>
      <c r="C801">
        <v>45224.297222222223</v>
      </c>
      <c r="D801" t="s">
        <v>1363</v>
      </c>
      <c r="E801">
        <v>12</v>
      </c>
      <c r="F801" t="s">
        <v>748</v>
      </c>
      <c r="G801" s="3"/>
      <c r="H801" s="3"/>
      <c r="I801" s="3"/>
      <c r="J801" s="3"/>
      <c r="K801" s="3"/>
      <c r="L801" s="3"/>
      <c r="M80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2" spans="1:13" x14ac:dyDescent="0.35">
      <c r="A802" s="3" t="s">
        <v>741</v>
      </c>
      <c r="B802" s="3"/>
      <c r="C802">
        <v>45206.515972222223</v>
      </c>
      <c r="D802" t="s">
        <v>755</v>
      </c>
      <c r="E802">
        <v>108</v>
      </c>
      <c r="F802" t="s">
        <v>740</v>
      </c>
      <c r="G802" s="3"/>
      <c r="H802" s="3"/>
      <c r="I802" s="3"/>
      <c r="J802" s="3"/>
      <c r="K802" s="3"/>
      <c r="L802" s="3"/>
      <c r="M80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3" spans="1:13" x14ac:dyDescent="0.35">
      <c r="A803" s="3" t="s">
        <v>741</v>
      </c>
      <c r="B803" s="3"/>
      <c r="C803">
        <v>45221.861805555563</v>
      </c>
      <c r="D803" t="s">
        <v>949</v>
      </c>
      <c r="E803">
        <v>65</v>
      </c>
      <c r="F803" t="s">
        <v>740</v>
      </c>
      <c r="G803" s="3"/>
      <c r="H803" s="3"/>
      <c r="I803" s="3"/>
      <c r="J803" s="3"/>
      <c r="K803" s="3"/>
      <c r="L803" s="3"/>
      <c r="M8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4" spans="1:13" x14ac:dyDescent="0.35">
      <c r="A804" s="3" t="s">
        <v>741</v>
      </c>
      <c r="B804" s="3"/>
      <c r="C804">
        <v>45202.775694444441</v>
      </c>
      <c r="D804" t="s">
        <v>947</v>
      </c>
      <c r="E804">
        <v>72</v>
      </c>
      <c r="F804" t="s">
        <v>740</v>
      </c>
      <c r="G804" s="3"/>
      <c r="H804" s="3"/>
      <c r="I804" s="3"/>
      <c r="J804" s="3"/>
      <c r="K804" s="3"/>
      <c r="L804" s="3"/>
      <c r="M80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5" spans="1:13" x14ac:dyDescent="0.35">
      <c r="A805" s="3" t="s">
        <v>741</v>
      </c>
      <c r="B805" s="3"/>
      <c r="C805">
        <v>45208.084027777782</v>
      </c>
      <c r="D805" t="s">
        <v>1364</v>
      </c>
      <c r="E805">
        <v>50</v>
      </c>
      <c r="F805" t="s">
        <v>742</v>
      </c>
      <c r="G805" s="3"/>
      <c r="H805" s="3"/>
      <c r="I805" s="3"/>
      <c r="J805" s="3"/>
      <c r="K805" s="3"/>
      <c r="L805" s="3"/>
      <c r="M8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6" spans="1:13" x14ac:dyDescent="0.35">
      <c r="A806" s="3" t="s">
        <v>741</v>
      </c>
      <c r="B806" s="3"/>
      <c r="C806">
        <v>45202.289583333331</v>
      </c>
      <c r="D806" t="s">
        <v>1105</v>
      </c>
      <c r="E806">
        <v>103</v>
      </c>
      <c r="F806" t="s">
        <v>742</v>
      </c>
      <c r="G806" s="3"/>
      <c r="H806" s="3"/>
      <c r="I806" s="3"/>
      <c r="J806" s="3"/>
      <c r="K806" s="3"/>
      <c r="L806" s="3"/>
      <c r="M8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7" spans="1:13" x14ac:dyDescent="0.35">
      <c r="A807" s="3" t="s">
        <v>741</v>
      </c>
      <c r="B807" s="3"/>
      <c r="C807">
        <v>45220.618750000001</v>
      </c>
      <c r="D807" t="s">
        <v>910</v>
      </c>
      <c r="E807">
        <v>79</v>
      </c>
      <c r="F807" t="s">
        <v>740</v>
      </c>
      <c r="G807" s="3"/>
      <c r="H807" s="3"/>
      <c r="I807" s="3"/>
      <c r="J807" s="3"/>
      <c r="K807" s="3"/>
      <c r="L807" s="3"/>
      <c r="M80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8" spans="1:13" x14ac:dyDescent="0.35">
      <c r="A808" s="3" t="s">
        <v>741</v>
      </c>
      <c r="B808" s="3"/>
      <c r="C808">
        <v>45204.122916666667</v>
      </c>
      <c r="D808" t="s">
        <v>907</v>
      </c>
      <c r="E808">
        <v>34</v>
      </c>
      <c r="F808" t="s">
        <v>740</v>
      </c>
      <c r="G808" s="3"/>
      <c r="H808" s="3"/>
      <c r="I808" s="3"/>
      <c r="J808" s="3"/>
      <c r="K808" s="3"/>
      <c r="L808" s="3"/>
      <c r="M80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09" spans="1:13" x14ac:dyDescent="0.35">
      <c r="A809" s="3" t="s">
        <v>741</v>
      </c>
      <c r="B809" s="3"/>
      <c r="C809">
        <v>45227.421527777777</v>
      </c>
      <c r="D809" t="s">
        <v>1346</v>
      </c>
      <c r="E809">
        <v>25</v>
      </c>
      <c r="F809" t="s">
        <v>742</v>
      </c>
      <c r="G809" s="3"/>
      <c r="H809" s="3"/>
      <c r="I809" s="3"/>
      <c r="J809" s="3"/>
      <c r="K809" s="3"/>
      <c r="L809" s="3"/>
      <c r="M80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0" spans="1:13" x14ac:dyDescent="0.35">
      <c r="A810" s="3" t="s">
        <v>741</v>
      </c>
      <c r="B810" s="3"/>
      <c r="C810">
        <v>45201.585416666669</v>
      </c>
      <c r="D810" t="s">
        <v>1365</v>
      </c>
      <c r="E810">
        <v>17</v>
      </c>
      <c r="F810" t="s">
        <v>748</v>
      </c>
      <c r="G810" s="3"/>
      <c r="H810" s="3"/>
      <c r="I810" s="3"/>
      <c r="J810" s="3"/>
      <c r="K810" s="3"/>
      <c r="L810" s="3"/>
      <c r="M8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1" spans="1:13" x14ac:dyDescent="0.35">
      <c r="A811" s="3" t="s">
        <v>741</v>
      </c>
      <c r="B811" s="3"/>
      <c r="C811">
        <v>45205.768750000003</v>
      </c>
      <c r="D811" t="s">
        <v>1366</v>
      </c>
      <c r="E811">
        <v>36</v>
      </c>
      <c r="F811" t="s">
        <v>740</v>
      </c>
      <c r="G811" s="3"/>
      <c r="H811" s="3"/>
      <c r="I811" s="3"/>
      <c r="J811" s="3"/>
      <c r="K811" s="3"/>
      <c r="L811" s="3"/>
      <c r="M8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2" spans="1:13" x14ac:dyDescent="0.35">
      <c r="A812" s="3" t="s">
        <v>741</v>
      </c>
      <c r="B812" s="3"/>
      <c r="C812">
        <v>45226.975694444453</v>
      </c>
      <c r="D812" t="s">
        <v>1131</v>
      </c>
      <c r="E812">
        <v>89</v>
      </c>
      <c r="F812" t="s">
        <v>748</v>
      </c>
      <c r="G812" s="3"/>
      <c r="H812" s="3"/>
      <c r="I812" s="3"/>
      <c r="J812" s="3"/>
      <c r="K812" s="3"/>
      <c r="L812" s="3"/>
      <c r="M81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3" spans="1:13" x14ac:dyDescent="0.35">
      <c r="A813" s="3" t="s">
        <v>741</v>
      </c>
      <c r="B813" s="3"/>
      <c r="C813">
        <v>45215.01666666667</v>
      </c>
      <c r="D813" t="s">
        <v>1367</v>
      </c>
      <c r="E813">
        <v>35</v>
      </c>
      <c r="F813" t="s">
        <v>742</v>
      </c>
      <c r="G813" s="3"/>
      <c r="H813" s="3"/>
      <c r="I813" s="3"/>
      <c r="J813" s="3"/>
      <c r="K813" s="3"/>
      <c r="L813" s="3"/>
      <c r="M81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4" spans="1:13" x14ac:dyDescent="0.35">
      <c r="A814" s="3" t="s">
        <v>741</v>
      </c>
      <c r="B814" s="3"/>
      <c r="C814">
        <v>45221.549305555563</v>
      </c>
      <c r="D814" t="s">
        <v>1368</v>
      </c>
      <c r="E814">
        <v>39</v>
      </c>
      <c r="F814" t="s">
        <v>742</v>
      </c>
      <c r="G814" s="3"/>
      <c r="H814" s="3"/>
      <c r="I814" s="3"/>
      <c r="J814" s="3"/>
      <c r="K814" s="3"/>
      <c r="L814" s="3"/>
      <c r="M8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5" spans="1:13" x14ac:dyDescent="0.35">
      <c r="A815" s="3" t="s">
        <v>741</v>
      </c>
      <c r="B815" s="3"/>
      <c r="C815">
        <v>45211.290277777778</v>
      </c>
      <c r="D815" t="s">
        <v>1369</v>
      </c>
      <c r="E815">
        <v>73</v>
      </c>
      <c r="F815" t="s">
        <v>748</v>
      </c>
      <c r="G815" s="3"/>
      <c r="H815" s="3"/>
      <c r="I815" s="3"/>
      <c r="J815" s="3"/>
      <c r="K815" s="3"/>
      <c r="L815" s="3"/>
      <c r="M81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6" spans="1:13" x14ac:dyDescent="0.35">
      <c r="A816" s="3" t="s">
        <v>741</v>
      </c>
      <c r="B816" s="3"/>
      <c r="C816">
        <v>45205.345138888893</v>
      </c>
      <c r="D816" t="s">
        <v>1002</v>
      </c>
      <c r="E816">
        <v>109</v>
      </c>
      <c r="F816" t="s">
        <v>742</v>
      </c>
      <c r="G816" s="3"/>
      <c r="H816" s="3"/>
      <c r="I816" s="3"/>
      <c r="J816" s="3"/>
      <c r="K816" s="3"/>
      <c r="L816" s="3"/>
      <c r="M8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7" spans="1:13" x14ac:dyDescent="0.35">
      <c r="A817" s="3" t="s">
        <v>741</v>
      </c>
      <c r="B817" s="3"/>
      <c r="C817">
        <v>45214.168055555558</v>
      </c>
      <c r="D817" t="s">
        <v>881</v>
      </c>
      <c r="E817">
        <v>106</v>
      </c>
      <c r="F817" t="s">
        <v>740</v>
      </c>
      <c r="G817" s="3"/>
      <c r="H817" s="3"/>
      <c r="I817" s="3"/>
      <c r="J817" s="3"/>
      <c r="K817" s="3"/>
      <c r="L817" s="3"/>
      <c r="M81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8" spans="1:13" x14ac:dyDescent="0.35">
      <c r="A818" s="3" t="s">
        <v>741</v>
      </c>
      <c r="B818" s="3"/>
      <c r="C818">
        <v>45219.818749999999</v>
      </c>
      <c r="D818" t="s">
        <v>1129</v>
      </c>
      <c r="E818">
        <v>99</v>
      </c>
      <c r="F818" t="s">
        <v>748</v>
      </c>
      <c r="G818" s="3"/>
      <c r="H818" s="3"/>
      <c r="I818" s="3"/>
      <c r="J818" s="3"/>
      <c r="K818" s="3"/>
      <c r="L818" s="3"/>
      <c r="M8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19" spans="1:13" x14ac:dyDescent="0.35">
      <c r="A819" s="3" t="s">
        <v>741</v>
      </c>
      <c r="B819" s="3"/>
      <c r="C819">
        <v>45207.845833333333</v>
      </c>
      <c r="D819" t="s">
        <v>1151</v>
      </c>
      <c r="E819">
        <v>12</v>
      </c>
      <c r="F819" t="s">
        <v>748</v>
      </c>
      <c r="G819" s="3"/>
      <c r="H819" s="3"/>
      <c r="I819" s="3"/>
      <c r="J819" s="3"/>
      <c r="K819" s="3"/>
      <c r="L819" s="3"/>
      <c r="M8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0" spans="1:13" x14ac:dyDescent="0.35">
      <c r="A820" s="3" t="s">
        <v>741</v>
      </c>
      <c r="B820" s="3"/>
      <c r="C820">
        <v>45215.580555555563</v>
      </c>
      <c r="D820" t="s">
        <v>809</v>
      </c>
      <c r="E820">
        <v>102</v>
      </c>
      <c r="F820" t="s">
        <v>748</v>
      </c>
      <c r="G820" s="3"/>
      <c r="H820" s="3"/>
      <c r="I820" s="3"/>
      <c r="J820" s="3"/>
      <c r="K820" s="3"/>
      <c r="L820" s="3"/>
      <c r="M8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1" spans="1:13" x14ac:dyDescent="0.35">
      <c r="A821" s="3" t="s">
        <v>741</v>
      </c>
      <c r="B821" s="3"/>
      <c r="C821">
        <v>45217.627083333333</v>
      </c>
      <c r="D821" t="s">
        <v>880</v>
      </c>
      <c r="E821">
        <v>33</v>
      </c>
      <c r="F821" t="s">
        <v>740</v>
      </c>
      <c r="G821" s="3"/>
      <c r="H821" s="3"/>
      <c r="I821" s="3"/>
      <c r="J821" s="3"/>
      <c r="K821" s="3"/>
      <c r="L821" s="3"/>
      <c r="M82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2" spans="1:13" x14ac:dyDescent="0.35">
      <c r="A822" s="3" t="s">
        <v>741</v>
      </c>
      <c r="B822" s="3"/>
      <c r="C822">
        <v>45202.35</v>
      </c>
      <c r="D822" t="s">
        <v>1370</v>
      </c>
      <c r="E822">
        <v>78</v>
      </c>
      <c r="F822" t="s">
        <v>740</v>
      </c>
      <c r="G822" s="3"/>
      <c r="H822" s="3"/>
      <c r="I822" s="3"/>
      <c r="J822" s="3"/>
      <c r="K822" s="3"/>
      <c r="L822" s="3"/>
      <c r="M8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3" spans="1:13" x14ac:dyDescent="0.35">
      <c r="A823" s="3" t="s">
        <v>741</v>
      </c>
      <c r="B823" s="3"/>
      <c r="C823">
        <v>45204.55</v>
      </c>
      <c r="D823" t="s">
        <v>787</v>
      </c>
      <c r="E823">
        <v>113</v>
      </c>
      <c r="F823" t="s">
        <v>742</v>
      </c>
      <c r="G823" s="3"/>
      <c r="H823" s="3"/>
      <c r="I823" s="3"/>
      <c r="J823" s="3"/>
      <c r="K823" s="3"/>
      <c r="L823" s="3"/>
      <c r="M8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4" spans="1:13" x14ac:dyDescent="0.35">
      <c r="A824" s="3" t="s">
        <v>741</v>
      </c>
      <c r="B824" s="3"/>
      <c r="C824">
        <v>45220.677083333343</v>
      </c>
      <c r="D824" t="s">
        <v>769</v>
      </c>
      <c r="E824">
        <v>107</v>
      </c>
      <c r="F824" t="s">
        <v>748</v>
      </c>
      <c r="G824" s="3"/>
      <c r="H824" s="3"/>
      <c r="I824" s="3"/>
      <c r="J824" s="3"/>
      <c r="K824" s="3"/>
      <c r="L824" s="3"/>
      <c r="M8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5" spans="1:13" x14ac:dyDescent="0.35">
      <c r="A825" s="3" t="s">
        <v>741</v>
      </c>
      <c r="B825" s="3"/>
      <c r="C825">
        <v>45220.743055555547</v>
      </c>
      <c r="D825" t="s">
        <v>1263</v>
      </c>
      <c r="E825">
        <v>54</v>
      </c>
      <c r="F825" t="s">
        <v>742</v>
      </c>
      <c r="G825" s="3"/>
      <c r="H825" s="3"/>
      <c r="I825" s="3"/>
      <c r="J825" s="3"/>
      <c r="K825" s="3"/>
      <c r="L825" s="3"/>
      <c r="M8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6" spans="1:13" x14ac:dyDescent="0.35">
      <c r="A826" s="3" t="s">
        <v>741</v>
      </c>
      <c r="B826" s="3"/>
      <c r="C826">
        <v>45200.534722222219</v>
      </c>
      <c r="D826" t="s">
        <v>921</v>
      </c>
      <c r="E826">
        <v>50</v>
      </c>
      <c r="F826" t="s">
        <v>748</v>
      </c>
      <c r="G826" s="3"/>
      <c r="H826" s="3"/>
      <c r="I826" s="3"/>
      <c r="J826" s="3"/>
      <c r="K826" s="3"/>
      <c r="L826" s="3"/>
      <c r="M8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7" spans="1:13" x14ac:dyDescent="0.35">
      <c r="A827" s="3" t="s">
        <v>741</v>
      </c>
      <c r="B827" s="3"/>
      <c r="C827">
        <v>45222.479166666657</v>
      </c>
      <c r="D827" t="s">
        <v>817</v>
      </c>
      <c r="E827">
        <v>112</v>
      </c>
      <c r="F827" t="s">
        <v>742</v>
      </c>
      <c r="G827" s="3"/>
      <c r="H827" s="3"/>
      <c r="I827" s="3"/>
      <c r="J827" s="3"/>
      <c r="K827" s="3"/>
      <c r="L827" s="3"/>
      <c r="M8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8" spans="1:13" x14ac:dyDescent="0.35">
      <c r="A828" s="3" t="s">
        <v>741</v>
      </c>
      <c r="B828" s="3"/>
      <c r="C828">
        <v>45217.640277777777</v>
      </c>
      <c r="D828" t="s">
        <v>1371</v>
      </c>
      <c r="E828">
        <v>113</v>
      </c>
      <c r="F828" t="s">
        <v>748</v>
      </c>
      <c r="G828" s="3"/>
      <c r="H828" s="3"/>
      <c r="I828" s="3"/>
      <c r="J828" s="3"/>
      <c r="K828" s="3"/>
      <c r="L828" s="3"/>
      <c r="M8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29" spans="1:13" x14ac:dyDescent="0.35">
      <c r="A829" s="3" t="s">
        <v>741</v>
      </c>
      <c r="B829" s="3"/>
      <c r="C829">
        <v>45229.772222222222</v>
      </c>
      <c r="D829" t="s">
        <v>1295</v>
      </c>
      <c r="E829">
        <v>27</v>
      </c>
      <c r="F829" t="s">
        <v>740</v>
      </c>
      <c r="G829" s="3"/>
      <c r="H829" s="3"/>
      <c r="I829" s="3"/>
      <c r="J829" s="3"/>
      <c r="K829" s="3"/>
      <c r="L829" s="3"/>
      <c r="M8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0" spans="1:13" x14ac:dyDescent="0.35">
      <c r="A830" s="3" t="s">
        <v>741</v>
      </c>
      <c r="B830" s="3"/>
      <c r="C830">
        <v>45210.511805555558</v>
      </c>
      <c r="D830" t="s">
        <v>1372</v>
      </c>
      <c r="E830">
        <v>27</v>
      </c>
      <c r="F830" t="s">
        <v>742</v>
      </c>
      <c r="G830" s="3"/>
      <c r="H830" s="3"/>
      <c r="I830" s="3"/>
      <c r="J830" s="3"/>
      <c r="K830" s="3"/>
      <c r="L830" s="3"/>
      <c r="M8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1" spans="1:13" x14ac:dyDescent="0.35">
      <c r="A831" s="3" t="s">
        <v>741</v>
      </c>
      <c r="B831" s="3"/>
      <c r="C831">
        <v>45205.013888888891</v>
      </c>
      <c r="D831" t="s">
        <v>739</v>
      </c>
      <c r="E831">
        <v>35</v>
      </c>
      <c r="F831" t="s">
        <v>742</v>
      </c>
      <c r="G831" s="3"/>
      <c r="H831" s="3"/>
      <c r="I831" s="3"/>
      <c r="J831" s="3"/>
      <c r="K831" s="3"/>
      <c r="L831" s="3"/>
      <c r="M83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2" spans="1:13" x14ac:dyDescent="0.35">
      <c r="A832" s="3" t="s">
        <v>779</v>
      </c>
      <c r="B832" s="3"/>
      <c r="C832">
        <v>45226.224999999999</v>
      </c>
      <c r="D832" t="s">
        <v>829</v>
      </c>
      <c r="E832">
        <v>11</v>
      </c>
      <c r="F832" t="s">
        <v>742</v>
      </c>
      <c r="G832" s="3"/>
      <c r="H832" s="3"/>
      <c r="I832" s="3"/>
      <c r="J832" s="3"/>
      <c r="K832" s="3"/>
      <c r="L832" s="3"/>
      <c r="M8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3" spans="1:13" x14ac:dyDescent="0.35">
      <c r="A833" s="3" t="s">
        <v>779</v>
      </c>
      <c r="B833" s="3"/>
      <c r="C833">
        <v>45209.988888888889</v>
      </c>
      <c r="D833" t="s">
        <v>907</v>
      </c>
      <c r="E833">
        <v>51</v>
      </c>
      <c r="F833" t="s">
        <v>742</v>
      </c>
      <c r="G833" s="3"/>
      <c r="H833" s="3"/>
      <c r="I833" s="3"/>
      <c r="J833" s="3"/>
      <c r="K833" s="3"/>
      <c r="L833" s="3"/>
      <c r="M8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4" spans="1:13" x14ac:dyDescent="0.35">
      <c r="A834" s="3" t="s">
        <v>779</v>
      </c>
      <c r="B834" s="3"/>
      <c r="C834">
        <v>45209.174305555563</v>
      </c>
      <c r="D834" t="s">
        <v>1359</v>
      </c>
      <c r="E834">
        <v>5</v>
      </c>
      <c r="F834" t="s">
        <v>740</v>
      </c>
      <c r="G834" s="3"/>
      <c r="H834" s="3"/>
      <c r="I834" s="3"/>
      <c r="J834" s="3"/>
      <c r="K834" s="3"/>
      <c r="L834" s="3"/>
      <c r="M8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5" spans="1:13" x14ac:dyDescent="0.35">
      <c r="A835" s="3" t="s">
        <v>779</v>
      </c>
      <c r="B835" s="3"/>
      <c r="C835">
        <v>45223.030555555553</v>
      </c>
      <c r="D835" t="s">
        <v>1373</v>
      </c>
      <c r="E835">
        <v>59</v>
      </c>
      <c r="F835" t="s">
        <v>740</v>
      </c>
      <c r="G835" s="3"/>
      <c r="H835" s="3"/>
      <c r="I835" s="3"/>
      <c r="J835" s="3"/>
      <c r="K835" s="3"/>
      <c r="L835" s="3"/>
      <c r="M8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6" spans="1:13" x14ac:dyDescent="0.35">
      <c r="A836" s="3" t="s">
        <v>779</v>
      </c>
      <c r="B836" s="3"/>
      <c r="C836">
        <v>45230.767361111109</v>
      </c>
      <c r="D836" t="s">
        <v>1374</v>
      </c>
      <c r="E836">
        <v>16</v>
      </c>
      <c r="F836" t="s">
        <v>748</v>
      </c>
      <c r="G836" s="3"/>
      <c r="H836" s="3"/>
      <c r="I836" s="3"/>
      <c r="J836" s="3"/>
      <c r="K836" s="3"/>
      <c r="L836" s="3"/>
      <c r="M8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7" spans="1:13" x14ac:dyDescent="0.35">
      <c r="A837" s="3" t="s">
        <v>779</v>
      </c>
      <c r="B837" s="3"/>
      <c r="C837">
        <v>45227.751388888893</v>
      </c>
      <c r="D837" t="s">
        <v>1300</v>
      </c>
      <c r="E837">
        <v>42</v>
      </c>
      <c r="F837" t="s">
        <v>740</v>
      </c>
      <c r="G837" s="3"/>
      <c r="H837" s="3"/>
      <c r="I837" s="3"/>
      <c r="J837" s="3"/>
      <c r="K837" s="3"/>
      <c r="L837" s="3"/>
      <c r="M83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8" spans="1:13" x14ac:dyDescent="0.35">
      <c r="A838" s="3" t="s">
        <v>779</v>
      </c>
      <c r="B838" s="3"/>
      <c r="C838">
        <v>45205.805555555547</v>
      </c>
      <c r="D838" t="s">
        <v>1375</v>
      </c>
      <c r="E838">
        <v>110</v>
      </c>
      <c r="F838" t="s">
        <v>740</v>
      </c>
      <c r="G838" s="3"/>
      <c r="H838" s="3"/>
      <c r="I838" s="3"/>
      <c r="J838" s="3"/>
      <c r="K838" s="3"/>
      <c r="L838" s="3"/>
      <c r="M8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39" spans="1:13" x14ac:dyDescent="0.35">
      <c r="A839" s="3" t="s">
        <v>779</v>
      </c>
      <c r="B839" s="3"/>
      <c r="C839">
        <v>45229.801388888889</v>
      </c>
      <c r="D839" t="s">
        <v>1148</v>
      </c>
      <c r="E839">
        <v>89</v>
      </c>
      <c r="F839" t="s">
        <v>740</v>
      </c>
      <c r="G839" s="3"/>
      <c r="H839" s="3"/>
      <c r="I839" s="3"/>
      <c r="J839" s="3"/>
      <c r="K839" s="3"/>
      <c r="L839" s="3"/>
      <c r="M83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0" spans="1:13" x14ac:dyDescent="0.35">
      <c r="A840" s="3" t="s">
        <v>779</v>
      </c>
      <c r="B840" s="3"/>
      <c r="C840">
        <v>45220.754166666673</v>
      </c>
      <c r="D840" t="s">
        <v>782</v>
      </c>
      <c r="E840">
        <v>85</v>
      </c>
      <c r="F840" t="s">
        <v>740</v>
      </c>
      <c r="G840" s="3"/>
      <c r="H840" s="3"/>
      <c r="I840" s="3"/>
      <c r="J840" s="3"/>
      <c r="K840" s="3"/>
      <c r="L840" s="3"/>
      <c r="M8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1" spans="1:13" x14ac:dyDescent="0.35">
      <c r="A841" s="3" t="s">
        <v>779</v>
      </c>
      <c r="B841" s="3"/>
      <c r="C841">
        <v>45229.631249999999</v>
      </c>
      <c r="D841" t="s">
        <v>939</v>
      </c>
      <c r="E841">
        <v>81</v>
      </c>
      <c r="F841" t="s">
        <v>740</v>
      </c>
      <c r="G841" s="3"/>
      <c r="H841" s="3"/>
      <c r="I841" s="3"/>
      <c r="J841" s="3"/>
      <c r="K841" s="3"/>
      <c r="L841" s="3"/>
      <c r="M8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2" spans="1:13" x14ac:dyDescent="0.35">
      <c r="A842" s="3" t="s">
        <v>779</v>
      </c>
      <c r="B842" s="3"/>
      <c r="C842">
        <v>45210.961111111108</v>
      </c>
      <c r="D842" t="s">
        <v>1121</v>
      </c>
      <c r="E842">
        <v>66</v>
      </c>
      <c r="F842" t="s">
        <v>740</v>
      </c>
      <c r="G842" s="3"/>
      <c r="H842" s="3"/>
      <c r="I842" s="3"/>
      <c r="J842" s="3"/>
      <c r="K842" s="3"/>
      <c r="L842" s="3"/>
      <c r="M8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3" spans="1:13" x14ac:dyDescent="0.35">
      <c r="A843" s="3" t="s">
        <v>779</v>
      </c>
      <c r="B843" s="3"/>
      <c r="C843">
        <v>45207.472222222219</v>
      </c>
      <c r="D843" t="s">
        <v>1376</v>
      </c>
      <c r="E843">
        <v>30</v>
      </c>
      <c r="F843" t="s">
        <v>748</v>
      </c>
      <c r="G843" s="3"/>
      <c r="H843" s="3"/>
      <c r="I843" s="3"/>
      <c r="J843" s="3"/>
      <c r="K843" s="3"/>
      <c r="L843" s="3"/>
      <c r="M84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4" spans="1:13" x14ac:dyDescent="0.35">
      <c r="A844" s="3" t="s">
        <v>779</v>
      </c>
      <c r="B844" s="3"/>
      <c r="C844">
        <v>45205.87222222222</v>
      </c>
      <c r="D844" t="s">
        <v>1377</v>
      </c>
      <c r="E844">
        <v>17</v>
      </c>
      <c r="F844" t="s">
        <v>740</v>
      </c>
      <c r="G844" s="3"/>
      <c r="H844" s="3"/>
      <c r="I844" s="3"/>
      <c r="J844" s="3"/>
      <c r="K844" s="3"/>
      <c r="L844" s="3"/>
      <c r="M84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5" spans="1:13" x14ac:dyDescent="0.35">
      <c r="A845" s="3" t="s">
        <v>779</v>
      </c>
      <c r="B845" s="3"/>
      <c r="C845">
        <v>45230.119444444441</v>
      </c>
      <c r="D845" t="s">
        <v>860</v>
      </c>
      <c r="E845">
        <v>8</v>
      </c>
      <c r="F845" t="s">
        <v>742</v>
      </c>
      <c r="G845" s="3"/>
      <c r="H845" s="3"/>
      <c r="I845" s="3"/>
      <c r="J845" s="3"/>
      <c r="K845" s="3"/>
      <c r="L845" s="3"/>
      <c r="M8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6" spans="1:13" x14ac:dyDescent="0.35">
      <c r="A846" s="3" t="s">
        <v>779</v>
      </c>
      <c r="B846" s="3"/>
      <c r="C846">
        <v>45222.902777777781</v>
      </c>
      <c r="D846" t="s">
        <v>1003</v>
      </c>
      <c r="E846">
        <v>31</v>
      </c>
      <c r="F846" t="s">
        <v>748</v>
      </c>
      <c r="G846" s="3"/>
      <c r="H846" s="3"/>
      <c r="I846" s="3"/>
      <c r="J846" s="3"/>
      <c r="K846" s="3"/>
      <c r="L846" s="3"/>
      <c r="M8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7" spans="1:13" x14ac:dyDescent="0.35">
      <c r="A847" s="3" t="s">
        <v>779</v>
      </c>
      <c r="B847" s="3"/>
      <c r="C847">
        <v>45223.436111111107</v>
      </c>
      <c r="D847" t="s">
        <v>956</v>
      </c>
      <c r="E847">
        <v>26</v>
      </c>
      <c r="F847" t="s">
        <v>740</v>
      </c>
      <c r="G847" s="3"/>
      <c r="H847" s="3"/>
      <c r="I847" s="3"/>
      <c r="J847" s="3"/>
      <c r="K847" s="3"/>
      <c r="L847" s="3"/>
      <c r="M84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8" spans="1:13" x14ac:dyDescent="0.35">
      <c r="A848" s="3" t="s">
        <v>779</v>
      </c>
      <c r="B848" s="3"/>
      <c r="C848">
        <v>45200.342361111107</v>
      </c>
      <c r="D848" t="s">
        <v>916</v>
      </c>
      <c r="E848">
        <v>86</v>
      </c>
      <c r="F848" t="s">
        <v>742</v>
      </c>
      <c r="G848" s="3"/>
      <c r="H848" s="3"/>
      <c r="I848" s="3"/>
      <c r="J848" s="3"/>
      <c r="K848" s="3"/>
      <c r="L848" s="3"/>
      <c r="M84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49" spans="1:13" x14ac:dyDescent="0.35">
      <c r="A849" s="3" t="s">
        <v>779</v>
      </c>
      <c r="B849" s="3"/>
      <c r="C849">
        <v>45207.919444444437</v>
      </c>
      <c r="D849" t="s">
        <v>1378</v>
      </c>
      <c r="E849">
        <v>42</v>
      </c>
      <c r="F849" t="s">
        <v>740</v>
      </c>
      <c r="G849" s="3"/>
      <c r="H849" s="3"/>
      <c r="I849" s="3"/>
      <c r="J849" s="3"/>
      <c r="K849" s="3"/>
      <c r="L849" s="3"/>
      <c r="M8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0" spans="1:13" x14ac:dyDescent="0.35">
      <c r="A850" s="3" t="s">
        <v>779</v>
      </c>
      <c r="B850" s="3"/>
      <c r="C850">
        <v>45211.368055555547</v>
      </c>
      <c r="D850" t="s">
        <v>1120</v>
      </c>
      <c r="E850">
        <v>15</v>
      </c>
      <c r="F850" t="s">
        <v>742</v>
      </c>
      <c r="G850" s="3"/>
      <c r="H850" s="3"/>
      <c r="I850" s="3"/>
      <c r="J850" s="3"/>
      <c r="K850" s="3"/>
      <c r="L850" s="3"/>
      <c r="M8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1" spans="1:13" x14ac:dyDescent="0.35">
      <c r="A851" s="3" t="s">
        <v>779</v>
      </c>
      <c r="B851" s="3"/>
      <c r="C851">
        <v>45203.958333333343</v>
      </c>
      <c r="D851" t="s">
        <v>1379</v>
      </c>
      <c r="E851">
        <v>65</v>
      </c>
      <c r="F851" t="s">
        <v>748</v>
      </c>
      <c r="G851" s="3"/>
      <c r="H851" s="3"/>
      <c r="I851" s="3"/>
      <c r="J851" s="3"/>
      <c r="K851" s="3"/>
      <c r="L851" s="3"/>
      <c r="M8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2" spans="1:13" x14ac:dyDescent="0.35">
      <c r="A852" s="3" t="s">
        <v>779</v>
      </c>
      <c r="B852" s="3"/>
      <c r="C852">
        <v>45201.519444444442</v>
      </c>
      <c r="D852" t="s">
        <v>1093</v>
      </c>
      <c r="E852">
        <v>113</v>
      </c>
      <c r="F852" t="s">
        <v>748</v>
      </c>
      <c r="G852" s="3"/>
      <c r="H852" s="3"/>
      <c r="I852" s="3"/>
      <c r="J852" s="3"/>
      <c r="K852" s="3"/>
      <c r="L852" s="3"/>
      <c r="M8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3" spans="1:13" x14ac:dyDescent="0.35">
      <c r="A853" s="3" t="s">
        <v>779</v>
      </c>
      <c r="B853" s="3"/>
      <c r="C853">
        <v>45223.548611111109</v>
      </c>
      <c r="D853" t="s">
        <v>1342</v>
      </c>
      <c r="E853">
        <v>19</v>
      </c>
      <c r="F853" t="s">
        <v>742</v>
      </c>
      <c r="G853" s="3"/>
      <c r="H853" s="3"/>
      <c r="I853" s="3"/>
      <c r="J853" s="3"/>
      <c r="K853" s="3"/>
      <c r="L853" s="3"/>
      <c r="M85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4" spans="1:13" x14ac:dyDescent="0.35">
      <c r="A854" s="3" t="s">
        <v>779</v>
      </c>
      <c r="B854" s="3"/>
      <c r="C854">
        <v>45228.563194444447</v>
      </c>
      <c r="D854" t="s">
        <v>967</v>
      </c>
      <c r="E854">
        <v>44</v>
      </c>
      <c r="F854" t="s">
        <v>740</v>
      </c>
      <c r="G854" s="3"/>
      <c r="H854" s="3"/>
      <c r="I854" s="3"/>
      <c r="J854" s="3"/>
      <c r="K854" s="3"/>
      <c r="L854" s="3"/>
      <c r="M85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5" spans="1:13" x14ac:dyDescent="0.35">
      <c r="A855" s="3" t="s">
        <v>779</v>
      </c>
      <c r="B855" s="3"/>
      <c r="C855">
        <v>45228.515277777777</v>
      </c>
      <c r="D855" t="s">
        <v>895</v>
      </c>
      <c r="E855">
        <v>105</v>
      </c>
      <c r="F855" t="s">
        <v>740</v>
      </c>
      <c r="G855" s="3"/>
      <c r="H855" s="3"/>
      <c r="I855" s="3"/>
      <c r="J855" s="3"/>
      <c r="K855" s="3"/>
      <c r="L855" s="3"/>
      <c r="M85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6" spans="1:13" x14ac:dyDescent="0.35">
      <c r="A856" s="3" t="s">
        <v>779</v>
      </c>
      <c r="B856" s="3"/>
      <c r="C856">
        <v>45217.504166666673</v>
      </c>
      <c r="D856" t="s">
        <v>1209</v>
      </c>
      <c r="E856">
        <v>55</v>
      </c>
      <c r="F856" t="s">
        <v>748</v>
      </c>
      <c r="G856" s="3"/>
      <c r="H856" s="3"/>
      <c r="I856" s="3"/>
      <c r="J856" s="3"/>
      <c r="K856" s="3"/>
      <c r="L856" s="3"/>
      <c r="M85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7" spans="1:13" x14ac:dyDescent="0.35">
      <c r="A857" s="3" t="s">
        <v>779</v>
      </c>
      <c r="B857" s="3"/>
      <c r="C857">
        <v>45226.659722222219</v>
      </c>
      <c r="D857" t="s">
        <v>1000</v>
      </c>
      <c r="E857">
        <v>65</v>
      </c>
      <c r="F857" t="s">
        <v>742</v>
      </c>
      <c r="G857" s="3"/>
      <c r="H857" s="3"/>
      <c r="I857" s="3"/>
      <c r="J857" s="3"/>
      <c r="K857" s="3"/>
      <c r="L857" s="3"/>
      <c r="M85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8" spans="1:13" x14ac:dyDescent="0.35">
      <c r="A858" s="3" t="s">
        <v>779</v>
      </c>
      <c r="B858" s="3"/>
      <c r="C858">
        <v>45227.77847222222</v>
      </c>
      <c r="D858" t="s">
        <v>898</v>
      </c>
      <c r="E858">
        <v>67</v>
      </c>
      <c r="F858" t="s">
        <v>748</v>
      </c>
      <c r="G858" s="3"/>
      <c r="H858" s="3"/>
      <c r="I858" s="3"/>
      <c r="J858" s="3"/>
      <c r="K858" s="3"/>
      <c r="L858" s="3"/>
      <c r="M85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59" spans="1:13" x14ac:dyDescent="0.35">
      <c r="A859" s="3" t="s">
        <v>779</v>
      </c>
      <c r="B859" s="3"/>
      <c r="C859">
        <v>45224.884722222218</v>
      </c>
      <c r="D859" t="s">
        <v>1380</v>
      </c>
      <c r="E859">
        <v>119</v>
      </c>
      <c r="F859" t="s">
        <v>742</v>
      </c>
      <c r="G859" s="3"/>
      <c r="H859" s="3"/>
      <c r="I859" s="3"/>
      <c r="J859" s="3"/>
      <c r="K859" s="3"/>
      <c r="L859" s="3"/>
      <c r="M8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0" spans="1:13" x14ac:dyDescent="0.35">
      <c r="A860" s="3" t="s">
        <v>779</v>
      </c>
      <c r="B860" s="3"/>
      <c r="C860">
        <v>45205.586111111108</v>
      </c>
      <c r="D860" t="s">
        <v>1381</v>
      </c>
      <c r="E860">
        <v>89</v>
      </c>
      <c r="F860" t="s">
        <v>748</v>
      </c>
      <c r="G860" s="3"/>
      <c r="H860" s="3"/>
      <c r="I860" s="3"/>
      <c r="J860" s="3"/>
      <c r="K860" s="3"/>
      <c r="L860" s="3"/>
      <c r="M8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1" spans="1:13" x14ac:dyDescent="0.35">
      <c r="A861" s="3" t="s">
        <v>779</v>
      </c>
      <c r="B861" s="3"/>
      <c r="C861">
        <v>45225.054166666669</v>
      </c>
      <c r="D861" t="s">
        <v>1382</v>
      </c>
      <c r="E861">
        <v>38</v>
      </c>
      <c r="F861" t="s">
        <v>748</v>
      </c>
      <c r="G861" s="3"/>
      <c r="H861" s="3"/>
      <c r="I861" s="3"/>
      <c r="J861" s="3"/>
      <c r="K861" s="3"/>
      <c r="L861" s="3"/>
      <c r="M8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2" spans="1:13" x14ac:dyDescent="0.35">
      <c r="A862" s="3" t="s">
        <v>779</v>
      </c>
      <c r="B862" s="3"/>
      <c r="C862">
        <v>45200.427777777782</v>
      </c>
      <c r="D862" t="s">
        <v>1089</v>
      </c>
      <c r="E862">
        <v>16</v>
      </c>
      <c r="F862" t="s">
        <v>742</v>
      </c>
      <c r="G862" s="3"/>
      <c r="H862" s="3"/>
      <c r="I862" s="3"/>
      <c r="J862" s="3"/>
      <c r="K862" s="3"/>
      <c r="L862" s="3"/>
      <c r="M8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3" spans="1:13" x14ac:dyDescent="0.35">
      <c r="A863" s="3" t="s">
        <v>779</v>
      </c>
      <c r="B863" s="3"/>
      <c r="C863">
        <v>45230.12777777778</v>
      </c>
      <c r="D863" t="s">
        <v>911</v>
      </c>
      <c r="E863">
        <v>87</v>
      </c>
      <c r="F863" t="s">
        <v>748</v>
      </c>
      <c r="G863" s="3"/>
      <c r="H863" s="3"/>
      <c r="I863" s="3"/>
      <c r="J863" s="3"/>
      <c r="K863" s="3"/>
      <c r="L863" s="3"/>
      <c r="M86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4" spans="1:13" x14ac:dyDescent="0.35">
      <c r="A864" s="3" t="s">
        <v>779</v>
      </c>
      <c r="B864" s="3"/>
      <c r="C864">
        <v>45210.24722222222</v>
      </c>
      <c r="D864" t="s">
        <v>1369</v>
      </c>
      <c r="E864">
        <v>74</v>
      </c>
      <c r="F864" t="s">
        <v>740</v>
      </c>
      <c r="G864" s="3"/>
      <c r="H864" s="3"/>
      <c r="I864" s="3"/>
      <c r="J864" s="3"/>
      <c r="K864" s="3"/>
      <c r="L864" s="3"/>
      <c r="M8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5" spans="1:13" x14ac:dyDescent="0.35">
      <c r="A865" s="3" t="s">
        <v>779</v>
      </c>
      <c r="B865" s="3"/>
      <c r="C865">
        <v>45212.240277777782</v>
      </c>
      <c r="D865" t="s">
        <v>1231</v>
      </c>
      <c r="E865">
        <v>54</v>
      </c>
      <c r="F865" t="s">
        <v>742</v>
      </c>
      <c r="G865" s="3"/>
      <c r="H865" s="3"/>
      <c r="I865" s="3"/>
      <c r="J865" s="3"/>
      <c r="K865" s="3"/>
      <c r="L865" s="3"/>
      <c r="M8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6" spans="1:13" x14ac:dyDescent="0.35">
      <c r="A866" s="3" t="s">
        <v>779</v>
      </c>
      <c r="B866" s="3"/>
      <c r="C866">
        <v>45202.747916666667</v>
      </c>
      <c r="D866" t="s">
        <v>876</v>
      </c>
      <c r="E866">
        <v>28</v>
      </c>
      <c r="F866" t="s">
        <v>742</v>
      </c>
      <c r="G866" s="3"/>
      <c r="H866" s="3"/>
      <c r="I866" s="3"/>
      <c r="J866" s="3"/>
      <c r="K866" s="3"/>
      <c r="L866" s="3"/>
      <c r="M86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7" spans="1:13" x14ac:dyDescent="0.35">
      <c r="A867" s="3" t="s">
        <v>779</v>
      </c>
      <c r="B867" s="3"/>
      <c r="C867">
        <v>45202.443055555559</v>
      </c>
      <c r="D867" t="s">
        <v>1383</v>
      </c>
      <c r="E867">
        <v>52</v>
      </c>
      <c r="F867" t="s">
        <v>742</v>
      </c>
      <c r="G867" s="3"/>
      <c r="H867" s="3"/>
      <c r="I867" s="3"/>
      <c r="J867" s="3"/>
      <c r="K867" s="3"/>
      <c r="L867" s="3"/>
      <c r="M86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8" spans="1:13" x14ac:dyDescent="0.35">
      <c r="A868" s="3" t="s">
        <v>779</v>
      </c>
      <c r="B868" s="3"/>
      <c r="C868">
        <v>45219.65625</v>
      </c>
      <c r="D868" t="s">
        <v>778</v>
      </c>
      <c r="E868">
        <v>118</v>
      </c>
      <c r="F868" t="s">
        <v>742</v>
      </c>
      <c r="G868" s="3"/>
      <c r="H868" s="3"/>
      <c r="I868" s="3"/>
      <c r="J868" s="3"/>
      <c r="K868" s="3"/>
      <c r="L868" s="3"/>
      <c r="M8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69" spans="1:13" x14ac:dyDescent="0.35">
      <c r="A869" s="3" t="s">
        <v>779</v>
      </c>
      <c r="B869" s="3"/>
      <c r="C869">
        <v>45200.570138888892</v>
      </c>
      <c r="D869" t="s">
        <v>1384</v>
      </c>
      <c r="E869">
        <v>53</v>
      </c>
      <c r="F869" t="s">
        <v>748</v>
      </c>
      <c r="G869" s="3"/>
      <c r="H869" s="3"/>
      <c r="I869" s="3"/>
      <c r="J869" s="3"/>
      <c r="K869" s="3"/>
      <c r="L869" s="3"/>
      <c r="M8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0" spans="1:13" x14ac:dyDescent="0.35">
      <c r="A870" s="3" t="s">
        <v>779</v>
      </c>
      <c r="B870" s="3"/>
      <c r="C870">
        <v>45205.830555555563</v>
      </c>
      <c r="D870" t="s">
        <v>986</v>
      </c>
      <c r="E870">
        <v>52</v>
      </c>
      <c r="F870" t="s">
        <v>740</v>
      </c>
      <c r="G870" s="3"/>
      <c r="H870" s="3"/>
      <c r="I870" s="3"/>
      <c r="J870" s="3"/>
      <c r="K870" s="3"/>
      <c r="L870" s="3"/>
      <c r="M87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1" spans="1:13" x14ac:dyDescent="0.35">
      <c r="A871" s="3" t="s">
        <v>779</v>
      </c>
      <c r="B871" s="3"/>
      <c r="C871">
        <v>45213.210416666669</v>
      </c>
      <c r="D871" t="s">
        <v>977</v>
      </c>
      <c r="E871">
        <v>28</v>
      </c>
      <c r="F871" t="s">
        <v>748</v>
      </c>
      <c r="G871" s="3"/>
      <c r="H871" s="3"/>
      <c r="I871" s="3"/>
      <c r="J871" s="3"/>
      <c r="K871" s="3"/>
      <c r="L871" s="3"/>
      <c r="M87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2" spans="1:13" x14ac:dyDescent="0.35">
      <c r="A872" s="3" t="s">
        <v>779</v>
      </c>
      <c r="B872" s="3"/>
      <c r="C872">
        <v>45203.425694444442</v>
      </c>
      <c r="D872" t="s">
        <v>1385</v>
      </c>
      <c r="E872">
        <v>62</v>
      </c>
      <c r="F872" t="s">
        <v>740</v>
      </c>
      <c r="G872" s="3"/>
      <c r="H872" s="3"/>
      <c r="I872" s="3"/>
      <c r="J872" s="3"/>
      <c r="K872" s="3"/>
      <c r="L872" s="3"/>
      <c r="M87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3" spans="1:13" x14ac:dyDescent="0.35">
      <c r="A873" s="3" t="s">
        <v>779</v>
      </c>
      <c r="B873" s="3"/>
      <c r="C873">
        <v>45206.572222222218</v>
      </c>
      <c r="D873" t="s">
        <v>1229</v>
      </c>
      <c r="E873">
        <v>10</v>
      </c>
      <c r="F873" t="s">
        <v>740</v>
      </c>
      <c r="G873" s="3"/>
      <c r="H873" s="3"/>
      <c r="I873" s="3"/>
      <c r="J873" s="3"/>
      <c r="K873" s="3"/>
      <c r="L873" s="3"/>
      <c r="M8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4" spans="1:13" x14ac:dyDescent="0.35">
      <c r="A874" s="3" t="s">
        <v>779</v>
      </c>
      <c r="B874" s="3"/>
      <c r="C874">
        <v>45217.999305555553</v>
      </c>
      <c r="D874" t="s">
        <v>884</v>
      </c>
      <c r="E874">
        <v>38</v>
      </c>
      <c r="F874" t="s">
        <v>742</v>
      </c>
      <c r="G874" s="3"/>
      <c r="H874" s="3"/>
      <c r="I874" s="3"/>
      <c r="J874" s="3"/>
      <c r="K874" s="3"/>
      <c r="L874" s="3"/>
      <c r="M8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5" spans="1:13" x14ac:dyDescent="0.35">
      <c r="A875" s="3" t="s">
        <v>779</v>
      </c>
      <c r="B875" s="3"/>
      <c r="C875">
        <v>45223.719444444447</v>
      </c>
      <c r="D875" t="s">
        <v>1203</v>
      </c>
      <c r="E875">
        <v>61</v>
      </c>
      <c r="F875" t="s">
        <v>742</v>
      </c>
      <c r="G875" s="3"/>
      <c r="H875" s="3"/>
      <c r="I875" s="3"/>
      <c r="J875" s="3"/>
      <c r="K875" s="3"/>
      <c r="L875" s="3"/>
      <c r="M8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6" spans="1:13" x14ac:dyDescent="0.35">
      <c r="A876" s="3" t="s">
        <v>779</v>
      </c>
      <c r="B876" s="3"/>
      <c r="C876">
        <v>45221.388194444437</v>
      </c>
      <c r="D876" t="s">
        <v>1386</v>
      </c>
      <c r="E876">
        <v>64</v>
      </c>
      <c r="F876" t="s">
        <v>742</v>
      </c>
      <c r="G876" s="3"/>
      <c r="H876" s="3"/>
      <c r="I876" s="3"/>
      <c r="J876" s="3"/>
      <c r="K876" s="3"/>
      <c r="L876" s="3"/>
      <c r="M8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7" spans="1:13" x14ac:dyDescent="0.35">
      <c r="A877" s="3" t="s">
        <v>779</v>
      </c>
      <c r="B877" s="3"/>
      <c r="C877">
        <v>45207.127083333333</v>
      </c>
      <c r="D877" t="s">
        <v>892</v>
      </c>
      <c r="E877">
        <v>38</v>
      </c>
      <c r="F877" t="s">
        <v>740</v>
      </c>
      <c r="G877" s="3"/>
      <c r="H877" s="3"/>
      <c r="I877" s="3"/>
      <c r="J877" s="3"/>
      <c r="K877" s="3"/>
      <c r="L877" s="3"/>
      <c r="M8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8" spans="1:13" x14ac:dyDescent="0.35">
      <c r="A878" s="3" t="s">
        <v>779</v>
      </c>
      <c r="B878" s="3"/>
      <c r="C878">
        <v>45212.774305555547</v>
      </c>
      <c r="D878" t="s">
        <v>1387</v>
      </c>
      <c r="E878">
        <v>33</v>
      </c>
      <c r="F878" t="s">
        <v>740</v>
      </c>
      <c r="G878" s="3"/>
      <c r="H878" s="3"/>
      <c r="I878" s="3"/>
      <c r="J878" s="3"/>
      <c r="K878" s="3"/>
      <c r="L878" s="3"/>
      <c r="M8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79" spans="1:13" x14ac:dyDescent="0.35">
      <c r="A879" s="3" t="s">
        <v>779</v>
      </c>
      <c r="B879" s="3"/>
      <c r="C879">
        <v>45226.631249999999</v>
      </c>
      <c r="D879" t="s">
        <v>1388</v>
      </c>
      <c r="E879">
        <v>112</v>
      </c>
      <c r="F879" t="s">
        <v>742</v>
      </c>
      <c r="G879" s="3"/>
      <c r="H879" s="3"/>
      <c r="I879" s="3"/>
      <c r="J879" s="3"/>
      <c r="K879" s="3"/>
      <c r="L879" s="3"/>
      <c r="M8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0" spans="1:13" x14ac:dyDescent="0.35">
      <c r="A880" s="3" t="s">
        <v>770</v>
      </c>
      <c r="B880" s="3"/>
      <c r="C880">
        <v>45208.52847222222</v>
      </c>
      <c r="D880" t="s">
        <v>969</v>
      </c>
      <c r="E880">
        <v>33</v>
      </c>
      <c r="F880" t="s">
        <v>742</v>
      </c>
      <c r="G880" s="3"/>
      <c r="H880" s="3"/>
      <c r="I880" s="3"/>
      <c r="J880" s="3"/>
      <c r="K880" s="3"/>
      <c r="L880" s="3"/>
      <c r="M8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1" spans="1:13" x14ac:dyDescent="0.35">
      <c r="A881" s="3" t="s">
        <v>770</v>
      </c>
      <c r="B881" s="3"/>
      <c r="C881">
        <v>45215.776388888888</v>
      </c>
      <c r="D881" t="s">
        <v>925</v>
      </c>
      <c r="E881">
        <v>87</v>
      </c>
      <c r="F881" t="s">
        <v>748</v>
      </c>
      <c r="G881" s="3"/>
      <c r="H881" s="3"/>
      <c r="I881" s="3"/>
      <c r="J881" s="3"/>
      <c r="K881" s="3"/>
      <c r="L881" s="3"/>
      <c r="M88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2" spans="1:13" x14ac:dyDescent="0.35">
      <c r="A882" s="3" t="s">
        <v>770</v>
      </c>
      <c r="B882" s="3"/>
      <c r="C882">
        <v>45215.049305555563</v>
      </c>
      <c r="D882" t="s">
        <v>856</v>
      </c>
      <c r="E882">
        <v>33</v>
      </c>
      <c r="F882" t="s">
        <v>742</v>
      </c>
      <c r="G882" s="3"/>
      <c r="H882" s="3"/>
      <c r="I882" s="3"/>
      <c r="J882" s="3"/>
      <c r="K882" s="3"/>
      <c r="L882" s="3"/>
      <c r="M8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3" spans="1:13" x14ac:dyDescent="0.35">
      <c r="A883" s="3" t="s">
        <v>770</v>
      </c>
      <c r="B883" s="3"/>
      <c r="C883">
        <v>45208.506249999999</v>
      </c>
      <c r="D883" t="s">
        <v>1389</v>
      </c>
      <c r="E883">
        <v>91</v>
      </c>
      <c r="F883" t="s">
        <v>748</v>
      </c>
      <c r="G883" s="3"/>
      <c r="H883" s="3"/>
      <c r="I883" s="3"/>
      <c r="J883" s="3"/>
      <c r="K883" s="3"/>
      <c r="L883" s="3"/>
      <c r="M88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4" spans="1:13" x14ac:dyDescent="0.35">
      <c r="A884" s="3" t="s">
        <v>770</v>
      </c>
      <c r="B884" s="3"/>
      <c r="C884">
        <v>45219.821527777778</v>
      </c>
      <c r="D884" t="s">
        <v>1327</v>
      </c>
      <c r="E884">
        <v>31</v>
      </c>
      <c r="F884" t="s">
        <v>742</v>
      </c>
      <c r="G884" s="3"/>
      <c r="H884" s="3"/>
      <c r="I884" s="3"/>
      <c r="J884" s="3"/>
      <c r="K884" s="3"/>
      <c r="L884" s="3"/>
      <c r="M8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5" spans="1:13" x14ac:dyDescent="0.35">
      <c r="A885" s="3" t="s">
        <v>770</v>
      </c>
      <c r="B885" s="3"/>
      <c r="C885">
        <v>45222.501388888893</v>
      </c>
      <c r="D885" t="s">
        <v>1390</v>
      </c>
      <c r="E885">
        <v>39</v>
      </c>
      <c r="F885" t="s">
        <v>740</v>
      </c>
      <c r="G885" s="3"/>
      <c r="H885" s="3"/>
      <c r="I885" s="3"/>
      <c r="J885" s="3"/>
      <c r="K885" s="3"/>
      <c r="L885" s="3"/>
      <c r="M8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6" spans="1:13" x14ac:dyDescent="0.35">
      <c r="A886" s="3" t="s">
        <v>770</v>
      </c>
      <c r="B886" s="3"/>
      <c r="C886">
        <v>45212.447222222218</v>
      </c>
      <c r="D886" t="s">
        <v>888</v>
      </c>
      <c r="E886">
        <v>88</v>
      </c>
      <c r="F886" t="s">
        <v>742</v>
      </c>
      <c r="G886" s="3"/>
      <c r="H886" s="3"/>
      <c r="I886" s="3"/>
      <c r="J886" s="3"/>
      <c r="K886" s="3"/>
      <c r="L886" s="3"/>
      <c r="M88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7" spans="1:13" x14ac:dyDescent="0.35">
      <c r="A887" s="3" t="s">
        <v>770</v>
      </c>
      <c r="B887" s="3"/>
      <c r="C887">
        <v>45207.074305555558</v>
      </c>
      <c r="D887" t="s">
        <v>937</v>
      </c>
      <c r="E887">
        <v>57</v>
      </c>
      <c r="F887" t="s">
        <v>740</v>
      </c>
      <c r="G887" s="3"/>
      <c r="H887" s="3"/>
      <c r="I887" s="3"/>
      <c r="J887" s="3"/>
      <c r="K887" s="3"/>
      <c r="L887" s="3"/>
      <c r="M88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8" spans="1:13" x14ac:dyDescent="0.35">
      <c r="A888" s="3" t="s">
        <v>770</v>
      </c>
      <c r="B888" s="3"/>
      <c r="C888">
        <v>45215.372916666667</v>
      </c>
      <c r="D888" t="s">
        <v>1189</v>
      </c>
      <c r="E888">
        <v>70</v>
      </c>
      <c r="F888" t="s">
        <v>742</v>
      </c>
      <c r="G888" s="3"/>
      <c r="H888" s="3"/>
      <c r="I888" s="3"/>
      <c r="J888" s="3"/>
      <c r="K888" s="3"/>
      <c r="L888" s="3"/>
      <c r="M88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89" spans="1:13" x14ac:dyDescent="0.35">
      <c r="A889" s="3" t="s">
        <v>770</v>
      </c>
      <c r="B889" s="3"/>
      <c r="C889">
        <v>45211.01458333333</v>
      </c>
      <c r="D889" t="s">
        <v>1391</v>
      </c>
      <c r="E889">
        <v>7</v>
      </c>
      <c r="F889" t="s">
        <v>748</v>
      </c>
      <c r="G889" s="3"/>
      <c r="H889" s="3"/>
      <c r="I889" s="3"/>
      <c r="J889" s="3"/>
      <c r="K889" s="3"/>
      <c r="L889" s="3"/>
      <c r="M88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0" spans="1:13" x14ac:dyDescent="0.35">
      <c r="A890" s="3" t="s">
        <v>770</v>
      </c>
      <c r="B890" s="3"/>
      <c r="C890">
        <v>45226.388194444437</v>
      </c>
      <c r="D890" t="s">
        <v>1392</v>
      </c>
      <c r="E890">
        <v>115</v>
      </c>
      <c r="F890" t="s">
        <v>748</v>
      </c>
      <c r="G890" s="3"/>
      <c r="H890" s="3"/>
      <c r="I890" s="3"/>
      <c r="J890" s="3"/>
      <c r="K890" s="3"/>
      <c r="L890" s="3"/>
      <c r="M89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1" spans="1:13" x14ac:dyDescent="0.35">
      <c r="A891" s="3" t="s">
        <v>770</v>
      </c>
      <c r="B891" s="3"/>
      <c r="C891">
        <v>45208.662499999999</v>
      </c>
      <c r="D891" t="s">
        <v>1393</v>
      </c>
      <c r="E891">
        <v>104</v>
      </c>
      <c r="F891" t="s">
        <v>748</v>
      </c>
      <c r="G891" s="3"/>
      <c r="H891" s="3"/>
      <c r="I891" s="3"/>
      <c r="J891" s="3"/>
      <c r="K891" s="3"/>
      <c r="L891" s="3"/>
      <c r="M89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2" spans="1:13" x14ac:dyDescent="0.35">
      <c r="A892" s="3" t="s">
        <v>770</v>
      </c>
      <c r="B892" s="3"/>
      <c r="C892">
        <v>45222.879166666673</v>
      </c>
      <c r="D892" t="s">
        <v>1067</v>
      </c>
      <c r="E892">
        <v>103</v>
      </c>
      <c r="F892" t="s">
        <v>748</v>
      </c>
      <c r="G892" s="3"/>
      <c r="H892" s="3"/>
      <c r="I892" s="3"/>
      <c r="J892" s="3"/>
      <c r="K892" s="3"/>
      <c r="L892" s="3"/>
      <c r="M8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3" spans="1:13" x14ac:dyDescent="0.35">
      <c r="A893" s="3" t="s">
        <v>770</v>
      </c>
      <c r="B893" s="3"/>
      <c r="C893">
        <v>45227.297222222223</v>
      </c>
      <c r="D893" t="s">
        <v>931</v>
      </c>
      <c r="E893">
        <v>92</v>
      </c>
      <c r="F893" t="s">
        <v>748</v>
      </c>
      <c r="G893" s="3"/>
      <c r="H893" s="3"/>
      <c r="I893" s="3"/>
      <c r="J893" s="3"/>
      <c r="K893" s="3"/>
      <c r="L893" s="3"/>
      <c r="M89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4" spans="1:13" x14ac:dyDescent="0.35">
      <c r="A894" s="3" t="s">
        <v>770</v>
      </c>
      <c r="B894" s="3"/>
      <c r="C894">
        <v>45209.977777777778</v>
      </c>
      <c r="D894" t="s">
        <v>1339</v>
      </c>
      <c r="E894">
        <v>6</v>
      </c>
      <c r="F894" t="s">
        <v>748</v>
      </c>
      <c r="G894" s="3"/>
      <c r="H894" s="3"/>
      <c r="I894" s="3"/>
      <c r="J894" s="3"/>
      <c r="K894" s="3"/>
      <c r="L894" s="3"/>
      <c r="M89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5" spans="1:13" x14ac:dyDescent="0.35">
      <c r="A895" s="3" t="s">
        <v>770</v>
      </c>
      <c r="B895" s="3"/>
      <c r="C895">
        <v>45224.428472222222</v>
      </c>
      <c r="D895" t="s">
        <v>1033</v>
      </c>
      <c r="E895">
        <v>65</v>
      </c>
      <c r="F895" t="s">
        <v>742</v>
      </c>
      <c r="G895" s="3"/>
      <c r="H895" s="3"/>
      <c r="I895" s="3"/>
      <c r="J895" s="3"/>
      <c r="K895" s="3"/>
      <c r="L895" s="3"/>
      <c r="M89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6" spans="1:13" x14ac:dyDescent="0.35">
      <c r="A896" s="3" t="s">
        <v>770</v>
      </c>
      <c r="B896" s="3"/>
      <c r="C896">
        <v>45223.568055555559</v>
      </c>
      <c r="D896" t="s">
        <v>1394</v>
      </c>
      <c r="E896">
        <v>21</v>
      </c>
      <c r="F896" t="s">
        <v>740</v>
      </c>
      <c r="G896" s="3"/>
      <c r="H896" s="3"/>
      <c r="I896" s="3"/>
      <c r="J896" s="3"/>
      <c r="K896" s="3"/>
      <c r="L896" s="3"/>
      <c r="M8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7" spans="1:13" x14ac:dyDescent="0.35">
      <c r="A897" s="3" t="s">
        <v>770</v>
      </c>
      <c r="B897" s="3"/>
      <c r="C897">
        <v>45220.091666666667</v>
      </c>
      <c r="D897" t="s">
        <v>1031</v>
      </c>
      <c r="E897">
        <v>87</v>
      </c>
      <c r="F897" t="s">
        <v>742</v>
      </c>
      <c r="G897" s="3"/>
      <c r="H897" s="3"/>
      <c r="I897" s="3"/>
      <c r="J897" s="3"/>
      <c r="K897" s="3"/>
      <c r="L897" s="3"/>
      <c r="M8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8" spans="1:13" x14ac:dyDescent="0.35">
      <c r="A898" s="3" t="s">
        <v>770</v>
      </c>
      <c r="B898" s="3"/>
      <c r="C898">
        <v>45214.290277777778</v>
      </c>
      <c r="D898" t="s">
        <v>943</v>
      </c>
      <c r="E898">
        <v>27</v>
      </c>
      <c r="F898" t="s">
        <v>742</v>
      </c>
      <c r="G898" s="3"/>
      <c r="H898" s="3"/>
      <c r="I898" s="3"/>
      <c r="J898" s="3"/>
      <c r="K898" s="3"/>
      <c r="L898" s="3"/>
      <c r="M89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899" spans="1:13" x14ac:dyDescent="0.35">
      <c r="A899" s="3" t="s">
        <v>770</v>
      </c>
      <c r="B899" s="3"/>
      <c r="C899">
        <v>45226.574305555558</v>
      </c>
      <c r="D899" t="s">
        <v>1172</v>
      </c>
      <c r="E899">
        <v>81</v>
      </c>
      <c r="F899" t="s">
        <v>742</v>
      </c>
      <c r="G899" s="3"/>
      <c r="H899" s="3"/>
      <c r="I899" s="3"/>
      <c r="J899" s="3"/>
      <c r="K899" s="3"/>
      <c r="L899" s="3"/>
      <c r="M89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0" spans="1:13" x14ac:dyDescent="0.35">
      <c r="A900" s="3" t="s">
        <v>770</v>
      </c>
      <c r="B900" s="3"/>
      <c r="C900">
        <v>45215.704861111109</v>
      </c>
      <c r="D900" t="s">
        <v>878</v>
      </c>
      <c r="E900">
        <v>107</v>
      </c>
      <c r="F900" t="s">
        <v>740</v>
      </c>
      <c r="G900" s="3"/>
      <c r="H900" s="3"/>
      <c r="I900" s="3"/>
      <c r="J900" s="3"/>
      <c r="K900" s="3"/>
      <c r="L900" s="3"/>
      <c r="M90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1" spans="1:13" x14ac:dyDescent="0.35">
      <c r="A901" s="3" t="s">
        <v>770</v>
      </c>
      <c r="B901" s="3"/>
      <c r="C901">
        <v>45211.063888888893</v>
      </c>
      <c r="D901" t="s">
        <v>771</v>
      </c>
      <c r="E901">
        <v>6</v>
      </c>
      <c r="F901" t="s">
        <v>748</v>
      </c>
      <c r="G901" s="3"/>
      <c r="H901" s="3"/>
      <c r="I901" s="3"/>
      <c r="J901" s="3"/>
      <c r="K901" s="3"/>
      <c r="L901" s="3"/>
      <c r="M90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2" spans="1:13" x14ac:dyDescent="0.35">
      <c r="A902" s="3" t="s">
        <v>770</v>
      </c>
      <c r="B902" s="3"/>
      <c r="C902">
        <v>45225.211111111108</v>
      </c>
      <c r="D902" t="s">
        <v>1395</v>
      </c>
      <c r="E902">
        <v>33</v>
      </c>
      <c r="F902" t="s">
        <v>742</v>
      </c>
      <c r="G902" s="3"/>
      <c r="H902" s="3"/>
      <c r="I902" s="3"/>
      <c r="J902" s="3"/>
      <c r="K902" s="3"/>
      <c r="L902" s="3"/>
      <c r="M90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3" spans="1:13" x14ac:dyDescent="0.35">
      <c r="A903" s="3" t="s">
        <v>770</v>
      </c>
      <c r="B903" s="3"/>
      <c r="C903">
        <v>45209.938888888893</v>
      </c>
      <c r="D903" t="s">
        <v>832</v>
      </c>
      <c r="E903">
        <v>37</v>
      </c>
      <c r="F903" t="s">
        <v>742</v>
      </c>
      <c r="G903" s="3"/>
      <c r="H903" s="3"/>
      <c r="I903" s="3"/>
      <c r="J903" s="3"/>
      <c r="K903" s="3"/>
      <c r="L903" s="3"/>
      <c r="M9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4" spans="1:13" x14ac:dyDescent="0.35">
      <c r="A904" s="3" t="s">
        <v>770</v>
      </c>
      <c r="B904" s="3"/>
      <c r="C904">
        <v>45212.200694444437</v>
      </c>
      <c r="D904" t="s">
        <v>1186</v>
      </c>
      <c r="E904">
        <v>82</v>
      </c>
      <c r="F904" t="s">
        <v>740</v>
      </c>
      <c r="G904" s="3"/>
      <c r="H904" s="3"/>
      <c r="I904" s="3"/>
      <c r="J904" s="3"/>
      <c r="K904" s="3"/>
      <c r="L904" s="3"/>
      <c r="M90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5" spans="1:13" x14ac:dyDescent="0.35">
      <c r="A905" s="3" t="s">
        <v>770</v>
      </c>
      <c r="B905" s="3"/>
      <c r="C905">
        <v>45227.705555555563</v>
      </c>
      <c r="D905" t="s">
        <v>1183</v>
      </c>
      <c r="E905">
        <v>108</v>
      </c>
      <c r="F905" t="s">
        <v>742</v>
      </c>
      <c r="G905" s="3"/>
      <c r="H905" s="3"/>
      <c r="I905" s="3"/>
      <c r="J905" s="3"/>
      <c r="K905" s="3"/>
      <c r="L905" s="3"/>
      <c r="M9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6" spans="1:13" x14ac:dyDescent="0.35">
      <c r="A906" s="3" t="s">
        <v>770</v>
      </c>
      <c r="B906" s="3"/>
      <c r="C906">
        <v>45218.007638888892</v>
      </c>
      <c r="D906" t="s">
        <v>979</v>
      </c>
      <c r="E906">
        <v>44</v>
      </c>
      <c r="F906" t="s">
        <v>742</v>
      </c>
      <c r="G906" s="3"/>
      <c r="H906" s="3"/>
      <c r="I906" s="3"/>
      <c r="J906" s="3"/>
      <c r="K906" s="3"/>
      <c r="L906" s="3"/>
      <c r="M9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7" spans="1:13" x14ac:dyDescent="0.35">
      <c r="A907" s="3" t="s">
        <v>770</v>
      </c>
      <c r="B907" s="3"/>
      <c r="C907">
        <v>45206.286805555559</v>
      </c>
      <c r="D907" t="s">
        <v>832</v>
      </c>
      <c r="E907">
        <v>96</v>
      </c>
      <c r="F907" t="s">
        <v>742</v>
      </c>
      <c r="G907" s="3"/>
      <c r="H907" s="3"/>
      <c r="I907" s="3"/>
      <c r="J907" s="3"/>
      <c r="K907" s="3"/>
      <c r="L907" s="3"/>
      <c r="M90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8" spans="1:13" x14ac:dyDescent="0.35">
      <c r="A908" s="3" t="s">
        <v>770</v>
      </c>
      <c r="B908" s="3"/>
      <c r="C908">
        <v>45201.293055555558</v>
      </c>
      <c r="D908" t="s">
        <v>827</v>
      </c>
      <c r="E908">
        <v>95</v>
      </c>
      <c r="F908" t="s">
        <v>748</v>
      </c>
      <c r="G908" s="3"/>
      <c r="H908" s="3"/>
      <c r="I908" s="3"/>
      <c r="J908" s="3"/>
      <c r="K908" s="3"/>
      <c r="L908" s="3"/>
      <c r="M90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09" spans="1:13" x14ac:dyDescent="0.35">
      <c r="A909" s="3" t="s">
        <v>770</v>
      </c>
      <c r="B909" s="3"/>
      <c r="C909">
        <v>45214.081944444442</v>
      </c>
      <c r="D909" t="s">
        <v>1396</v>
      </c>
      <c r="E909">
        <v>87</v>
      </c>
      <c r="F909" t="s">
        <v>742</v>
      </c>
      <c r="G909" s="3"/>
      <c r="H909" s="3"/>
      <c r="I909" s="3"/>
      <c r="J909" s="3"/>
      <c r="K909" s="3"/>
      <c r="L909" s="3"/>
      <c r="M90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0" spans="1:13" x14ac:dyDescent="0.35">
      <c r="A910" s="3" t="s">
        <v>770</v>
      </c>
      <c r="B910" s="3"/>
      <c r="C910">
        <v>45211.925000000003</v>
      </c>
      <c r="D910" t="s">
        <v>1110</v>
      </c>
      <c r="E910">
        <v>40</v>
      </c>
      <c r="F910" t="s">
        <v>748</v>
      </c>
      <c r="G910" s="3"/>
      <c r="H910" s="3"/>
      <c r="I910" s="3"/>
      <c r="J910" s="3"/>
      <c r="K910" s="3"/>
      <c r="L910" s="3"/>
      <c r="M9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1" spans="1:13" x14ac:dyDescent="0.35">
      <c r="A911" s="3" t="s">
        <v>770</v>
      </c>
      <c r="B911" s="3"/>
      <c r="C911">
        <v>45208.494444444441</v>
      </c>
      <c r="D911" t="s">
        <v>1227</v>
      </c>
      <c r="E911">
        <v>59</v>
      </c>
      <c r="F911" t="s">
        <v>742</v>
      </c>
      <c r="G911" s="3"/>
      <c r="H911" s="3"/>
      <c r="I911" s="3"/>
      <c r="J911" s="3"/>
      <c r="K911" s="3"/>
      <c r="L911" s="3"/>
      <c r="M9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2" spans="1:13" x14ac:dyDescent="0.35">
      <c r="A912" s="3" t="s">
        <v>770</v>
      </c>
      <c r="B912" s="3"/>
      <c r="C912">
        <v>45214.684027777781</v>
      </c>
      <c r="D912" t="s">
        <v>984</v>
      </c>
      <c r="E912">
        <v>119</v>
      </c>
      <c r="F912" t="s">
        <v>748</v>
      </c>
      <c r="G912" s="3"/>
      <c r="H912" s="3"/>
      <c r="I912" s="3"/>
      <c r="J912" s="3"/>
      <c r="K912" s="3"/>
      <c r="L912" s="3"/>
      <c r="M91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3" spans="1:13" x14ac:dyDescent="0.35">
      <c r="A913" s="3" t="s">
        <v>770</v>
      </c>
      <c r="B913" s="3"/>
      <c r="C913">
        <v>45220.154861111107</v>
      </c>
      <c r="D913" t="s">
        <v>932</v>
      </c>
      <c r="E913">
        <v>53</v>
      </c>
      <c r="F913" t="s">
        <v>740</v>
      </c>
      <c r="G913" s="3"/>
      <c r="H913" s="3"/>
      <c r="I913" s="3"/>
      <c r="J913" s="3"/>
      <c r="K913" s="3"/>
      <c r="L913" s="3"/>
      <c r="M91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4" spans="1:13" x14ac:dyDescent="0.35">
      <c r="A914" s="3" t="s">
        <v>770</v>
      </c>
      <c r="B914" s="3"/>
      <c r="C914">
        <v>45200.307638888888</v>
      </c>
      <c r="D914" t="s">
        <v>1031</v>
      </c>
      <c r="E914">
        <v>114</v>
      </c>
      <c r="F914" t="s">
        <v>742</v>
      </c>
      <c r="G914" s="3"/>
      <c r="H914" s="3"/>
      <c r="I914" s="3"/>
      <c r="J914" s="3"/>
      <c r="K914" s="3"/>
      <c r="L914" s="3"/>
      <c r="M9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5" spans="1:13" x14ac:dyDescent="0.35">
      <c r="A915" s="3" t="s">
        <v>770</v>
      </c>
      <c r="B915" s="3"/>
      <c r="C915">
        <v>45215.811111111107</v>
      </c>
      <c r="D915" t="s">
        <v>1131</v>
      </c>
      <c r="E915">
        <v>49</v>
      </c>
      <c r="F915" t="s">
        <v>742</v>
      </c>
      <c r="G915" s="3"/>
      <c r="H915" s="3"/>
      <c r="I915" s="3"/>
      <c r="J915" s="3"/>
      <c r="K915" s="3"/>
      <c r="L915" s="3"/>
      <c r="M91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6" spans="1:13" x14ac:dyDescent="0.35">
      <c r="A916" s="3" t="s">
        <v>770</v>
      </c>
      <c r="B916" s="3"/>
      <c r="C916">
        <v>45205.650694444441</v>
      </c>
      <c r="D916" t="s">
        <v>804</v>
      </c>
      <c r="E916">
        <v>63</v>
      </c>
      <c r="F916" t="s">
        <v>740</v>
      </c>
      <c r="G916" s="3"/>
      <c r="H916" s="3"/>
      <c r="I916" s="3"/>
      <c r="J916" s="3"/>
      <c r="K916" s="3"/>
      <c r="L916" s="3"/>
      <c r="M9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7" spans="1:13" x14ac:dyDescent="0.35">
      <c r="A917" s="3" t="s">
        <v>770</v>
      </c>
      <c r="B917" s="3"/>
      <c r="C917">
        <v>45217.473611111112</v>
      </c>
      <c r="D917" t="s">
        <v>892</v>
      </c>
      <c r="E917">
        <v>37</v>
      </c>
      <c r="F917" t="s">
        <v>748</v>
      </c>
      <c r="G917" s="3"/>
      <c r="H917" s="3"/>
      <c r="I917" s="3"/>
      <c r="J917" s="3"/>
      <c r="K917" s="3"/>
      <c r="L917" s="3"/>
      <c r="M91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8" spans="1:13" x14ac:dyDescent="0.35">
      <c r="A918" s="3" t="s">
        <v>770</v>
      </c>
      <c r="B918" s="3"/>
      <c r="C918">
        <v>45205.365972222222</v>
      </c>
      <c r="D918" t="s">
        <v>1286</v>
      </c>
      <c r="E918">
        <v>32</v>
      </c>
      <c r="F918" t="s">
        <v>740</v>
      </c>
      <c r="G918" s="3"/>
      <c r="H918" s="3"/>
      <c r="I918" s="3"/>
      <c r="J918" s="3"/>
      <c r="K918" s="3"/>
      <c r="L918" s="3"/>
      <c r="M9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19" spans="1:13" x14ac:dyDescent="0.35">
      <c r="A919" s="3" t="s">
        <v>770</v>
      </c>
      <c r="B919" s="3"/>
      <c r="C919">
        <v>45226.920138888891</v>
      </c>
      <c r="D919" t="s">
        <v>1048</v>
      </c>
      <c r="E919">
        <v>64</v>
      </c>
      <c r="F919" t="s">
        <v>748</v>
      </c>
      <c r="G919" s="3"/>
      <c r="H919" s="3"/>
      <c r="I919" s="3"/>
      <c r="J919" s="3"/>
      <c r="K919" s="3"/>
      <c r="L919" s="3"/>
      <c r="M9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0" spans="1:13" x14ac:dyDescent="0.35">
      <c r="A920" s="3" t="s">
        <v>770</v>
      </c>
      <c r="B920" s="3"/>
      <c r="C920">
        <v>45209.01666666667</v>
      </c>
      <c r="D920" t="s">
        <v>1397</v>
      </c>
      <c r="E920">
        <v>43</v>
      </c>
      <c r="F920" t="s">
        <v>740</v>
      </c>
      <c r="G920" s="3"/>
      <c r="H920" s="3"/>
      <c r="I920" s="3"/>
      <c r="J920" s="3"/>
      <c r="K920" s="3"/>
      <c r="L920" s="3"/>
      <c r="M9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1" spans="1:13" x14ac:dyDescent="0.35">
      <c r="A921" s="3" t="s">
        <v>770</v>
      </c>
      <c r="B921" s="3"/>
      <c r="C921">
        <v>45201.245833333327</v>
      </c>
      <c r="D921" t="s">
        <v>1222</v>
      </c>
      <c r="E921">
        <v>91</v>
      </c>
      <c r="F921" t="s">
        <v>742</v>
      </c>
      <c r="G921" s="3"/>
      <c r="H921" s="3"/>
      <c r="I921" s="3"/>
      <c r="J921" s="3"/>
      <c r="K921" s="3"/>
      <c r="L921" s="3"/>
      <c r="M92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2" spans="1:13" x14ac:dyDescent="0.35">
      <c r="A922" s="3" t="s">
        <v>770</v>
      </c>
      <c r="B922" s="3"/>
      <c r="C922">
        <v>45218.287499999999</v>
      </c>
      <c r="D922" t="s">
        <v>1398</v>
      </c>
      <c r="E922">
        <v>71</v>
      </c>
      <c r="F922" t="s">
        <v>748</v>
      </c>
      <c r="G922" s="3"/>
      <c r="H922" s="3"/>
      <c r="I922" s="3"/>
      <c r="J922" s="3"/>
      <c r="K922" s="3"/>
      <c r="L922" s="3"/>
      <c r="M9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3" spans="1:13" x14ac:dyDescent="0.35">
      <c r="A923" s="3" t="s">
        <v>752</v>
      </c>
      <c r="B923" s="3"/>
      <c r="C923">
        <v>45220.093055555553</v>
      </c>
      <c r="D923" t="s">
        <v>1371</v>
      </c>
      <c r="E923">
        <v>48</v>
      </c>
      <c r="F923" t="s">
        <v>740</v>
      </c>
      <c r="G923" s="3"/>
      <c r="H923" s="3"/>
      <c r="I923" s="3"/>
      <c r="J923" s="3"/>
      <c r="K923" s="3"/>
      <c r="L923" s="3"/>
      <c r="M9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4" spans="1:13" x14ac:dyDescent="0.35">
      <c r="A924" s="3" t="s">
        <v>752</v>
      </c>
      <c r="B924" s="3"/>
      <c r="C924">
        <v>45211.324305555558</v>
      </c>
      <c r="D924" t="s">
        <v>1399</v>
      </c>
      <c r="E924">
        <v>120</v>
      </c>
      <c r="F924" t="s">
        <v>748</v>
      </c>
      <c r="G924" s="3"/>
      <c r="H924" s="3"/>
      <c r="I924" s="3"/>
      <c r="J924" s="3"/>
      <c r="K924" s="3"/>
      <c r="L924" s="3"/>
      <c r="M9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5" spans="1:13" x14ac:dyDescent="0.35">
      <c r="A925" s="3" t="s">
        <v>752</v>
      </c>
      <c r="B925" s="3"/>
      <c r="C925">
        <v>45227.393055555563</v>
      </c>
      <c r="D925" t="s">
        <v>1193</v>
      </c>
      <c r="E925">
        <v>67</v>
      </c>
      <c r="F925" t="s">
        <v>740</v>
      </c>
      <c r="G925" s="3"/>
      <c r="H925" s="3"/>
      <c r="I925" s="3"/>
      <c r="J925" s="3"/>
      <c r="K925" s="3"/>
      <c r="L925" s="3"/>
      <c r="M9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6" spans="1:13" x14ac:dyDescent="0.35">
      <c r="A926" s="3" t="s">
        <v>752</v>
      </c>
      <c r="B926" s="3"/>
      <c r="C926">
        <v>45225.432638888888</v>
      </c>
      <c r="D926" t="s">
        <v>1124</v>
      </c>
      <c r="E926">
        <v>50</v>
      </c>
      <c r="F926" t="s">
        <v>742</v>
      </c>
      <c r="G926" s="3"/>
      <c r="H926" s="3"/>
      <c r="I926" s="3"/>
      <c r="J926" s="3"/>
      <c r="K926" s="3"/>
      <c r="L926" s="3"/>
      <c r="M9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7" spans="1:13" x14ac:dyDescent="0.35">
      <c r="A927" s="3" t="s">
        <v>752</v>
      </c>
      <c r="B927" s="3"/>
      <c r="C927">
        <v>45208.762499999997</v>
      </c>
      <c r="D927" t="s">
        <v>1400</v>
      </c>
      <c r="E927">
        <v>101</v>
      </c>
      <c r="F927" t="s">
        <v>740</v>
      </c>
      <c r="G927" s="3"/>
      <c r="H927" s="3"/>
      <c r="I927" s="3"/>
      <c r="J927" s="3"/>
      <c r="K927" s="3"/>
      <c r="L927" s="3"/>
      <c r="M9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8" spans="1:13" x14ac:dyDescent="0.35">
      <c r="A928" s="3" t="s">
        <v>752</v>
      </c>
      <c r="B928" s="3"/>
      <c r="C928">
        <v>45214.145833333343</v>
      </c>
      <c r="D928" t="s">
        <v>1174</v>
      </c>
      <c r="E928">
        <v>29</v>
      </c>
      <c r="F928" t="s">
        <v>748</v>
      </c>
      <c r="G928" s="3"/>
      <c r="H928" s="3"/>
      <c r="I928" s="3"/>
      <c r="J928" s="3"/>
      <c r="K928" s="3"/>
      <c r="L928" s="3"/>
      <c r="M9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29" spans="1:13" x14ac:dyDescent="0.35">
      <c r="A929" s="3" t="s">
        <v>752</v>
      </c>
      <c r="B929" s="3"/>
      <c r="C929">
        <v>45201.859027777777</v>
      </c>
      <c r="D929" t="s">
        <v>1401</v>
      </c>
      <c r="E929">
        <v>26</v>
      </c>
      <c r="F929" t="s">
        <v>742</v>
      </c>
      <c r="G929" s="3"/>
      <c r="H929" s="3"/>
      <c r="I929" s="3"/>
      <c r="J929" s="3"/>
      <c r="K929" s="3"/>
      <c r="L929" s="3"/>
      <c r="M9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0" spans="1:13" x14ac:dyDescent="0.35">
      <c r="A930" s="3" t="s">
        <v>752</v>
      </c>
      <c r="B930" s="3"/>
      <c r="C930">
        <v>45218.794444444437</v>
      </c>
      <c r="D930" t="s">
        <v>1402</v>
      </c>
      <c r="E930">
        <v>108</v>
      </c>
      <c r="F930" t="s">
        <v>740</v>
      </c>
      <c r="G930" s="3"/>
      <c r="H930" s="3"/>
      <c r="I930" s="3"/>
      <c r="J930" s="3"/>
      <c r="K930" s="3"/>
      <c r="L930" s="3"/>
      <c r="M9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1" spans="1:13" x14ac:dyDescent="0.35">
      <c r="A931" s="3" t="s">
        <v>752</v>
      </c>
      <c r="B931" s="3"/>
      <c r="C931">
        <v>45215.272222222222</v>
      </c>
      <c r="D931" t="s">
        <v>1403</v>
      </c>
      <c r="E931">
        <v>56</v>
      </c>
      <c r="F931" t="s">
        <v>748</v>
      </c>
      <c r="G931" s="3"/>
      <c r="H931" s="3"/>
      <c r="I931" s="3"/>
      <c r="J931" s="3"/>
      <c r="K931" s="3"/>
      <c r="L931" s="3"/>
      <c r="M93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2" spans="1:13" x14ac:dyDescent="0.35">
      <c r="A932" s="3" t="s">
        <v>752</v>
      </c>
      <c r="B932" s="3"/>
      <c r="C932">
        <v>45203.89166666667</v>
      </c>
      <c r="D932" t="s">
        <v>1123</v>
      </c>
      <c r="E932">
        <v>7</v>
      </c>
      <c r="F932" t="s">
        <v>742</v>
      </c>
      <c r="G932" s="3"/>
      <c r="H932" s="3"/>
      <c r="I932" s="3"/>
      <c r="J932" s="3"/>
      <c r="K932" s="3"/>
      <c r="L932" s="3"/>
      <c r="M9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3" spans="1:13" x14ac:dyDescent="0.35">
      <c r="A933" s="3" t="s">
        <v>752</v>
      </c>
      <c r="B933" s="3"/>
      <c r="C933">
        <v>45216.393055555563</v>
      </c>
      <c r="D933" t="s">
        <v>1404</v>
      </c>
      <c r="E933">
        <v>34</v>
      </c>
      <c r="F933" t="s">
        <v>748</v>
      </c>
      <c r="G933" s="3"/>
      <c r="H933" s="3"/>
      <c r="I933" s="3"/>
      <c r="J933" s="3"/>
      <c r="K933" s="3"/>
      <c r="L933" s="3"/>
      <c r="M9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4" spans="1:13" x14ac:dyDescent="0.35">
      <c r="A934" s="3" t="s">
        <v>752</v>
      </c>
      <c r="B934" s="3"/>
      <c r="C934">
        <v>45201.172222222223</v>
      </c>
      <c r="D934" t="s">
        <v>1405</v>
      </c>
      <c r="E934">
        <v>33</v>
      </c>
      <c r="F934" t="s">
        <v>748</v>
      </c>
      <c r="G934" s="3"/>
      <c r="H934" s="3"/>
      <c r="I934" s="3"/>
      <c r="J934" s="3"/>
      <c r="K934" s="3"/>
      <c r="L934" s="3"/>
      <c r="M9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5" spans="1:13" x14ac:dyDescent="0.35">
      <c r="A935" s="3" t="s">
        <v>752</v>
      </c>
      <c r="B935" s="3"/>
      <c r="C935">
        <v>45206.43472222222</v>
      </c>
      <c r="D935" t="s">
        <v>1035</v>
      </c>
      <c r="E935">
        <v>98</v>
      </c>
      <c r="F935" t="s">
        <v>740</v>
      </c>
      <c r="G935" s="3"/>
      <c r="H935" s="3"/>
      <c r="I935" s="3"/>
      <c r="J935" s="3"/>
      <c r="K935" s="3"/>
      <c r="L935" s="3"/>
      <c r="M9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6" spans="1:13" x14ac:dyDescent="0.35">
      <c r="A936" s="3" t="s">
        <v>752</v>
      </c>
      <c r="B936" s="3"/>
      <c r="C936">
        <v>45218.589583333327</v>
      </c>
      <c r="D936" t="s">
        <v>815</v>
      </c>
      <c r="E936">
        <v>21</v>
      </c>
      <c r="F936" t="s">
        <v>740</v>
      </c>
      <c r="G936" s="3"/>
      <c r="H936" s="3"/>
      <c r="I936" s="3"/>
      <c r="J936" s="3"/>
      <c r="K936" s="3"/>
      <c r="L936" s="3"/>
      <c r="M9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7" spans="1:13" x14ac:dyDescent="0.35">
      <c r="A937" s="3" t="s">
        <v>752</v>
      </c>
      <c r="B937" s="3"/>
      <c r="C937">
        <v>45210.924305555563</v>
      </c>
      <c r="D937" t="s">
        <v>1406</v>
      </c>
      <c r="E937">
        <v>32</v>
      </c>
      <c r="F937" t="s">
        <v>742</v>
      </c>
      <c r="G937" s="3"/>
      <c r="H937" s="3"/>
      <c r="I937" s="3"/>
      <c r="J937" s="3"/>
      <c r="K937" s="3"/>
      <c r="L937" s="3"/>
      <c r="M93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8" spans="1:13" x14ac:dyDescent="0.35">
      <c r="A938" s="3" t="s">
        <v>752</v>
      </c>
      <c r="B938" s="3"/>
      <c r="C938">
        <v>45224.104861111111</v>
      </c>
      <c r="D938" t="s">
        <v>1407</v>
      </c>
      <c r="E938">
        <v>98</v>
      </c>
      <c r="F938" t="s">
        <v>748</v>
      </c>
      <c r="G938" s="3"/>
      <c r="H938" s="3"/>
      <c r="I938" s="3"/>
      <c r="J938" s="3"/>
      <c r="K938" s="3"/>
      <c r="L938" s="3"/>
      <c r="M9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39" spans="1:13" x14ac:dyDescent="0.35">
      <c r="A939" s="3" t="s">
        <v>752</v>
      </c>
      <c r="B939" s="3"/>
      <c r="C939">
        <v>45210.84097222222</v>
      </c>
      <c r="D939" t="s">
        <v>1140</v>
      </c>
      <c r="E939">
        <v>7</v>
      </c>
      <c r="F939" t="s">
        <v>740</v>
      </c>
      <c r="G939" s="3"/>
      <c r="H939" s="3"/>
      <c r="I939" s="3"/>
      <c r="J939" s="3"/>
      <c r="K939" s="3"/>
      <c r="L939" s="3"/>
      <c r="M93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0" spans="1:13" x14ac:dyDescent="0.35">
      <c r="A940" s="3" t="s">
        <v>752</v>
      </c>
      <c r="B940" s="3"/>
      <c r="C940">
        <v>45210.835416666669</v>
      </c>
      <c r="D940" t="s">
        <v>753</v>
      </c>
      <c r="E940">
        <v>80</v>
      </c>
      <c r="F940" t="s">
        <v>742</v>
      </c>
      <c r="G940" s="3"/>
      <c r="H940" s="3"/>
      <c r="I940" s="3"/>
      <c r="J940" s="3"/>
      <c r="K940" s="3"/>
      <c r="L940" s="3"/>
      <c r="M9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1" spans="1:13" x14ac:dyDescent="0.35">
      <c r="A941" s="3" t="s">
        <v>752</v>
      </c>
      <c r="B941" s="3"/>
      <c r="C941">
        <v>45200.595138888893</v>
      </c>
      <c r="D941" t="s">
        <v>1332</v>
      </c>
      <c r="E941">
        <v>69</v>
      </c>
      <c r="F941" t="s">
        <v>748</v>
      </c>
      <c r="G941" s="3"/>
      <c r="H941" s="3"/>
      <c r="I941" s="3"/>
      <c r="J941" s="3"/>
      <c r="K941" s="3"/>
      <c r="L941" s="3"/>
      <c r="M9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2" spans="1:13" x14ac:dyDescent="0.35">
      <c r="A942" s="3" t="s">
        <v>752</v>
      </c>
      <c r="B942" s="3"/>
      <c r="C942">
        <v>45206.23333333333</v>
      </c>
      <c r="D942" t="s">
        <v>862</v>
      </c>
      <c r="E942">
        <v>26</v>
      </c>
      <c r="F942" t="s">
        <v>748</v>
      </c>
      <c r="G942" s="3"/>
      <c r="H942" s="3"/>
      <c r="I942" s="3"/>
      <c r="J942" s="3"/>
      <c r="K942" s="3"/>
      <c r="L942" s="3"/>
      <c r="M9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3" spans="1:13" x14ac:dyDescent="0.35">
      <c r="A943" s="3" t="s">
        <v>752</v>
      </c>
      <c r="B943" s="3"/>
      <c r="C943">
        <v>45224.229861111111</v>
      </c>
      <c r="D943" t="s">
        <v>936</v>
      </c>
      <c r="E943">
        <v>20</v>
      </c>
      <c r="F943" t="s">
        <v>740</v>
      </c>
      <c r="G943" s="3"/>
      <c r="H943" s="3"/>
      <c r="I943" s="3"/>
      <c r="J943" s="3"/>
      <c r="K943" s="3"/>
      <c r="L943" s="3"/>
      <c r="M94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4" spans="1:13" x14ac:dyDescent="0.35">
      <c r="A944" s="3" t="s">
        <v>752</v>
      </c>
      <c r="B944" s="3"/>
      <c r="C944">
        <v>45225.088888888888</v>
      </c>
      <c r="D944" t="s">
        <v>1408</v>
      </c>
      <c r="E944">
        <v>51</v>
      </c>
      <c r="F944" t="s">
        <v>740</v>
      </c>
      <c r="G944" s="3"/>
      <c r="H944" s="3"/>
      <c r="I944" s="3"/>
      <c r="J944" s="3"/>
      <c r="K944" s="3"/>
      <c r="L944" s="3"/>
      <c r="M94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5" spans="1:13" x14ac:dyDescent="0.35">
      <c r="A945" s="3" t="s">
        <v>752</v>
      </c>
      <c r="B945" s="3"/>
      <c r="C945">
        <v>45219.569444444453</v>
      </c>
      <c r="D945" t="s">
        <v>937</v>
      </c>
      <c r="E945">
        <v>96</v>
      </c>
      <c r="F945" t="s">
        <v>740</v>
      </c>
      <c r="G945" s="3"/>
      <c r="H945" s="3"/>
      <c r="I945" s="3"/>
      <c r="J945" s="3"/>
      <c r="K945" s="3"/>
      <c r="L945" s="3"/>
      <c r="M9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6" spans="1:13" x14ac:dyDescent="0.35">
      <c r="A946" s="3" t="s">
        <v>752</v>
      </c>
      <c r="B946" s="3"/>
      <c r="C946">
        <v>45213.518750000003</v>
      </c>
      <c r="D946" t="s">
        <v>894</v>
      </c>
      <c r="E946">
        <v>88</v>
      </c>
      <c r="F946" t="s">
        <v>742</v>
      </c>
      <c r="G946" s="3"/>
      <c r="H946" s="3"/>
      <c r="I946" s="3"/>
      <c r="J946" s="3"/>
      <c r="K946" s="3"/>
      <c r="L946" s="3"/>
      <c r="M9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7" spans="1:13" x14ac:dyDescent="0.35">
      <c r="A947" s="3" t="s">
        <v>752</v>
      </c>
      <c r="B947" s="3"/>
      <c r="C947">
        <v>45230.64166666667</v>
      </c>
      <c r="D947" t="s">
        <v>830</v>
      </c>
      <c r="E947">
        <v>106</v>
      </c>
      <c r="F947" t="s">
        <v>740</v>
      </c>
      <c r="G947" s="3"/>
      <c r="H947" s="3"/>
      <c r="I947" s="3"/>
      <c r="J947" s="3"/>
      <c r="K947" s="3"/>
      <c r="L947" s="3"/>
      <c r="M94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8" spans="1:13" x14ac:dyDescent="0.35">
      <c r="A948" s="3" t="s">
        <v>752</v>
      </c>
      <c r="B948" s="3"/>
      <c r="C948">
        <v>45200.06527777778</v>
      </c>
      <c r="D948" t="s">
        <v>1132</v>
      </c>
      <c r="E948">
        <v>9</v>
      </c>
      <c r="F948" t="s">
        <v>740</v>
      </c>
      <c r="G948" s="3"/>
      <c r="H948" s="3"/>
      <c r="I948" s="3"/>
      <c r="J948" s="3"/>
      <c r="K948" s="3"/>
      <c r="L948" s="3"/>
      <c r="M94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49" spans="1:13" x14ac:dyDescent="0.35">
      <c r="A949" s="3" t="s">
        <v>752</v>
      </c>
      <c r="B949" s="3"/>
      <c r="C949">
        <v>45206.974305555559</v>
      </c>
      <c r="D949" t="s">
        <v>924</v>
      </c>
      <c r="E949">
        <v>53</v>
      </c>
      <c r="F949" t="s">
        <v>742</v>
      </c>
      <c r="G949" s="3"/>
      <c r="H949" s="3"/>
      <c r="I949" s="3"/>
      <c r="J949" s="3"/>
      <c r="K949" s="3"/>
      <c r="L949" s="3"/>
      <c r="M9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0" spans="1:13" x14ac:dyDescent="0.35">
      <c r="A950" s="3" t="s">
        <v>752</v>
      </c>
      <c r="B950" s="3"/>
      <c r="C950">
        <v>45230.039583333331</v>
      </c>
      <c r="D950" t="s">
        <v>947</v>
      </c>
      <c r="E950">
        <v>117</v>
      </c>
      <c r="F950" t="s">
        <v>742</v>
      </c>
      <c r="G950" s="3"/>
      <c r="H950" s="3"/>
      <c r="I950" s="3"/>
      <c r="J950" s="3"/>
      <c r="K950" s="3"/>
      <c r="L950" s="3"/>
      <c r="M9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1" spans="1:13" x14ac:dyDescent="0.35">
      <c r="A951" s="3" t="s">
        <v>752</v>
      </c>
      <c r="B951" s="3"/>
      <c r="C951">
        <v>45210.675000000003</v>
      </c>
      <c r="D951" t="s">
        <v>1146</v>
      </c>
      <c r="E951">
        <v>86</v>
      </c>
      <c r="F951" t="s">
        <v>748</v>
      </c>
      <c r="G951" s="3"/>
      <c r="H951" s="3"/>
      <c r="I951" s="3"/>
      <c r="J951" s="3"/>
      <c r="K951" s="3"/>
      <c r="L951" s="3"/>
      <c r="M9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2" spans="1:13" x14ac:dyDescent="0.35">
      <c r="A952" s="3" t="s">
        <v>752</v>
      </c>
      <c r="B952" s="3"/>
      <c r="C952">
        <v>45200.875</v>
      </c>
      <c r="E952">
        <v>37</v>
      </c>
      <c r="F952" t="s">
        <v>740</v>
      </c>
      <c r="G952" s="3"/>
      <c r="H952" s="3"/>
      <c r="I952" s="3"/>
      <c r="J952" s="3"/>
      <c r="K952" s="3"/>
      <c r="L952" s="3"/>
      <c r="M9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3" spans="1:13" x14ac:dyDescent="0.35">
      <c r="A953" s="3" t="s">
        <v>752</v>
      </c>
      <c r="B953" s="3"/>
      <c r="C953">
        <v>45220.96875</v>
      </c>
      <c r="D953" t="s">
        <v>1084</v>
      </c>
      <c r="E953">
        <v>103</v>
      </c>
      <c r="F953" t="s">
        <v>740</v>
      </c>
      <c r="G953" s="3"/>
      <c r="H953" s="3"/>
      <c r="I953" s="3"/>
      <c r="J953" s="3"/>
      <c r="K953" s="3"/>
      <c r="L953" s="3"/>
      <c r="M95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4" spans="1:13" x14ac:dyDescent="0.35">
      <c r="A954" s="3" t="s">
        <v>752</v>
      </c>
      <c r="B954" s="3"/>
      <c r="C954">
        <v>45207.955555555563</v>
      </c>
      <c r="D954" t="s">
        <v>1176</v>
      </c>
      <c r="E954">
        <v>73</v>
      </c>
      <c r="F954" t="s">
        <v>742</v>
      </c>
      <c r="G954" s="3"/>
      <c r="H954" s="3"/>
      <c r="I954" s="3"/>
      <c r="J954" s="3"/>
      <c r="K954" s="3"/>
      <c r="L954" s="3"/>
      <c r="M95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5" spans="1:13" x14ac:dyDescent="0.35">
      <c r="A955" s="3" t="s">
        <v>752</v>
      </c>
      <c r="B955" s="3"/>
      <c r="C955">
        <v>45211.380555555559</v>
      </c>
      <c r="D955" t="s">
        <v>1409</v>
      </c>
      <c r="E955">
        <v>84</v>
      </c>
      <c r="F955" t="s">
        <v>740</v>
      </c>
      <c r="G955" s="3"/>
      <c r="H955" s="3"/>
      <c r="I955" s="3"/>
      <c r="J955" s="3"/>
      <c r="K955" s="3"/>
      <c r="L955" s="3"/>
      <c r="M95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6" spans="1:13" x14ac:dyDescent="0.35">
      <c r="A956" s="3" t="s">
        <v>752</v>
      </c>
      <c r="B956" s="3"/>
      <c r="C956">
        <v>45203.522222222222</v>
      </c>
      <c r="D956" t="s">
        <v>888</v>
      </c>
      <c r="E956">
        <v>11</v>
      </c>
      <c r="F956" t="s">
        <v>742</v>
      </c>
      <c r="G956" s="3"/>
      <c r="H956" s="3"/>
      <c r="I956" s="3"/>
      <c r="J956" s="3"/>
      <c r="K956" s="3"/>
      <c r="L956" s="3"/>
      <c r="M95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7" spans="1:13" x14ac:dyDescent="0.35">
      <c r="A957" s="3" t="s">
        <v>752</v>
      </c>
      <c r="B957" s="3"/>
      <c r="C957">
        <v>45218.381944444453</v>
      </c>
      <c r="D957" t="s">
        <v>951</v>
      </c>
      <c r="E957">
        <v>81</v>
      </c>
      <c r="F957" t="s">
        <v>742</v>
      </c>
      <c r="G957" s="3"/>
      <c r="H957" s="3"/>
      <c r="I957" s="3"/>
      <c r="J957" s="3"/>
      <c r="K957" s="3"/>
      <c r="L957" s="3"/>
      <c r="M95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8" spans="1:13" x14ac:dyDescent="0.35">
      <c r="A958" s="3" t="s">
        <v>752</v>
      </c>
      <c r="B958" s="3"/>
      <c r="C958">
        <v>45202.054861111108</v>
      </c>
      <c r="D958" t="s">
        <v>1192</v>
      </c>
      <c r="E958">
        <v>11</v>
      </c>
      <c r="F958" t="s">
        <v>740</v>
      </c>
      <c r="G958" s="3"/>
      <c r="H958" s="3"/>
      <c r="I958" s="3"/>
      <c r="J958" s="3"/>
      <c r="K958" s="3"/>
      <c r="L958" s="3"/>
      <c r="M95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59" spans="1:13" x14ac:dyDescent="0.35">
      <c r="A959" s="3" t="s">
        <v>752</v>
      </c>
      <c r="B959" s="3"/>
      <c r="C959">
        <v>45230.395138888889</v>
      </c>
      <c r="D959" t="s">
        <v>793</v>
      </c>
      <c r="E959">
        <v>89</v>
      </c>
      <c r="F959" t="s">
        <v>748</v>
      </c>
      <c r="G959" s="3"/>
      <c r="H959" s="3"/>
      <c r="I959" s="3"/>
      <c r="J959" s="3"/>
      <c r="K959" s="3"/>
      <c r="L959" s="3"/>
      <c r="M9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0" spans="1:13" x14ac:dyDescent="0.35">
      <c r="A960" s="3" t="s">
        <v>752</v>
      </c>
      <c r="B960" s="3"/>
      <c r="C960">
        <v>45223.693055555559</v>
      </c>
      <c r="D960" t="s">
        <v>1394</v>
      </c>
      <c r="E960">
        <v>18</v>
      </c>
      <c r="F960" t="s">
        <v>742</v>
      </c>
      <c r="G960" s="3"/>
      <c r="H960" s="3"/>
      <c r="I960" s="3"/>
      <c r="J960" s="3"/>
      <c r="K960" s="3"/>
      <c r="L960" s="3"/>
      <c r="M9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1" spans="1:13" x14ac:dyDescent="0.35">
      <c r="A961" s="3" t="s">
        <v>752</v>
      </c>
      <c r="B961" s="3"/>
      <c r="C961">
        <v>45216.435416666667</v>
      </c>
      <c r="D961" t="s">
        <v>1306</v>
      </c>
      <c r="E961">
        <v>88</v>
      </c>
      <c r="F961" t="s">
        <v>740</v>
      </c>
      <c r="G961" s="3"/>
      <c r="H961" s="3"/>
      <c r="I961" s="3"/>
      <c r="J961" s="3"/>
      <c r="K961" s="3"/>
      <c r="L961" s="3"/>
      <c r="M9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2" spans="1:13" x14ac:dyDescent="0.35">
      <c r="A962" s="3" t="s">
        <v>752</v>
      </c>
      <c r="B962" s="3"/>
      <c r="C962">
        <v>45228.880555555559</v>
      </c>
      <c r="D962" t="s">
        <v>960</v>
      </c>
      <c r="E962">
        <v>112</v>
      </c>
      <c r="F962" t="s">
        <v>748</v>
      </c>
      <c r="G962" s="3"/>
      <c r="H962" s="3"/>
      <c r="I962" s="3"/>
      <c r="J962" s="3"/>
      <c r="K962" s="3"/>
      <c r="L962" s="3"/>
      <c r="M9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3" spans="1:13" x14ac:dyDescent="0.35">
      <c r="A963" s="3" t="s">
        <v>738</v>
      </c>
      <c r="B963" s="3"/>
      <c r="C963">
        <v>45211.888888888891</v>
      </c>
      <c r="D963" t="s">
        <v>1273</v>
      </c>
      <c r="E963">
        <v>87</v>
      </c>
      <c r="F963" t="s">
        <v>742</v>
      </c>
      <c r="G963" s="3"/>
      <c r="H963" s="3"/>
      <c r="I963" s="3"/>
      <c r="J963" s="3"/>
      <c r="K963" s="3"/>
      <c r="L963" s="3"/>
      <c r="M96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4" spans="1:13" x14ac:dyDescent="0.35">
      <c r="A964" s="3" t="s">
        <v>738</v>
      </c>
      <c r="B964" s="3"/>
      <c r="C964">
        <v>45213.963194444441</v>
      </c>
      <c r="D964" t="s">
        <v>1410</v>
      </c>
      <c r="E964">
        <v>25</v>
      </c>
      <c r="F964" t="s">
        <v>742</v>
      </c>
      <c r="G964" s="3"/>
      <c r="H964" s="3"/>
      <c r="I964" s="3"/>
      <c r="J964" s="3"/>
      <c r="K964" s="3"/>
      <c r="L964" s="3"/>
      <c r="M9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5" spans="1:13" x14ac:dyDescent="0.35">
      <c r="A965" s="3" t="s">
        <v>738</v>
      </c>
      <c r="B965" s="3"/>
      <c r="C965">
        <v>45203.041666666657</v>
      </c>
      <c r="D965" t="s">
        <v>791</v>
      </c>
      <c r="E965">
        <v>69</v>
      </c>
      <c r="F965" t="s">
        <v>748</v>
      </c>
      <c r="G965" s="3"/>
      <c r="H965" s="3"/>
      <c r="I965" s="3"/>
      <c r="J965" s="3"/>
      <c r="K965" s="3"/>
      <c r="L965" s="3"/>
      <c r="M9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6" spans="1:13" x14ac:dyDescent="0.35">
      <c r="A966" s="3" t="s">
        <v>738</v>
      </c>
      <c r="B966" s="3"/>
      <c r="C966">
        <v>45227.195833333331</v>
      </c>
      <c r="D966" t="s">
        <v>1126</v>
      </c>
      <c r="E966">
        <v>113</v>
      </c>
      <c r="F966" t="s">
        <v>742</v>
      </c>
      <c r="G966" s="3"/>
      <c r="H966" s="3"/>
      <c r="I966" s="3"/>
      <c r="J966" s="3"/>
      <c r="K966" s="3"/>
      <c r="L966" s="3"/>
      <c r="M96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7" spans="1:13" x14ac:dyDescent="0.35">
      <c r="A967" s="3" t="s">
        <v>738</v>
      </c>
      <c r="B967" s="3"/>
      <c r="C967">
        <v>45220.222916666673</v>
      </c>
      <c r="D967" t="s">
        <v>1349</v>
      </c>
      <c r="E967">
        <v>65</v>
      </c>
      <c r="F967" t="s">
        <v>748</v>
      </c>
      <c r="G967" s="3"/>
      <c r="H967" s="3"/>
      <c r="I967" s="3"/>
      <c r="J967" s="3"/>
      <c r="K967" s="3"/>
      <c r="L967" s="3"/>
      <c r="M96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8" spans="1:13" x14ac:dyDescent="0.35">
      <c r="A968" s="3" t="s">
        <v>738</v>
      </c>
      <c r="B968" s="3"/>
      <c r="C968">
        <v>45211.61041666667</v>
      </c>
      <c r="D968" t="s">
        <v>1071</v>
      </c>
      <c r="E968">
        <v>114</v>
      </c>
      <c r="F968" t="s">
        <v>740</v>
      </c>
      <c r="G968" s="3"/>
      <c r="H968" s="3"/>
      <c r="I968" s="3"/>
      <c r="J968" s="3"/>
      <c r="K968" s="3"/>
      <c r="L968" s="3"/>
      <c r="M9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69" spans="1:13" x14ac:dyDescent="0.35">
      <c r="A969" s="3" t="s">
        <v>738</v>
      </c>
      <c r="B969" s="3"/>
      <c r="C969">
        <v>45208.961805555547</v>
      </c>
      <c r="D969" t="s">
        <v>906</v>
      </c>
      <c r="E969">
        <v>68</v>
      </c>
      <c r="F969" t="s">
        <v>740</v>
      </c>
      <c r="G969" s="3"/>
      <c r="H969" s="3"/>
      <c r="I969" s="3"/>
      <c r="J969" s="3"/>
      <c r="K969" s="3"/>
      <c r="L969" s="3"/>
      <c r="M9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0" spans="1:13" x14ac:dyDescent="0.35">
      <c r="A970" s="3" t="s">
        <v>738</v>
      </c>
      <c r="B970" s="3"/>
      <c r="C970">
        <v>45211.424305555563</v>
      </c>
      <c r="D970" t="s">
        <v>903</v>
      </c>
      <c r="E970">
        <v>116</v>
      </c>
      <c r="F970" t="s">
        <v>742</v>
      </c>
      <c r="G970" s="3"/>
      <c r="H970" s="3"/>
      <c r="I970" s="3"/>
      <c r="J970" s="3"/>
      <c r="K970" s="3"/>
      <c r="L970" s="3"/>
      <c r="M97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1" spans="1:13" x14ac:dyDescent="0.35">
      <c r="A971" s="3" t="s">
        <v>738</v>
      </c>
      <c r="B971" s="3"/>
      <c r="C971">
        <v>45203.517361111109</v>
      </c>
      <c r="D971" t="s">
        <v>739</v>
      </c>
      <c r="E971">
        <v>26</v>
      </c>
      <c r="F971" t="s">
        <v>740</v>
      </c>
      <c r="G971" s="3"/>
      <c r="H971" s="3"/>
      <c r="I971" s="3"/>
      <c r="J971" s="3"/>
      <c r="K971" s="3"/>
      <c r="L971" s="3"/>
      <c r="M97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2" spans="1:13" x14ac:dyDescent="0.35">
      <c r="A972" s="3" t="s">
        <v>738</v>
      </c>
      <c r="B972" s="3"/>
      <c r="C972">
        <v>45230.595138888893</v>
      </c>
      <c r="D972" t="s">
        <v>970</v>
      </c>
      <c r="E972">
        <v>14</v>
      </c>
      <c r="F972" t="s">
        <v>740</v>
      </c>
      <c r="G972" s="3"/>
      <c r="H972" s="3"/>
      <c r="I972" s="3"/>
      <c r="J972" s="3"/>
      <c r="K972" s="3"/>
      <c r="L972" s="3"/>
      <c r="M97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3" spans="1:13" x14ac:dyDescent="0.35">
      <c r="A973" s="3" t="s">
        <v>738</v>
      </c>
      <c r="B973" s="3"/>
      <c r="C973">
        <v>45226.530555555553</v>
      </c>
      <c r="D973" t="s">
        <v>788</v>
      </c>
      <c r="E973">
        <v>101</v>
      </c>
      <c r="F973" t="s">
        <v>748</v>
      </c>
      <c r="G973" s="3"/>
      <c r="H973" s="3"/>
      <c r="I973" s="3"/>
      <c r="J973" s="3"/>
      <c r="K973" s="3"/>
      <c r="L973" s="3"/>
      <c r="M9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4" spans="1:13" x14ac:dyDescent="0.35">
      <c r="A974" s="3" t="s">
        <v>738</v>
      </c>
      <c r="B974" s="3"/>
      <c r="C974">
        <v>45227.660416666673</v>
      </c>
      <c r="D974" t="s">
        <v>1221</v>
      </c>
      <c r="E974">
        <v>67</v>
      </c>
      <c r="F974" t="s">
        <v>748</v>
      </c>
      <c r="G974" s="3"/>
      <c r="H974" s="3"/>
      <c r="I974" s="3"/>
      <c r="J974" s="3"/>
      <c r="K974" s="3"/>
      <c r="L974" s="3"/>
      <c r="M9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5" spans="1:13" x14ac:dyDescent="0.35">
      <c r="A975" s="3" t="s">
        <v>738</v>
      </c>
      <c r="B975" s="3"/>
      <c r="C975">
        <v>45213.87222222222</v>
      </c>
      <c r="D975" t="s">
        <v>922</v>
      </c>
      <c r="E975">
        <v>46</v>
      </c>
      <c r="F975" t="s">
        <v>742</v>
      </c>
      <c r="G975" s="3"/>
      <c r="H975" s="3"/>
      <c r="I975" s="3"/>
      <c r="J975" s="3"/>
      <c r="K975" s="3"/>
      <c r="L975" s="3"/>
      <c r="M9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6" spans="1:13" x14ac:dyDescent="0.35">
      <c r="A976" s="3" t="s">
        <v>738</v>
      </c>
      <c r="B976" s="3"/>
      <c r="C976">
        <v>45225.213194444441</v>
      </c>
      <c r="D976" t="s">
        <v>1411</v>
      </c>
      <c r="E976">
        <v>35</v>
      </c>
      <c r="F976" t="s">
        <v>748</v>
      </c>
      <c r="G976" s="3"/>
      <c r="H976" s="3"/>
      <c r="I976" s="3"/>
      <c r="J976" s="3"/>
      <c r="K976" s="3"/>
      <c r="L976" s="3"/>
      <c r="M9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7" spans="1:13" x14ac:dyDescent="0.35">
      <c r="A977" s="3" t="s">
        <v>738</v>
      </c>
      <c r="B977" s="3"/>
      <c r="C977">
        <v>45204.948611111111</v>
      </c>
      <c r="D977" t="s">
        <v>1412</v>
      </c>
      <c r="E977">
        <v>47</v>
      </c>
      <c r="F977" t="s">
        <v>742</v>
      </c>
      <c r="G977" s="3"/>
      <c r="H977" s="3"/>
      <c r="I977" s="3"/>
      <c r="J977" s="3"/>
      <c r="K977" s="3"/>
      <c r="L977" s="3"/>
      <c r="M9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8" spans="1:13" x14ac:dyDescent="0.35">
      <c r="A978" s="3" t="s">
        <v>738</v>
      </c>
      <c r="B978" s="3"/>
      <c r="C978">
        <v>45201.212500000001</v>
      </c>
      <c r="D978" t="s">
        <v>929</v>
      </c>
      <c r="E978">
        <v>40</v>
      </c>
      <c r="F978" t="s">
        <v>742</v>
      </c>
      <c r="G978" s="3"/>
      <c r="H978" s="3"/>
      <c r="I978" s="3"/>
      <c r="J978" s="3"/>
      <c r="K978" s="3"/>
      <c r="L978" s="3"/>
      <c r="M9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79" spans="1:13" x14ac:dyDescent="0.35">
      <c r="A979" s="3" t="s">
        <v>738</v>
      </c>
      <c r="B979" s="3"/>
      <c r="C979">
        <v>45213.770833333343</v>
      </c>
      <c r="D979" t="s">
        <v>1413</v>
      </c>
      <c r="E979">
        <v>11</v>
      </c>
      <c r="F979" t="s">
        <v>748</v>
      </c>
      <c r="G979" s="3"/>
      <c r="H979" s="3"/>
      <c r="I979" s="3"/>
      <c r="J979" s="3"/>
      <c r="K979" s="3"/>
      <c r="L979" s="3"/>
      <c r="M9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0" spans="1:13" x14ac:dyDescent="0.35">
      <c r="A980" s="3" t="s">
        <v>738</v>
      </c>
      <c r="B980" s="3"/>
      <c r="C980">
        <v>45225.779861111107</v>
      </c>
      <c r="D980" t="s">
        <v>1414</v>
      </c>
      <c r="E980">
        <v>69</v>
      </c>
      <c r="F980" t="s">
        <v>742</v>
      </c>
      <c r="G980" s="3"/>
      <c r="H980" s="3"/>
      <c r="I980" s="3"/>
      <c r="J980" s="3"/>
      <c r="K980" s="3"/>
      <c r="L980" s="3"/>
      <c r="M9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1" spans="1:13" x14ac:dyDescent="0.35">
      <c r="A981" s="3" t="s">
        <v>738</v>
      </c>
      <c r="B981" s="3"/>
      <c r="C981">
        <v>45214.23541666667</v>
      </c>
      <c r="D981" t="s">
        <v>886</v>
      </c>
      <c r="E981">
        <v>33</v>
      </c>
      <c r="F981" t="s">
        <v>740</v>
      </c>
      <c r="G981" s="3"/>
      <c r="H981" s="3"/>
      <c r="I981" s="3"/>
      <c r="J981" s="3"/>
      <c r="K981" s="3"/>
      <c r="L981" s="3"/>
      <c r="M98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2" spans="1:13" x14ac:dyDescent="0.35">
      <c r="A982" s="3" t="s">
        <v>738</v>
      </c>
      <c r="B982" s="3"/>
      <c r="C982">
        <v>45212.48541666667</v>
      </c>
      <c r="D982" t="s">
        <v>1415</v>
      </c>
      <c r="E982">
        <v>75</v>
      </c>
      <c r="F982" t="s">
        <v>740</v>
      </c>
      <c r="G982" s="3"/>
      <c r="H982" s="3"/>
      <c r="I982" s="3"/>
      <c r="J982" s="3"/>
      <c r="K982" s="3"/>
      <c r="L982" s="3"/>
      <c r="M9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3" spans="1:13" x14ac:dyDescent="0.35">
      <c r="A983" s="3" t="s">
        <v>738</v>
      </c>
      <c r="B983" s="3"/>
      <c r="C983">
        <v>45200.913888888892</v>
      </c>
      <c r="D983" t="s">
        <v>816</v>
      </c>
      <c r="E983">
        <v>87</v>
      </c>
      <c r="F983" t="s">
        <v>740</v>
      </c>
      <c r="G983" s="3"/>
      <c r="H983" s="3"/>
      <c r="I983" s="3"/>
      <c r="J983" s="3"/>
      <c r="K983" s="3"/>
      <c r="L983" s="3"/>
      <c r="M98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4" spans="1:13" x14ac:dyDescent="0.35">
      <c r="A984" s="3" t="s">
        <v>738</v>
      </c>
      <c r="B984" s="3"/>
      <c r="C984">
        <v>45226.997916666667</v>
      </c>
      <c r="D984" t="s">
        <v>933</v>
      </c>
      <c r="E984">
        <v>53</v>
      </c>
      <c r="F984" t="s">
        <v>748</v>
      </c>
      <c r="G984" s="3"/>
      <c r="H984" s="3"/>
      <c r="I984" s="3"/>
      <c r="J984" s="3"/>
      <c r="K984" s="3"/>
      <c r="L984" s="3"/>
      <c r="M9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5" spans="1:13" x14ac:dyDescent="0.35">
      <c r="A985" s="3" t="s">
        <v>738</v>
      </c>
      <c r="B985" s="3"/>
      <c r="C985">
        <v>45204.665277777778</v>
      </c>
      <c r="D985" t="s">
        <v>1224</v>
      </c>
      <c r="E985">
        <v>56</v>
      </c>
      <c r="F985" t="s">
        <v>740</v>
      </c>
      <c r="G985" s="3"/>
      <c r="H985" s="3"/>
      <c r="I985" s="3"/>
      <c r="J985" s="3"/>
      <c r="K985" s="3"/>
      <c r="L985" s="3"/>
      <c r="M9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6" spans="1:13" x14ac:dyDescent="0.35">
      <c r="A986" s="3" t="s">
        <v>738</v>
      </c>
      <c r="B986" s="3"/>
      <c r="C986">
        <v>45215.163888888892</v>
      </c>
      <c r="D986" t="s">
        <v>1416</v>
      </c>
      <c r="E986">
        <v>109</v>
      </c>
      <c r="F986" t="s">
        <v>742</v>
      </c>
      <c r="G986" s="3"/>
      <c r="H986" s="3"/>
      <c r="I986" s="3"/>
      <c r="J986" s="3"/>
      <c r="K986" s="3"/>
      <c r="L986" s="3"/>
      <c r="M98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7" spans="1:13" x14ac:dyDescent="0.35">
      <c r="A987" s="3" t="s">
        <v>738</v>
      </c>
      <c r="B987" s="3"/>
      <c r="C987">
        <v>45213.584722222222</v>
      </c>
      <c r="D987" t="s">
        <v>1417</v>
      </c>
      <c r="E987">
        <v>35</v>
      </c>
      <c r="F987" t="s">
        <v>742</v>
      </c>
      <c r="G987" s="3"/>
      <c r="H987" s="3"/>
      <c r="I987" s="3"/>
      <c r="J987" s="3"/>
      <c r="K987" s="3"/>
      <c r="L987" s="3"/>
      <c r="M98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8" spans="1:13" x14ac:dyDescent="0.35">
      <c r="A988" s="3" t="s">
        <v>738</v>
      </c>
      <c r="B988" s="3"/>
      <c r="C988">
        <v>45202.361805555563</v>
      </c>
      <c r="D988" t="s">
        <v>1418</v>
      </c>
      <c r="E988">
        <v>15</v>
      </c>
      <c r="F988" t="s">
        <v>742</v>
      </c>
      <c r="G988" s="3"/>
      <c r="H988" s="3"/>
      <c r="I988" s="3"/>
      <c r="J988" s="3"/>
      <c r="K988" s="3"/>
      <c r="L988" s="3"/>
      <c r="M98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89" spans="1:13" x14ac:dyDescent="0.35">
      <c r="A989" s="3" t="s">
        <v>738</v>
      </c>
      <c r="B989" s="3"/>
      <c r="C989">
        <v>45210.03125</v>
      </c>
      <c r="D989" t="s">
        <v>1225</v>
      </c>
      <c r="E989">
        <v>63</v>
      </c>
      <c r="F989" t="s">
        <v>748</v>
      </c>
      <c r="G989" s="3"/>
      <c r="H989" s="3"/>
      <c r="I989" s="3"/>
      <c r="J989" s="3"/>
      <c r="K989" s="3"/>
      <c r="L989" s="3"/>
      <c r="M98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0" spans="1:13" x14ac:dyDescent="0.35">
      <c r="A990" s="3" t="s">
        <v>738</v>
      </c>
      <c r="B990" s="3"/>
      <c r="C990">
        <v>45227.897916666669</v>
      </c>
      <c r="D990" t="s">
        <v>970</v>
      </c>
      <c r="E990">
        <v>61</v>
      </c>
      <c r="F990" t="s">
        <v>740</v>
      </c>
      <c r="G990" s="3"/>
      <c r="H990" s="3"/>
      <c r="I990" s="3"/>
      <c r="J990" s="3"/>
      <c r="K990" s="3"/>
      <c r="L990" s="3"/>
      <c r="M99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1" spans="1:13" x14ac:dyDescent="0.35">
      <c r="A991" s="3" t="s">
        <v>738</v>
      </c>
      <c r="B991" s="3"/>
      <c r="C991">
        <v>45224.98333333333</v>
      </c>
      <c r="D991" t="s">
        <v>766</v>
      </c>
      <c r="E991">
        <v>107</v>
      </c>
      <c r="F991" t="s">
        <v>748</v>
      </c>
      <c r="G991" s="3"/>
      <c r="H991" s="3"/>
      <c r="I991" s="3"/>
      <c r="J991" s="3"/>
      <c r="K991" s="3"/>
      <c r="L991" s="3"/>
      <c r="M99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2" spans="1:13" x14ac:dyDescent="0.35">
      <c r="A992" s="3" t="s">
        <v>738</v>
      </c>
      <c r="B992" s="3"/>
      <c r="C992">
        <v>45223.759722222218</v>
      </c>
      <c r="D992" t="s">
        <v>966</v>
      </c>
      <c r="E992">
        <v>78</v>
      </c>
      <c r="F992" t="s">
        <v>742</v>
      </c>
      <c r="G992" s="3"/>
      <c r="H992" s="3"/>
      <c r="I992" s="3"/>
      <c r="J992" s="3"/>
      <c r="K992" s="3"/>
      <c r="L992" s="3"/>
      <c r="M99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3" spans="1:13" x14ac:dyDescent="0.35">
      <c r="A993" s="3" t="s">
        <v>738</v>
      </c>
      <c r="B993" s="3"/>
      <c r="C993">
        <v>45230.913194444453</v>
      </c>
      <c r="D993" t="s">
        <v>819</v>
      </c>
      <c r="E993">
        <v>62</v>
      </c>
      <c r="F993" t="s">
        <v>740</v>
      </c>
      <c r="G993" s="3"/>
      <c r="H993" s="3"/>
      <c r="I993" s="3"/>
      <c r="J993" s="3"/>
      <c r="K993" s="3"/>
      <c r="L993" s="3"/>
      <c r="M99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4" spans="1:13" x14ac:dyDescent="0.35">
      <c r="A994" s="3" t="s">
        <v>738</v>
      </c>
      <c r="B994" s="3"/>
      <c r="C994">
        <v>45210.689583333333</v>
      </c>
      <c r="D994" t="s">
        <v>974</v>
      </c>
      <c r="E994">
        <v>16</v>
      </c>
      <c r="F994" t="s">
        <v>740</v>
      </c>
      <c r="G994" s="3"/>
      <c r="H994" s="3"/>
      <c r="I994" s="3"/>
      <c r="J994" s="3"/>
      <c r="K994" s="3"/>
      <c r="L994" s="3"/>
      <c r="M99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5" spans="1:13" x14ac:dyDescent="0.35">
      <c r="A995" s="3" t="s">
        <v>738</v>
      </c>
      <c r="B995" s="3"/>
      <c r="C995">
        <v>45222.943749999999</v>
      </c>
      <c r="D995" t="s">
        <v>872</v>
      </c>
      <c r="E995">
        <v>114</v>
      </c>
      <c r="F995" t="s">
        <v>740</v>
      </c>
      <c r="G995" s="3"/>
      <c r="H995" s="3"/>
      <c r="I995" s="3"/>
      <c r="J995" s="3"/>
      <c r="K995" s="3"/>
      <c r="L995" s="3"/>
      <c r="M99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6" spans="1:13" x14ac:dyDescent="0.35">
      <c r="A996" s="3" t="s">
        <v>738</v>
      </c>
      <c r="B996" s="3"/>
      <c r="C996">
        <v>45203.570833333331</v>
      </c>
      <c r="D996" t="s">
        <v>1419</v>
      </c>
      <c r="E996">
        <v>68</v>
      </c>
      <c r="F996" t="s">
        <v>748</v>
      </c>
      <c r="G996" s="3"/>
      <c r="H996" s="3"/>
      <c r="I996" s="3"/>
      <c r="J996" s="3"/>
      <c r="K996" s="3"/>
      <c r="L996" s="3"/>
      <c r="M99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7" spans="1:13" x14ac:dyDescent="0.35">
      <c r="A997" s="3" t="s">
        <v>738</v>
      </c>
      <c r="B997" s="3"/>
      <c r="C997">
        <v>45223.3125</v>
      </c>
      <c r="D997" t="s">
        <v>1420</v>
      </c>
      <c r="E997">
        <v>62</v>
      </c>
      <c r="F997" t="s">
        <v>740</v>
      </c>
      <c r="G997" s="3"/>
      <c r="H997" s="3"/>
      <c r="I997" s="3"/>
      <c r="J997" s="3"/>
      <c r="K997" s="3"/>
      <c r="L997" s="3"/>
      <c r="M99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8" spans="1:13" x14ac:dyDescent="0.35">
      <c r="A998" s="3" t="s">
        <v>738</v>
      </c>
      <c r="B998" s="3"/>
      <c r="C998">
        <v>45211.904861111107</v>
      </c>
      <c r="D998" t="s">
        <v>957</v>
      </c>
      <c r="E998">
        <v>45</v>
      </c>
      <c r="F998" t="s">
        <v>748</v>
      </c>
      <c r="G998" s="3"/>
      <c r="H998" s="3"/>
      <c r="I998" s="3"/>
      <c r="J998" s="3"/>
      <c r="K998" s="3"/>
      <c r="L998" s="3"/>
      <c r="M99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999" spans="1:13" x14ac:dyDescent="0.35">
      <c r="A999" s="3" t="s">
        <v>738</v>
      </c>
      <c r="B999" s="3"/>
      <c r="C999">
        <v>45220.506249999999</v>
      </c>
      <c r="D999" t="s">
        <v>1294</v>
      </c>
      <c r="E999">
        <v>20</v>
      </c>
      <c r="F999" t="s">
        <v>740</v>
      </c>
      <c r="G999" s="3"/>
      <c r="H999" s="3"/>
      <c r="I999" s="3"/>
      <c r="J999" s="3"/>
      <c r="K999" s="3"/>
      <c r="L999" s="3"/>
      <c r="M99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0" spans="1:13" x14ac:dyDescent="0.35">
      <c r="A1000" s="3" t="s">
        <v>738</v>
      </c>
      <c r="B1000" s="3"/>
      <c r="C1000">
        <v>45226.747916666667</v>
      </c>
      <c r="D1000" t="s">
        <v>1421</v>
      </c>
      <c r="E1000">
        <v>68</v>
      </c>
      <c r="F1000" t="s">
        <v>742</v>
      </c>
      <c r="G1000" s="3"/>
      <c r="H1000" s="3"/>
      <c r="I1000" s="3"/>
      <c r="J1000" s="3"/>
      <c r="K1000" s="3"/>
      <c r="L1000" s="3"/>
      <c r="M100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1" spans="1:13" x14ac:dyDescent="0.35">
      <c r="A1001" s="3" t="s">
        <v>738</v>
      </c>
      <c r="B1001" s="3"/>
      <c r="C1001">
        <v>45219.041666666657</v>
      </c>
      <c r="D1001" t="s">
        <v>1119</v>
      </c>
      <c r="E1001">
        <v>100</v>
      </c>
      <c r="F1001" t="s">
        <v>748</v>
      </c>
      <c r="G1001" s="3"/>
      <c r="H1001" s="3"/>
      <c r="I1001" s="3"/>
      <c r="J1001" s="3"/>
      <c r="K1001" s="3"/>
      <c r="L1001" s="3"/>
      <c r="M100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2" spans="1:13" x14ac:dyDescent="0.35">
      <c r="A1002" s="3" t="s">
        <v>738</v>
      </c>
      <c r="B1002" s="3"/>
      <c r="C1002">
        <v>45225.779861111107</v>
      </c>
      <c r="D1002" t="s">
        <v>1414</v>
      </c>
      <c r="E1002">
        <v>69</v>
      </c>
      <c r="F1002" t="s">
        <v>742</v>
      </c>
      <c r="G1002" s="3"/>
      <c r="H1002" s="3"/>
      <c r="I1002" s="3"/>
      <c r="J1002" s="3"/>
      <c r="K1002" s="3"/>
      <c r="L1002" s="3"/>
      <c r="M100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3" spans="1:13" x14ac:dyDescent="0.35">
      <c r="A1003" s="3" t="s">
        <v>746</v>
      </c>
      <c r="B1003" s="3"/>
      <c r="C1003">
        <v>45203.603472222218</v>
      </c>
      <c r="D1003" t="s">
        <v>1422</v>
      </c>
      <c r="E1003">
        <v>106</v>
      </c>
      <c r="F1003" t="s">
        <v>742</v>
      </c>
      <c r="G1003" s="3"/>
      <c r="H1003" s="3"/>
      <c r="I1003" s="3"/>
      <c r="J1003" s="3"/>
      <c r="K1003" s="3"/>
      <c r="L1003" s="3"/>
      <c r="M100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4" spans="1:13" x14ac:dyDescent="0.35">
      <c r="A1004" s="3" t="s">
        <v>746</v>
      </c>
      <c r="B1004" s="3"/>
      <c r="C1004">
        <v>45221.772222222222</v>
      </c>
      <c r="D1004" t="s">
        <v>890</v>
      </c>
      <c r="E1004">
        <v>107</v>
      </c>
      <c r="F1004" t="s">
        <v>740</v>
      </c>
      <c r="G1004" s="3"/>
      <c r="H1004" s="3"/>
      <c r="I1004" s="3"/>
      <c r="J1004" s="3"/>
      <c r="K1004" s="3"/>
      <c r="L1004" s="3"/>
      <c r="M100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5" spans="1:13" x14ac:dyDescent="0.35">
      <c r="A1005" s="3" t="s">
        <v>746</v>
      </c>
      <c r="B1005" s="3"/>
      <c r="C1005">
        <v>45204.625</v>
      </c>
      <c r="D1005" t="s">
        <v>796</v>
      </c>
      <c r="E1005">
        <v>94</v>
      </c>
      <c r="F1005" t="s">
        <v>748</v>
      </c>
      <c r="G1005" s="3"/>
      <c r="H1005" s="3"/>
      <c r="I1005" s="3"/>
      <c r="J1005" s="3"/>
      <c r="K1005" s="3"/>
      <c r="L1005" s="3"/>
      <c r="M100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6" spans="1:13" x14ac:dyDescent="0.35">
      <c r="A1006" s="3" t="s">
        <v>746</v>
      </c>
      <c r="B1006" s="3"/>
      <c r="C1006">
        <v>45216.960416666669</v>
      </c>
      <c r="D1006" t="s">
        <v>1423</v>
      </c>
      <c r="E1006">
        <v>41</v>
      </c>
      <c r="F1006" t="s">
        <v>742</v>
      </c>
      <c r="G1006" s="3"/>
      <c r="H1006" s="3"/>
      <c r="I1006" s="3"/>
      <c r="J1006" s="3"/>
      <c r="K1006" s="3"/>
      <c r="L1006" s="3"/>
      <c r="M100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7" spans="1:13" x14ac:dyDescent="0.35">
      <c r="A1007" s="3" t="s">
        <v>746</v>
      </c>
      <c r="B1007" s="3"/>
      <c r="C1007">
        <v>45217.578472222223</v>
      </c>
      <c r="D1007" t="s">
        <v>760</v>
      </c>
      <c r="E1007">
        <v>93</v>
      </c>
      <c r="F1007" t="s">
        <v>742</v>
      </c>
      <c r="G1007" s="3"/>
      <c r="H1007" s="3"/>
      <c r="I1007" s="3"/>
      <c r="J1007" s="3"/>
      <c r="K1007" s="3"/>
      <c r="L1007" s="3"/>
      <c r="M100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8" spans="1:13" x14ac:dyDescent="0.35">
      <c r="A1008" s="3" t="s">
        <v>746</v>
      </c>
      <c r="B1008" s="3"/>
      <c r="C1008">
        <v>45218.665972222218</v>
      </c>
      <c r="D1008" t="s">
        <v>1424</v>
      </c>
      <c r="E1008">
        <v>90</v>
      </c>
      <c r="F1008" t="s">
        <v>748</v>
      </c>
      <c r="G1008" s="3"/>
      <c r="H1008" s="3"/>
      <c r="I1008" s="3"/>
      <c r="J1008" s="3"/>
      <c r="K1008" s="3"/>
      <c r="L1008" s="3"/>
      <c r="M100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09" spans="1:13" x14ac:dyDescent="0.35">
      <c r="A1009" s="3" t="s">
        <v>746</v>
      </c>
      <c r="B1009" s="3"/>
      <c r="C1009" t="s">
        <v>1425</v>
      </c>
      <c r="D1009" t="s">
        <v>1426</v>
      </c>
      <c r="E1009">
        <v>11</v>
      </c>
      <c r="F1009" t="s">
        <v>740</v>
      </c>
      <c r="G1009" s="3"/>
      <c r="H1009" s="3"/>
      <c r="I1009" s="3"/>
      <c r="J1009" s="3"/>
      <c r="K1009" s="3"/>
      <c r="L1009" s="3"/>
      <c r="M100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0" spans="1:13" x14ac:dyDescent="0.35">
      <c r="A1010" s="3" t="s">
        <v>746</v>
      </c>
      <c r="B1010" s="3"/>
      <c r="C1010">
        <v>45218.240277777782</v>
      </c>
      <c r="D1010" t="s">
        <v>1103</v>
      </c>
      <c r="E1010">
        <v>53</v>
      </c>
      <c r="F1010" t="s">
        <v>748</v>
      </c>
      <c r="G1010" s="3"/>
      <c r="H1010" s="3"/>
      <c r="I1010" s="3"/>
      <c r="J1010" s="3"/>
      <c r="K1010" s="3"/>
      <c r="L1010" s="3"/>
      <c r="M101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1" spans="1:13" x14ac:dyDescent="0.35">
      <c r="A1011" s="3" t="s">
        <v>746</v>
      </c>
      <c r="B1011" s="3"/>
      <c r="C1011">
        <v>45226.17083333333</v>
      </c>
      <c r="D1011" t="s">
        <v>1053</v>
      </c>
      <c r="E1011">
        <v>54</v>
      </c>
      <c r="F1011" t="s">
        <v>740</v>
      </c>
      <c r="G1011" s="3"/>
      <c r="H1011" s="3"/>
      <c r="I1011" s="3"/>
      <c r="J1011" s="3"/>
      <c r="K1011" s="3"/>
      <c r="L1011" s="3"/>
      <c r="M101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2" spans="1:13" x14ac:dyDescent="0.35">
      <c r="A1012" s="3" t="s">
        <v>746</v>
      </c>
      <c r="B1012" s="3"/>
      <c r="C1012">
        <v>45212.901388888888</v>
      </c>
      <c r="D1012" t="s">
        <v>799</v>
      </c>
      <c r="E1012">
        <v>58</v>
      </c>
      <c r="F1012" t="s">
        <v>740</v>
      </c>
      <c r="G1012" s="3"/>
      <c r="H1012" s="3"/>
      <c r="I1012" s="3"/>
      <c r="J1012" s="3"/>
      <c r="K1012" s="3"/>
      <c r="L1012" s="3"/>
      <c r="M101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3" spans="1:13" x14ac:dyDescent="0.35">
      <c r="A1013" s="3" t="s">
        <v>746</v>
      </c>
      <c r="B1013" s="3"/>
      <c r="C1013">
        <v>45219.438888888893</v>
      </c>
      <c r="D1013" t="s">
        <v>808</v>
      </c>
      <c r="E1013">
        <v>105</v>
      </c>
      <c r="F1013" t="s">
        <v>742</v>
      </c>
      <c r="G1013" s="3"/>
      <c r="H1013" s="3"/>
      <c r="I1013" s="3"/>
      <c r="J1013" s="3"/>
      <c r="K1013" s="3"/>
      <c r="L1013" s="3"/>
      <c r="M101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4" spans="1:13" x14ac:dyDescent="0.35">
      <c r="A1014" s="3" t="s">
        <v>746</v>
      </c>
      <c r="B1014" s="3"/>
      <c r="C1014">
        <v>45228.518055555563</v>
      </c>
      <c r="D1014" t="s">
        <v>1389</v>
      </c>
      <c r="E1014">
        <v>92</v>
      </c>
      <c r="F1014" t="s">
        <v>748</v>
      </c>
      <c r="G1014" s="3"/>
      <c r="H1014" s="3"/>
      <c r="I1014" s="3"/>
      <c r="J1014" s="3"/>
      <c r="K1014" s="3"/>
      <c r="L1014" s="3"/>
      <c r="M101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5" spans="1:13" x14ac:dyDescent="0.35">
      <c r="A1015" s="3" t="s">
        <v>746</v>
      </c>
      <c r="B1015" s="3"/>
      <c r="C1015">
        <v>45219.95</v>
      </c>
      <c r="D1015" t="s">
        <v>1056</v>
      </c>
      <c r="E1015">
        <v>45</v>
      </c>
      <c r="F1015" t="s">
        <v>748</v>
      </c>
      <c r="G1015" s="3"/>
      <c r="H1015" s="3"/>
      <c r="I1015" s="3"/>
      <c r="J1015" s="3"/>
      <c r="K1015" s="3"/>
      <c r="L1015" s="3"/>
      <c r="M101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6" spans="1:13" x14ac:dyDescent="0.35">
      <c r="A1016" s="3" t="s">
        <v>746</v>
      </c>
      <c r="B1016" s="3"/>
      <c r="C1016">
        <v>45207.350694444453</v>
      </c>
      <c r="D1016" t="s">
        <v>1427</v>
      </c>
      <c r="E1016">
        <v>75</v>
      </c>
      <c r="F1016" t="s">
        <v>748</v>
      </c>
      <c r="G1016" s="3"/>
      <c r="H1016" s="3"/>
      <c r="I1016" s="3"/>
      <c r="J1016" s="3"/>
      <c r="K1016" s="3"/>
      <c r="L1016" s="3"/>
      <c r="M101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7" spans="1:13" x14ac:dyDescent="0.35">
      <c r="A1017" s="3" t="s">
        <v>746</v>
      </c>
      <c r="B1017" s="3"/>
      <c r="C1017">
        <v>45230.429166666669</v>
      </c>
      <c r="D1017" t="s">
        <v>747</v>
      </c>
      <c r="E1017">
        <v>11</v>
      </c>
      <c r="F1017" t="s">
        <v>748</v>
      </c>
      <c r="G1017" s="3"/>
      <c r="H1017" s="3"/>
      <c r="I1017" s="3"/>
      <c r="J1017" s="3"/>
      <c r="K1017" s="3"/>
      <c r="L1017" s="3"/>
      <c r="M101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8" spans="1:13" x14ac:dyDescent="0.35">
      <c r="A1018" s="3" t="s">
        <v>746</v>
      </c>
      <c r="B1018" s="3"/>
      <c r="C1018">
        <v>45214.172222222223</v>
      </c>
      <c r="D1018" t="s">
        <v>844</v>
      </c>
      <c r="E1018">
        <v>6</v>
      </c>
      <c r="F1018" t="s">
        <v>740</v>
      </c>
      <c r="G1018" s="3"/>
      <c r="H1018" s="3"/>
      <c r="I1018" s="3"/>
      <c r="J1018" s="3"/>
      <c r="K1018" s="3"/>
      <c r="L1018" s="3"/>
      <c r="M101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19" spans="1:13" x14ac:dyDescent="0.35">
      <c r="A1019" s="3" t="s">
        <v>746</v>
      </c>
      <c r="B1019" s="3"/>
      <c r="C1019">
        <v>45213.822222222218</v>
      </c>
      <c r="D1019" t="s">
        <v>1428</v>
      </c>
      <c r="E1019">
        <v>100</v>
      </c>
      <c r="F1019" t="s">
        <v>742</v>
      </c>
      <c r="G1019" s="3"/>
      <c r="H1019" s="3"/>
      <c r="I1019" s="3"/>
      <c r="J1019" s="3"/>
      <c r="K1019" s="3"/>
      <c r="L1019" s="3"/>
      <c r="M101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0" spans="1:13" x14ac:dyDescent="0.35">
      <c r="A1020" s="3" t="s">
        <v>746</v>
      </c>
      <c r="B1020" s="3"/>
      <c r="C1020">
        <v>45228.980555555558</v>
      </c>
      <c r="D1020" t="s">
        <v>1142</v>
      </c>
      <c r="E1020">
        <v>37</v>
      </c>
      <c r="F1020" t="s">
        <v>742</v>
      </c>
      <c r="G1020" s="3"/>
      <c r="H1020" s="3"/>
      <c r="I1020" s="3"/>
      <c r="J1020" s="3"/>
      <c r="K1020" s="3"/>
      <c r="L1020" s="3"/>
      <c r="M102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1" spans="1:13" x14ac:dyDescent="0.35">
      <c r="A1021" s="3" t="s">
        <v>746</v>
      </c>
      <c r="B1021" s="3"/>
      <c r="C1021">
        <v>45209.940972222219</v>
      </c>
      <c r="D1021" t="s">
        <v>1284</v>
      </c>
      <c r="E1021">
        <v>30</v>
      </c>
      <c r="F1021" t="s">
        <v>748</v>
      </c>
      <c r="G1021" s="3"/>
      <c r="H1021" s="3"/>
      <c r="I1021" s="3"/>
      <c r="J1021" s="3"/>
      <c r="K1021" s="3"/>
      <c r="L1021" s="3"/>
      <c r="M102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2" spans="1:13" x14ac:dyDescent="0.35">
      <c r="A1022" s="3" t="s">
        <v>746</v>
      </c>
      <c r="B1022" s="3"/>
      <c r="C1022">
        <v>45227.447916666657</v>
      </c>
      <c r="D1022" t="s">
        <v>805</v>
      </c>
      <c r="E1022">
        <v>84</v>
      </c>
      <c r="F1022" t="s">
        <v>742</v>
      </c>
      <c r="G1022" s="3"/>
      <c r="H1022" s="3"/>
      <c r="I1022" s="3"/>
      <c r="J1022" s="3"/>
      <c r="K1022" s="3"/>
      <c r="L1022" s="3"/>
      <c r="M102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3" spans="1:13" x14ac:dyDescent="0.35">
      <c r="A1023" s="3" t="s">
        <v>746</v>
      </c>
      <c r="B1023" s="3"/>
      <c r="C1023">
        <v>45223.736111111109</v>
      </c>
      <c r="D1023" t="s">
        <v>1150</v>
      </c>
      <c r="E1023">
        <v>116</v>
      </c>
      <c r="F1023" t="s">
        <v>742</v>
      </c>
      <c r="G1023" s="3"/>
      <c r="H1023" s="3"/>
      <c r="I1023" s="3"/>
      <c r="J1023" s="3"/>
      <c r="K1023" s="3"/>
      <c r="L1023" s="3"/>
      <c r="M102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4" spans="1:13" x14ac:dyDescent="0.35">
      <c r="A1024" s="3" t="s">
        <v>746</v>
      </c>
      <c r="B1024" s="3"/>
      <c r="C1024">
        <v>45206.259027777778</v>
      </c>
      <c r="D1024" t="s">
        <v>1429</v>
      </c>
      <c r="E1024">
        <v>104</v>
      </c>
      <c r="F1024" t="s">
        <v>740</v>
      </c>
      <c r="G1024" s="3"/>
      <c r="H1024" s="3"/>
      <c r="I1024" s="3"/>
      <c r="J1024" s="3"/>
      <c r="K1024" s="3"/>
      <c r="L1024" s="3"/>
      <c r="M102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5" spans="1:13" x14ac:dyDescent="0.35">
      <c r="A1025" s="3" t="s">
        <v>746</v>
      </c>
      <c r="B1025" s="3"/>
      <c r="C1025">
        <v>45219.929166666669</v>
      </c>
      <c r="D1025" t="s">
        <v>1430</v>
      </c>
      <c r="E1025">
        <v>115</v>
      </c>
      <c r="F1025" t="s">
        <v>740</v>
      </c>
      <c r="G1025" s="3"/>
      <c r="H1025" s="3"/>
      <c r="I1025" s="3"/>
      <c r="J1025" s="3"/>
      <c r="K1025" s="3"/>
      <c r="L1025" s="3"/>
      <c r="M102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6" spans="1:13" x14ac:dyDescent="0.35">
      <c r="A1026" s="3" t="s">
        <v>746</v>
      </c>
      <c r="B1026" s="3"/>
      <c r="C1026">
        <v>45221.498611111107</v>
      </c>
      <c r="D1026" t="s">
        <v>1431</v>
      </c>
      <c r="E1026">
        <v>116</v>
      </c>
      <c r="F1026" t="s">
        <v>742</v>
      </c>
      <c r="G1026" s="3"/>
      <c r="H1026" s="3"/>
      <c r="I1026" s="3"/>
      <c r="J1026" s="3"/>
      <c r="K1026" s="3"/>
      <c r="L1026" s="3"/>
      <c r="M102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7" spans="1:13" x14ac:dyDescent="0.35">
      <c r="A1027" s="3" t="s">
        <v>746</v>
      </c>
      <c r="B1027" s="3"/>
      <c r="C1027">
        <v>45221.197916666657</v>
      </c>
      <c r="D1027" t="s">
        <v>919</v>
      </c>
      <c r="E1027">
        <v>61</v>
      </c>
      <c r="F1027" t="s">
        <v>748</v>
      </c>
      <c r="G1027" s="3"/>
      <c r="H1027" s="3"/>
      <c r="I1027" s="3"/>
      <c r="J1027" s="3"/>
      <c r="K1027" s="3"/>
      <c r="L1027" s="3"/>
      <c r="M102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8" spans="1:13" x14ac:dyDescent="0.35">
      <c r="A1028" s="3" t="s">
        <v>746</v>
      </c>
      <c r="B1028" s="3"/>
      <c r="C1028">
        <v>45220.230555555558</v>
      </c>
      <c r="D1028" t="s">
        <v>1057</v>
      </c>
      <c r="E1028">
        <v>111</v>
      </c>
      <c r="F1028" t="s">
        <v>748</v>
      </c>
      <c r="G1028" s="3"/>
      <c r="H1028" s="3"/>
      <c r="I1028" s="3"/>
      <c r="J1028" s="3"/>
      <c r="K1028" s="3"/>
      <c r="L1028" s="3"/>
      <c r="M102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29" spans="1:13" x14ac:dyDescent="0.35">
      <c r="A1029" s="3" t="s">
        <v>746</v>
      </c>
      <c r="B1029" s="3"/>
      <c r="C1029">
        <v>45217.944444444453</v>
      </c>
      <c r="D1029" t="s">
        <v>1432</v>
      </c>
      <c r="E1029">
        <v>33</v>
      </c>
      <c r="F1029" t="s">
        <v>740</v>
      </c>
      <c r="G1029" s="3"/>
      <c r="H1029" s="3"/>
      <c r="I1029" s="3"/>
      <c r="J1029" s="3"/>
      <c r="K1029" s="3"/>
      <c r="L1029" s="3"/>
      <c r="M102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0" spans="1:13" x14ac:dyDescent="0.35">
      <c r="A1030" s="3" t="s">
        <v>746</v>
      </c>
      <c r="B1030" s="3"/>
      <c r="C1030">
        <v>45210.921527777777</v>
      </c>
      <c r="D1030" t="s">
        <v>1307</v>
      </c>
      <c r="E1030">
        <v>86</v>
      </c>
      <c r="F1030" t="s">
        <v>742</v>
      </c>
      <c r="G1030" s="3"/>
      <c r="H1030" s="3"/>
      <c r="I1030" s="3"/>
      <c r="J1030" s="3"/>
      <c r="K1030" s="3"/>
      <c r="L1030" s="3"/>
      <c r="M103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1" spans="1:13" x14ac:dyDescent="0.35">
      <c r="A1031" s="3" t="s">
        <v>746</v>
      </c>
      <c r="B1031" s="3"/>
      <c r="C1031">
        <v>45224.482638888891</v>
      </c>
      <c r="D1031" t="s">
        <v>926</v>
      </c>
      <c r="E1031">
        <v>95</v>
      </c>
      <c r="F1031" t="s">
        <v>742</v>
      </c>
      <c r="G1031" s="3"/>
      <c r="H1031" s="3"/>
      <c r="I1031" s="3"/>
      <c r="J1031" s="3"/>
      <c r="K1031" s="3"/>
      <c r="L1031" s="3"/>
      <c r="M103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2" spans="1:13" x14ac:dyDescent="0.35">
      <c r="A1032" s="3" t="s">
        <v>746</v>
      </c>
      <c r="B1032" s="3"/>
      <c r="C1032">
        <v>45215.775000000001</v>
      </c>
      <c r="D1032" t="s">
        <v>1239</v>
      </c>
      <c r="E1032">
        <v>95</v>
      </c>
      <c r="F1032" t="s">
        <v>742</v>
      </c>
      <c r="G1032" s="3"/>
      <c r="H1032" s="3"/>
      <c r="I1032" s="3"/>
      <c r="J1032" s="3"/>
      <c r="K1032" s="3"/>
      <c r="L1032" s="3"/>
      <c r="M103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3" spans="1:13" x14ac:dyDescent="0.35">
      <c r="A1033" s="3" t="s">
        <v>746</v>
      </c>
      <c r="B1033" s="3"/>
      <c r="C1033">
        <v>45230.90625</v>
      </c>
      <c r="D1033" t="s">
        <v>1391</v>
      </c>
      <c r="E1033">
        <v>87</v>
      </c>
      <c r="F1033" t="s">
        <v>740</v>
      </c>
      <c r="G1033" s="3"/>
      <c r="H1033" s="3"/>
      <c r="I1033" s="3"/>
      <c r="J1033" s="3"/>
      <c r="K1033" s="3"/>
      <c r="L1033" s="3"/>
      <c r="M103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4" spans="1:13" x14ac:dyDescent="0.35">
      <c r="A1034" s="3" t="s">
        <v>746</v>
      </c>
      <c r="B1034" s="3"/>
      <c r="C1034">
        <v>45213.907638888893</v>
      </c>
      <c r="D1034" t="s">
        <v>936</v>
      </c>
      <c r="E1034">
        <v>52</v>
      </c>
      <c r="F1034" t="s">
        <v>740</v>
      </c>
      <c r="G1034" s="3"/>
      <c r="H1034" s="3"/>
      <c r="I1034" s="3"/>
      <c r="J1034" s="3"/>
      <c r="K1034" s="3"/>
      <c r="L1034" s="3"/>
      <c r="M103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5" spans="1:13" x14ac:dyDescent="0.35">
      <c r="A1035" s="3" t="s">
        <v>746</v>
      </c>
      <c r="B1035" s="3"/>
      <c r="C1035">
        <v>45228.720833333333</v>
      </c>
      <c r="D1035" t="s">
        <v>1433</v>
      </c>
      <c r="E1035">
        <v>101</v>
      </c>
      <c r="F1035" t="s">
        <v>742</v>
      </c>
      <c r="G1035" s="3"/>
      <c r="H1035" s="3"/>
      <c r="I1035" s="3"/>
      <c r="J1035" s="3"/>
      <c r="K1035" s="3"/>
      <c r="L1035" s="3"/>
      <c r="M103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6" spans="1:13" x14ac:dyDescent="0.35">
      <c r="A1036" s="3" t="s">
        <v>746</v>
      </c>
      <c r="B1036" s="3"/>
      <c r="C1036">
        <v>45228.57708333333</v>
      </c>
      <c r="D1036" t="s">
        <v>880</v>
      </c>
      <c r="E1036">
        <v>80</v>
      </c>
      <c r="F1036" t="s">
        <v>748</v>
      </c>
      <c r="G1036" s="3"/>
      <c r="H1036" s="3"/>
      <c r="I1036" s="3"/>
      <c r="J1036" s="3"/>
      <c r="K1036" s="3"/>
      <c r="L1036" s="3"/>
      <c r="M103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7" spans="1:13" x14ac:dyDescent="0.35">
      <c r="A1037" s="3" t="s">
        <v>746</v>
      </c>
      <c r="B1037" s="3"/>
      <c r="C1037">
        <v>45200.67083333333</v>
      </c>
      <c r="D1037" t="s">
        <v>961</v>
      </c>
      <c r="E1037">
        <v>74</v>
      </c>
      <c r="F1037" t="s">
        <v>748</v>
      </c>
      <c r="G1037" s="3"/>
      <c r="H1037" s="3"/>
      <c r="I1037" s="3"/>
      <c r="J1037" s="3"/>
      <c r="K1037" s="3"/>
      <c r="L1037" s="3"/>
      <c r="M103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8" spans="1:13" x14ac:dyDescent="0.35">
      <c r="A1038" s="3" t="s">
        <v>746</v>
      </c>
      <c r="B1038" s="3"/>
      <c r="C1038">
        <v>45200.506249999999</v>
      </c>
      <c r="D1038" t="s">
        <v>911</v>
      </c>
      <c r="E1038">
        <v>99</v>
      </c>
      <c r="F1038" t="s">
        <v>740</v>
      </c>
      <c r="G1038" s="3"/>
      <c r="H1038" s="3"/>
      <c r="I1038" s="3"/>
      <c r="J1038" s="3"/>
      <c r="K1038" s="3"/>
      <c r="L1038" s="3"/>
      <c r="M103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39" spans="1:13" x14ac:dyDescent="0.35">
      <c r="A1039" s="3" t="s">
        <v>746</v>
      </c>
      <c r="B1039" s="3"/>
      <c r="C1039">
        <v>45201.877083333333</v>
      </c>
      <c r="D1039" t="s">
        <v>904</v>
      </c>
      <c r="E1039">
        <v>82</v>
      </c>
      <c r="F1039" t="s">
        <v>748</v>
      </c>
      <c r="G1039" s="3"/>
      <c r="H1039" s="3"/>
      <c r="I1039" s="3"/>
      <c r="J1039" s="3"/>
      <c r="K1039" s="3"/>
      <c r="L1039" s="3"/>
      <c r="M103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0" spans="1:13" x14ac:dyDescent="0.35">
      <c r="A1040" s="3" t="s">
        <v>746</v>
      </c>
      <c r="B1040" s="3"/>
      <c r="C1040">
        <v>45206.366666666669</v>
      </c>
      <c r="D1040" t="s">
        <v>1434</v>
      </c>
      <c r="E1040">
        <v>30</v>
      </c>
      <c r="F1040" t="s">
        <v>748</v>
      </c>
      <c r="G1040" s="3"/>
      <c r="H1040" s="3"/>
      <c r="I1040" s="3"/>
      <c r="J1040" s="3"/>
      <c r="K1040" s="3"/>
      <c r="L1040" s="3"/>
      <c r="M104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1" spans="1:13" x14ac:dyDescent="0.35">
      <c r="A1041" s="3" t="s">
        <v>746</v>
      </c>
      <c r="B1041" s="3"/>
      <c r="C1041">
        <v>45225.220833333333</v>
      </c>
      <c r="D1041" t="s">
        <v>1435</v>
      </c>
      <c r="E1041">
        <v>104</v>
      </c>
      <c r="F1041" t="s">
        <v>742</v>
      </c>
      <c r="G1041" s="3"/>
      <c r="H1041" s="3"/>
      <c r="I1041" s="3"/>
      <c r="J1041" s="3"/>
      <c r="K1041" s="3"/>
      <c r="L1041" s="3"/>
      <c r="M104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2" spans="1:13" x14ac:dyDescent="0.35">
      <c r="A1042" s="3" t="s">
        <v>746</v>
      </c>
      <c r="B1042" s="3"/>
      <c r="C1042">
        <v>45221.339583333327</v>
      </c>
      <c r="D1042" t="s">
        <v>1335</v>
      </c>
      <c r="E1042">
        <v>97</v>
      </c>
      <c r="F1042" t="s">
        <v>742</v>
      </c>
      <c r="G1042" s="3"/>
      <c r="H1042" s="3"/>
      <c r="I1042" s="3"/>
      <c r="J1042" s="3"/>
      <c r="K1042" s="3"/>
      <c r="L1042" s="3"/>
      <c r="M104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3" spans="1:13" x14ac:dyDescent="0.35">
      <c r="A1043" s="3" t="s">
        <v>746</v>
      </c>
      <c r="B1043" s="3"/>
      <c r="C1043">
        <v>45226.072222222218</v>
      </c>
      <c r="D1043" t="s">
        <v>1436</v>
      </c>
      <c r="E1043">
        <v>29</v>
      </c>
      <c r="F1043" t="s">
        <v>748</v>
      </c>
      <c r="G1043" s="3"/>
      <c r="H1043" s="3"/>
      <c r="I1043" s="3"/>
      <c r="J1043" s="3"/>
      <c r="K1043" s="3"/>
      <c r="L1043" s="3"/>
      <c r="M104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4" spans="1:13" x14ac:dyDescent="0.35">
      <c r="A1044" s="3" t="s">
        <v>746</v>
      </c>
      <c r="B1044" s="3"/>
      <c r="C1044">
        <v>45225.384027777778</v>
      </c>
      <c r="D1044" t="s">
        <v>1361</v>
      </c>
      <c r="E1044">
        <v>42</v>
      </c>
      <c r="F1044" t="s">
        <v>740</v>
      </c>
      <c r="G1044" s="3"/>
      <c r="H1044" s="3"/>
      <c r="I1044" s="3"/>
      <c r="J1044" s="3"/>
      <c r="K1044" s="3"/>
      <c r="L1044" s="3"/>
      <c r="M104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5" spans="1:13" x14ac:dyDescent="0.35">
      <c r="A1045" s="3" t="s">
        <v>746</v>
      </c>
      <c r="B1045" s="3"/>
      <c r="C1045">
        <v>45224.709722222222</v>
      </c>
      <c r="D1045" t="s">
        <v>1437</v>
      </c>
      <c r="E1045">
        <v>62</v>
      </c>
      <c r="F1045" t="s">
        <v>742</v>
      </c>
      <c r="G1045" s="3"/>
      <c r="H1045" s="3"/>
      <c r="I1045" s="3"/>
      <c r="J1045" s="3"/>
      <c r="K1045" s="3"/>
      <c r="L1045" s="3"/>
      <c r="M104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6" spans="1:13" x14ac:dyDescent="0.35">
      <c r="A1046" s="3" t="s">
        <v>746</v>
      </c>
      <c r="B1046" s="3"/>
      <c r="C1046">
        <v>45211.587500000001</v>
      </c>
      <c r="D1046" t="s">
        <v>818</v>
      </c>
      <c r="E1046">
        <v>27</v>
      </c>
      <c r="F1046" t="s">
        <v>748</v>
      </c>
      <c r="G1046" s="3"/>
      <c r="H1046" s="3"/>
      <c r="I1046" s="3"/>
      <c r="J1046" s="3"/>
      <c r="K1046" s="3"/>
      <c r="L1046" s="3"/>
      <c r="M104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7" spans="1:13" x14ac:dyDescent="0.35">
      <c r="A1047" s="3" t="s">
        <v>746</v>
      </c>
      <c r="B1047" s="3"/>
      <c r="C1047">
        <v>45219.907638888893</v>
      </c>
      <c r="D1047" t="s">
        <v>1438</v>
      </c>
      <c r="E1047">
        <v>92</v>
      </c>
      <c r="F1047" t="s">
        <v>742</v>
      </c>
      <c r="G1047" s="3"/>
      <c r="H1047" s="3"/>
      <c r="I1047" s="3"/>
      <c r="J1047" s="3"/>
      <c r="K1047" s="3"/>
      <c r="L1047" s="3"/>
      <c r="M104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8" spans="1:13" x14ac:dyDescent="0.35">
      <c r="A1048" s="3" t="s">
        <v>746</v>
      </c>
      <c r="B1048" s="3"/>
      <c r="C1048">
        <v>45217.324305555558</v>
      </c>
      <c r="D1048" t="s">
        <v>1439</v>
      </c>
      <c r="E1048">
        <v>14</v>
      </c>
      <c r="F1048" t="s">
        <v>742</v>
      </c>
      <c r="G1048" s="3"/>
      <c r="H1048" s="3"/>
      <c r="I1048" s="3"/>
      <c r="J1048" s="3"/>
      <c r="K1048" s="3"/>
      <c r="L1048" s="3"/>
      <c r="M104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49" spans="1:13" x14ac:dyDescent="0.35">
      <c r="A1049" s="3" t="s">
        <v>746</v>
      </c>
      <c r="B1049" s="3"/>
      <c r="C1049">
        <v>45220.724999999999</v>
      </c>
      <c r="D1049" t="s">
        <v>1096</v>
      </c>
      <c r="E1049">
        <v>28</v>
      </c>
      <c r="F1049" t="s">
        <v>748</v>
      </c>
      <c r="G1049" s="3"/>
      <c r="H1049" s="3"/>
      <c r="I1049" s="3"/>
      <c r="J1049" s="3"/>
      <c r="K1049" s="3"/>
      <c r="L1049" s="3"/>
      <c r="M104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0" spans="1:13" x14ac:dyDescent="0.35">
      <c r="A1050" s="3" t="s">
        <v>746</v>
      </c>
      <c r="B1050" s="3"/>
      <c r="C1050">
        <v>45207.701388888891</v>
      </c>
      <c r="D1050" t="s">
        <v>772</v>
      </c>
      <c r="E1050">
        <v>27</v>
      </c>
      <c r="F1050" t="s">
        <v>748</v>
      </c>
      <c r="G1050" s="3"/>
      <c r="H1050" s="3"/>
      <c r="I1050" s="3"/>
      <c r="J1050" s="3"/>
      <c r="K1050" s="3"/>
      <c r="L1050" s="3"/>
      <c r="M105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1" spans="1:13" x14ac:dyDescent="0.35">
      <c r="A1051" s="3" t="s">
        <v>746</v>
      </c>
      <c r="B1051" s="3"/>
      <c r="C1051">
        <v>45219.929166666669</v>
      </c>
      <c r="D1051" t="s">
        <v>1430</v>
      </c>
      <c r="E1051">
        <v>115</v>
      </c>
      <c r="F1051" t="s">
        <v>740</v>
      </c>
      <c r="G1051" s="3"/>
      <c r="H1051" s="3"/>
      <c r="I1051" s="3"/>
      <c r="J1051" s="3"/>
      <c r="K1051" s="3"/>
      <c r="L1051" s="3"/>
      <c r="M105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2" spans="1:13" x14ac:dyDescent="0.35">
      <c r="A1052" s="3" t="s">
        <v>768</v>
      </c>
      <c r="B1052" s="3"/>
      <c r="C1052">
        <v>45230.731944444437</v>
      </c>
      <c r="D1052" t="s">
        <v>1201</v>
      </c>
      <c r="E1052">
        <v>52</v>
      </c>
      <c r="F1052" t="s">
        <v>740</v>
      </c>
      <c r="G1052" s="3"/>
      <c r="H1052" s="3"/>
      <c r="I1052" s="3"/>
      <c r="J1052" s="3"/>
      <c r="K1052" s="3"/>
      <c r="L1052" s="3"/>
      <c r="M105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3" spans="1:13" x14ac:dyDescent="0.35">
      <c r="A1053" s="3" t="s">
        <v>768</v>
      </c>
      <c r="B1053" s="3"/>
      <c r="C1053">
        <v>45200.836111111108</v>
      </c>
      <c r="D1053" t="s">
        <v>1185</v>
      </c>
      <c r="E1053">
        <v>6</v>
      </c>
      <c r="F1053" t="s">
        <v>740</v>
      </c>
      <c r="G1053" s="3"/>
      <c r="H1053" s="3"/>
      <c r="I1053" s="3"/>
      <c r="J1053" s="3"/>
      <c r="K1053" s="3"/>
      <c r="L1053" s="3"/>
      <c r="M105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4" spans="1:13" x14ac:dyDescent="0.35">
      <c r="A1054" s="3" t="s">
        <v>768</v>
      </c>
      <c r="B1054" s="3"/>
      <c r="C1054">
        <v>45206.902777777781</v>
      </c>
      <c r="D1054" t="s">
        <v>1440</v>
      </c>
      <c r="E1054">
        <v>75</v>
      </c>
      <c r="F1054" t="s">
        <v>748</v>
      </c>
      <c r="G1054" s="3"/>
      <c r="H1054" s="3"/>
      <c r="I1054" s="3"/>
      <c r="J1054" s="3"/>
      <c r="K1054" s="3"/>
      <c r="L1054" s="3"/>
      <c r="M105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5" spans="1:13" x14ac:dyDescent="0.35">
      <c r="A1055" s="3" t="s">
        <v>768</v>
      </c>
      <c r="B1055" s="3"/>
      <c r="C1055">
        <v>45224.288194444453</v>
      </c>
      <c r="D1055" t="s">
        <v>1224</v>
      </c>
      <c r="E1055">
        <v>116</v>
      </c>
      <c r="F1055" t="s">
        <v>748</v>
      </c>
      <c r="G1055" s="3"/>
      <c r="H1055" s="3"/>
      <c r="I1055" s="3"/>
      <c r="J1055" s="3"/>
      <c r="K1055" s="3"/>
      <c r="L1055" s="3"/>
      <c r="M105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6" spans="1:13" x14ac:dyDescent="0.35">
      <c r="A1056" s="3" t="s">
        <v>768</v>
      </c>
      <c r="B1056" s="3"/>
      <c r="C1056">
        <v>45221.578472222223</v>
      </c>
      <c r="D1056" t="s">
        <v>1141</v>
      </c>
      <c r="E1056">
        <v>76</v>
      </c>
      <c r="F1056" t="s">
        <v>748</v>
      </c>
      <c r="G1056" s="3"/>
      <c r="H1056" s="3"/>
      <c r="I1056" s="3"/>
      <c r="J1056" s="3"/>
      <c r="K1056" s="3"/>
      <c r="L1056" s="3"/>
      <c r="M105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7" spans="1:13" x14ac:dyDescent="0.35">
      <c r="A1057" s="3" t="s">
        <v>768</v>
      </c>
      <c r="B1057" s="3"/>
      <c r="C1057">
        <v>45203.273611111108</v>
      </c>
      <c r="D1057" t="s">
        <v>1049</v>
      </c>
      <c r="E1057">
        <v>23</v>
      </c>
      <c r="F1057" t="s">
        <v>748</v>
      </c>
      <c r="G1057" s="3"/>
      <c r="H1057" s="3"/>
      <c r="I1057" s="3"/>
      <c r="J1057" s="3"/>
      <c r="K1057" s="3"/>
      <c r="L1057" s="3"/>
      <c r="M105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8" spans="1:13" x14ac:dyDescent="0.35">
      <c r="A1058" s="3" t="s">
        <v>768</v>
      </c>
      <c r="B1058" s="3"/>
      <c r="C1058">
        <v>45226.955555555563</v>
      </c>
      <c r="D1058" t="s">
        <v>1441</v>
      </c>
      <c r="E1058">
        <v>20</v>
      </c>
      <c r="F1058" t="s">
        <v>742</v>
      </c>
      <c r="G1058" s="3"/>
      <c r="H1058" s="3"/>
      <c r="I1058" s="3"/>
      <c r="J1058" s="3"/>
      <c r="K1058" s="3"/>
      <c r="L1058" s="3"/>
      <c r="M105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59" spans="1:13" x14ac:dyDescent="0.35">
      <c r="A1059" s="3" t="s">
        <v>768</v>
      </c>
      <c r="B1059" s="3"/>
      <c r="C1059">
        <v>45223.570138888892</v>
      </c>
      <c r="D1059" t="s">
        <v>766</v>
      </c>
      <c r="E1059">
        <v>10</v>
      </c>
      <c r="F1059" t="s">
        <v>742</v>
      </c>
      <c r="G1059" s="3"/>
      <c r="H1059" s="3"/>
      <c r="I1059" s="3"/>
      <c r="J1059" s="3"/>
      <c r="K1059" s="3"/>
      <c r="L1059" s="3"/>
      <c r="M105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0" spans="1:13" x14ac:dyDescent="0.35">
      <c r="A1060" s="3" t="s">
        <v>768</v>
      </c>
      <c r="B1060" s="3"/>
      <c r="C1060">
        <v>45226.115972222222</v>
      </c>
      <c r="D1060" t="s">
        <v>976</v>
      </c>
      <c r="E1060">
        <v>5</v>
      </c>
      <c r="F1060" t="s">
        <v>748</v>
      </c>
      <c r="G1060" s="3"/>
      <c r="H1060" s="3"/>
      <c r="I1060" s="3"/>
      <c r="J1060" s="3"/>
      <c r="K1060" s="3"/>
      <c r="L1060" s="3"/>
      <c r="M106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1" spans="1:13" x14ac:dyDescent="0.35">
      <c r="A1061" s="3" t="s">
        <v>768</v>
      </c>
      <c r="B1061" s="3"/>
      <c r="C1061">
        <v>45221.167361111111</v>
      </c>
      <c r="D1061" t="s">
        <v>955</v>
      </c>
      <c r="E1061">
        <v>78</v>
      </c>
      <c r="F1061" t="s">
        <v>742</v>
      </c>
      <c r="G1061" s="3"/>
      <c r="H1061" s="3"/>
      <c r="I1061" s="3"/>
      <c r="J1061" s="3"/>
      <c r="K1061" s="3"/>
      <c r="L1061" s="3"/>
      <c r="M106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2" spans="1:13" x14ac:dyDescent="0.35">
      <c r="A1062" s="3" t="s">
        <v>768</v>
      </c>
      <c r="B1062" s="3"/>
      <c r="C1062">
        <v>45214.931250000001</v>
      </c>
      <c r="D1062" t="s">
        <v>1307</v>
      </c>
      <c r="E1062">
        <v>81</v>
      </c>
      <c r="F1062" t="s">
        <v>742</v>
      </c>
      <c r="G1062" s="3"/>
      <c r="H1062" s="3"/>
      <c r="I1062" s="3"/>
      <c r="J1062" s="3"/>
      <c r="K1062" s="3"/>
      <c r="L1062" s="3"/>
      <c r="M106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3" spans="1:13" x14ac:dyDescent="0.35">
      <c r="A1063" s="3" t="s">
        <v>768</v>
      </c>
      <c r="B1063" s="3"/>
      <c r="C1063">
        <v>45201.086111111108</v>
      </c>
      <c r="D1063" t="s">
        <v>903</v>
      </c>
      <c r="E1063">
        <v>55</v>
      </c>
      <c r="F1063" t="s">
        <v>740</v>
      </c>
      <c r="G1063" s="3"/>
      <c r="H1063" s="3"/>
      <c r="I1063" s="3"/>
      <c r="J1063" s="3"/>
      <c r="K1063" s="3"/>
      <c r="L1063" s="3"/>
      <c r="M106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4" spans="1:13" x14ac:dyDescent="0.35">
      <c r="A1064" s="3" t="s">
        <v>768</v>
      </c>
      <c r="B1064" s="3"/>
      <c r="C1064">
        <v>45201.243055555547</v>
      </c>
      <c r="D1064" t="s">
        <v>1204</v>
      </c>
      <c r="E1064">
        <v>73</v>
      </c>
      <c r="F1064" t="s">
        <v>742</v>
      </c>
      <c r="G1064" s="3"/>
      <c r="H1064" s="3"/>
      <c r="I1064" s="3"/>
      <c r="J1064" s="3"/>
      <c r="K1064" s="3"/>
      <c r="L1064" s="3"/>
      <c r="M106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5" spans="1:13" x14ac:dyDescent="0.35">
      <c r="A1065" s="3" t="s">
        <v>768</v>
      </c>
      <c r="B1065" s="3"/>
      <c r="C1065">
        <v>45208.711111111108</v>
      </c>
      <c r="D1065" t="s">
        <v>1232</v>
      </c>
      <c r="E1065">
        <v>75</v>
      </c>
      <c r="F1065" t="s">
        <v>742</v>
      </c>
      <c r="G1065" s="3"/>
      <c r="H1065" s="3"/>
      <c r="I1065" s="3"/>
      <c r="J1065" s="3"/>
      <c r="K1065" s="3"/>
      <c r="L1065" s="3"/>
      <c r="M106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6" spans="1:13" x14ac:dyDescent="0.35">
      <c r="A1066" s="3" t="s">
        <v>768</v>
      </c>
      <c r="B1066" s="3"/>
      <c r="C1066">
        <v>45218.331944444442</v>
      </c>
      <c r="D1066" t="s">
        <v>903</v>
      </c>
      <c r="E1066">
        <v>15</v>
      </c>
      <c r="F1066" t="s">
        <v>748</v>
      </c>
      <c r="G1066" s="3"/>
      <c r="H1066" s="3"/>
      <c r="I1066" s="3"/>
      <c r="J1066" s="3"/>
      <c r="K1066" s="3"/>
      <c r="L1066" s="3"/>
      <c r="M106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7" spans="1:13" x14ac:dyDescent="0.35">
      <c r="A1067" s="3" t="s">
        <v>768</v>
      </c>
      <c r="B1067" s="3"/>
      <c r="C1067">
        <v>45208.558333333327</v>
      </c>
      <c r="D1067" t="s">
        <v>1435</v>
      </c>
      <c r="E1067">
        <v>44</v>
      </c>
      <c r="F1067" t="s">
        <v>748</v>
      </c>
      <c r="G1067" s="3"/>
      <c r="H1067" s="3"/>
      <c r="I1067" s="3"/>
      <c r="J1067" s="3"/>
      <c r="K1067" s="3"/>
      <c r="L1067" s="3"/>
      <c r="M106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8" spans="1:13" x14ac:dyDescent="0.35">
      <c r="A1068" s="3" t="s">
        <v>768</v>
      </c>
      <c r="B1068" s="3"/>
      <c r="C1068">
        <v>45214.850694444453</v>
      </c>
      <c r="D1068" t="s">
        <v>839</v>
      </c>
      <c r="E1068">
        <v>31</v>
      </c>
      <c r="F1068" t="s">
        <v>748</v>
      </c>
      <c r="G1068" s="3"/>
      <c r="H1068" s="3"/>
      <c r="I1068" s="3"/>
      <c r="J1068" s="3"/>
      <c r="K1068" s="3"/>
      <c r="L1068" s="3"/>
      <c r="M106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69" spans="1:13" x14ac:dyDescent="0.35">
      <c r="A1069" s="3" t="s">
        <v>768</v>
      </c>
      <c r="B1069" s="3"/>
      <c r="C1069">
        <v>45213.417361111111</v>
      </c>
      <c r="D1069" t="s">
        <v>1224</v>
      </c>
      <c r="E1069">
        <v>100</v>
      </c>
      <c r="F1069" t="s">
        <v>740</v>
      </c>
      <c r="G1069" s="3"/>
      <c r="H1069" s="3"/>
      <c r="I1069" s="3"/>
      <c r="J1069" s="3"/>
      <c r="K1069" s="3"/>
      <c r="L1069" s="3"/>
      <c r="M106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0" spans="1:13" x14ac:dyDescent="0.35">
      <c r="A1070" s="3" t="s">
        <v>768</v>
      </c>
      <c r="B1070" s="3"/>
      <c r="C1070">
        <v>45212.879861111112</v>
      </c>
      <c r="D1070" t="s">
        <v>1230</v>
      </c>
      <c r="E1070">
        <v>99</v>
      </c>
      <c r="F1070" t="s">
        <v>740</v>
      </c>
      <c r="G1070" s="3"/>
      <c r="H1070" s="3"/>
      <c r="I1070" s="3"/>
      <c r="J1070" s="3"/>
      <c r="K1070" s="3"/>
      <c r="L1070" s="3"/>
      <c r="M107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1" spans="1:13" x14ac:dyDescent="0.35">
      <c r="A1071" s="3" t="s">
        <v>768</v>
      </c>
      <c r="B1071" s="3"/>
      <c r="C1071">
        <v>45217.02847222222</v>
      </c>
      <c r="D1071" t="s">
        <v>825</v>
      </c>
      <c r="E1071">
        <v>120</v>
      </c>
      <c r="F1071" t="s">
        <v>748</v>
      </c>
      <c r="G1071" s="3"/>
      <c r="H1071" s="3"/>
      <c r="I1071" s="3"/>
      <c r="J1071" s="3"/>
      <c r="K1071" s="3"/>
      <c r="L1071" s="3"/>
      <c r="M107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2" spans="1:13" x14ac:dyDescent="0.35">
      <c r="A1072" s="3" t="s">
        <v>768</v>
      </c>
      <c r="B1072" s="3"/>
      <c r="C1072">
        <v>45223.794444444437</v>
      </c>
      <c r="D1072" t="s">
        <v>1442</v>
      </c>
      <c r="E1072">
        <v>97</v>
      </c>
      <c r="F1072" t="s">
        <v>740</v>
      </c>
      <c r="G1072" s="3"/>
      <c r="H1072" s="3"/>
      <c r="I1072" s="3"/>
      <c r="J1072" s="3"/>
      <c r="K1072" s="3"/>
      <c r="L1072" s="3"/>
      <c r="M107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3" spans="1:13" x14ac:dyDescent="0.35">
      <c r="A1073" s="3" t="s">
        <v>768</v>
      </c>
      <c r="B1073" s="3"/>
      <c r="C1073">
        <v>45224.984027777777</v>
      </c>
      <c r="D1073" t="s">
        <v>1443</v>
      </c>
      <c r="E1073">
        <v>49</v>
      </c>
      <c r="F1073" t="s">
        <v>740</v>
      </c>
      <c r="G1073" s="3"/>
      <c r="H1073" s="3"/>
      <c r="I1073" s="3"/>
      <c r="J1073" s="3"/>
      <c r="K1073" s="3"/>
      <c r="L1073" s="3"/>
      <c r="M107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4" spans="1:13" x14ac:dyDescent="0.35">
      <c r="A1074" s="3" t="s">
        <v>768</v>
      </c>
      <c r="B1074" s="3"/>
      <c r="C1074">
        <v>45201.95416666667</v>
      </c>
      <c r="D1074" t="s">
        <v>1444</v>
      </c>
      <c r="E1074">
        <v>32</v>
      </c>
      <c r="F1074" t="s">
        <v>742</v>
      </c>
      <c r="G1074" s="3"/>
      <c r="H1074" s="3"/>
      <c r="I1074" s="3"/>
      <c r="J1074" s="3"/>
      <c r="K1074" s="3"/>
      <c r="L1074" s="3"/>
      <c r="M107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5" spans="1:13" x14ac:dyDescent="0.35">
      <c r="A1075" s="3" t="s">
        <v>768</v>
      </c>
      <c r="B1075" s="3"/>
      <c r="C1075">
        <v>45202.499305555553</v>
      </c>
      <c r="D1075" t="s">
        <v>1354</v>
      </c>
      <c r="E1075">
        <v>57</v>
      </c>
      <c r="F1075" t="s">
        <v>742</v>
      </c>
      <c r="G1075" s="3"/>
      <c r="H1075" s="3"/>
      <c r="I1075" s="3"/>
      <c r="J1075" s="3"/>
      <c r="K1075" s="3"/>
      <c r="L1075" s="3"/>
      <c r="M107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6" spans="1:13" x14ac:dyDescent="0.35">
      <c r="A1076" s="3" t="s">
        <v>768</v>
      </c>
      <c r="B1076" s="3"/>
      <c r="C1076">
        <v>45216.137499999997</v>
      </c>
      <c r="D1076" t="s">
        <v>879</v>
      </c>
      <c r="E1076">
        <v>120</v>
      </c>
      <c r="F1076" t="s">
        <v>742</v>
      </c>
      <c r="G1076" s="3"/>
      <c r="H1076" s="3"/>
      <c r="I1076" s="3"/>
      <c r="J1076" s="3"/>
      <c r="K1076" s="3"/>
      <c r="L1076" s="3"/>
      <c r="M1076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7" spans="1:13" x14ac:dyDescent="0.35">
      <c r="A1077" s="3" t="s">
        <v>768</v>
      </c>
      <c r="B1077" s="3"/>
      <c r="C1077">
        <v>45225.888194444437</v>
      </c>
      <c r="D1077" t="s">
        <v>998</v>
      </c>
      <c r="E1077">
        <v>87</v>
      </c>
      <c r="F1077" t="s">
        <v>748</v>
      </c>
      <c r="G1077" s="3"/>
      <c r="H1077" s="3"/>
      <c r="I1077" s="3"/>
      <c r="J1077" s="3"/>
      <c r="K1077" s="3"/>
      <c r="L1077" s="3"/>
      <c r="M1077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8" spans="1:13" x14ac:dyDescent="0.35">
      <c r="A1078" s="3" t="s">
        <v>768</v>
      </c>
      <c r="B1078" s="3"/>
      <c r="C1078">
        <v>45219.095833333333</v>
      </c>
      <c r="D1078" t="s">
        <v>844</v>
      </c>
      <c r="E1078">
        <v>113</v>
      </c>
      <c r="F1078" t="s">
        <v>748</v>
      </c>
      <c r="G1078" s="3"/>
      <c r="H1078" s="3"/>
      <c r="I1078" s="3"/>
      <c r="J1078" s="3"/>
      <c r="K1078" s="3"/>
      <c r="L1078" s="3"/>
      <c r="M1078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79" spans="1:13" x14ac:dyDescent="0.35">
      <c r="A1079" s="3" t="s">
        <v>768</v>
      </c>
      <c r="B1079" s="3"/>
      <c r="C1079">
        <v>45224.6</v>
      </c>
      <c r="D1079" t="s">
        <v>1445</v>
      </c>
      <c r="E1079">
        <v>70</v>
      </c>
      <c r="F1079" t="s">
        <v>748</v>
      </c>
      <c r="G1079" s="3"/>
      <c r="H1079" s="3"/>
      <c r="I1079" s="3"/>
      <c r="J1079" s="3"/>
      <c r="K1079" s="3"/>
      <c r="L1079" s="3"/>
      <c r="M1079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80" spans="1:13" x14ac:dyDescent="0.35">
      <c r="A1080" s="3" t="s">
        <v>768</v>
      </c>
      <c r="B1080" s="3"/>
      <c r="C1080">
        <v>45212.875694444447</v>
      </c>
      <c r="D1080" t="s">
        <v>798</v>
      </c>
      <c r="E1080">
        <v>23</v>
      </c>
      <c r="F1080" t="s">
        <v>740</v>
      </c>
      <c r="G1080" s="3"/>
      <c r="H1080" s="3"/>
      <c r="I1080" s="3"/>
      <c r="J1080" s="3"/>
      <c r="K1080" s="3"/>
      <c r="L1080" s="3"/>
      <c r="M1080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81" spans="1:13" x14ac:dyDescent="0.35">
      <c r="A1081" s="3" t="s">
        <v>768</v>
      </c>
      <c r="B1081" s="3"/>
      <c r="C1081">
        <v>45215.231944444437</v>
      </c>
      <c r="D1081" t="s">
        <v>1224</v>
      </c>
      <c r="E1081">
        <v>25</v>
      </c>
      <c r="F1081" t="s">
        <v>742</v>
      </c>
      <c r="G1081" s="3"/>
      <c r="H1081" s="3"/>
      <c r="I1081" s="3"/>
      <c r="J1081" s="3"/>
      <c r="K1081" s="3"/>
      <c r="L1081" s="3"/>
      <c r="M1081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82" spans="1:13" x14ac:dyDescent="0.35">
      <c r="A1082" s="3" t="s">
        <v>768</v>
      </c>
      <c r="B1082" s="3"/>
      <c r="C1082">
        <v>45207.199305555558</v>
      </c>
      <c r="D1082" t="s">
        <v>1396</v>
      </c>
      <c r="E1082">
        <v>28</v>
      </c>
      <c r="F1082" t="s">
        <v>742</v>
      </c>
      <c r="G1082" s="3"/>
      <c r="H1082" s="3"/>
      <c r="I1082" s="3"/>
      <c r="J1082" s="3"/>
      <c r="K1082" s="3"/>
      <c r="L1082" s="3"/>
      <c r="M1082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83" spans="1:13" x14ac:dyDescent="0.35">
      <c r="A1083" s="3" t="s">
        <v>768</v>
      </c>
      <c r="B1083" s="3"/>
      <c r="C1083">
        <v>45212.720833333333</v>
      </c>
      <c r="D1083" t="s">
        <v>1446</v>
      </c>
      <c r="E1083">
        <v>33</v>
      </c>
      <c r="F1083" t="s">
        <v>748</v>
      </c>
      <c r="G1083" s="3"/>
      <c r="H1083" s="3"/>
      <c r="I1083" s="3"/>
      <c r="J1083" s="3"/>
      <c r="K1083" s="3"/>
      <c r="L1083" s="3"/>
      <c r="M1083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84" spans="1:13" x14ac:dyDescent="0.35">
      <c r="A1084" s="3" t="s">
        <v>768</v>
      </c>
      <c r="B1084" s="3"/>
      <c r="C1084">
        <v>45230.839583333327</v>
      </c>
      <c r="D1084" t="s">
        <v>790</v>
      </c>
      <c r="E1084">
        <v>83</v>
      </c>
      <c r="F1084" t="s">
        <v>748</v>
      </c>
      <c r="G1084" s="3"/>
      <c r="H1084" s="3"/>
      <c r="I1084" s="3"/>
      <c r="J1084" s="3"/>
      <c r="K1084" s="3"/>
      <c r="L1084" s="3"/>
      <c r="M1084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  <row r="1085" spans="1:13" x14ac:dyDescent="0.35">
      <c r="A1085" s="3" t="s">
        <v>768</v>
      </c>
      <c r="B1085" s="3"/>
      <c r="C1085">
        <v>45209.913888888892</v>
      </c>
      <c r="D1085" t="s">
        <v>836</v>
      </c>
      <c r="E1085">
        <v>111</v>
      </c>
      <c r="F1085" t="s">
        <v>748</v>
      </c>
      <c r="G1085" s="3"/>
      <c r="H1085" s="3"/>
      <c r="I1085" s="3"/>
      <c r="J1085" s="3"/>
      <c r="K1085" s="3"/>
      <c r="L1085" s="3"/>
      <c r="M1085" s="3" t="str">
        <f>IF(LOGS_RESEAU[[#This Row],[Duree_Panne_Heure]]&lt;1,"Moins d'1h",IF(LOGS_RESEAU[[#This Row],[Duree_Panne_Heure]]&lt;2,"Plus d'1h et moins de 2 h",IF(LOGS_RESEAU[[#This Row],[Duree_Panne_Heure]]&gt;=2,"2h ou plus","Pas de panne")))</f>
        <v>Moins d'1h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F6F0-0C62-49E1-8419-FD3E05992EF9}">
  <dimension ref="A1:A27"/>
  <sheetViews>
    <sheetView workbookViewId="0">
      <selection activeCell="E9" sqref="E9"/>
    </sheetView>
  </sheetViews>
  <sheetFormatPr baseColWidth="10" defaultRowHeight="14.5" x14ac:dyDescent="0.35"/>
  <cols>
    <col min="1" max="1" width="14.453125" customWidth="1"/>
  </cols>
  <sheetData>
    <row r="1" spans="1:1" x14ac:dyDescent="0.35">
      <c r="A1" s="4" t="s">
        <v>733</v>
      </c>
    </row>
    <row r="2" spans="1:1" x14ac:dyDescent="0.35">
      <c r="A2" t="s">
        <v>123</v>
      </c>
    </row>
    <row r="3" spans="1:1" x14ac:dyDescent="0.35">
      <c r="A3" t="s">
        <v>34</v>
      </c>
    </row>
    <row r="4" spans="1:1" x14ac:dyDescent="0.35">
      <c r="A4" t="s">
        <v>104</v>
      </c>
    </row>
    <row r="5" spans="1:1" x14ac:dyDescent="0.35">
      <c r="A5" t="s">
        <v>37</v>
      </c>
    </row>
    <row r="6" spans="1:1" x14ac:dyDescent="0.35">
      <c r="A6" t="s">
        <v>47</v>
      </c>
    </row>
    <row r="7" spans="1:1" x14ac:dyDescent="0.35">
      <c r="A7" t="s">
        <v>58</v>
      </c>
    </row>
    <row r="8" spans="1:1" x14ac:dyDescent="0.35">
      <c r="A8" t="s">
        <v>68</v>
      </c>
    </row>
    <row r="9" spans="1:1" x14ac:dyDescent="0.35">
      <c r="A9" t="s">
        <v>41</v>
      </c>
    </row>
    <row r="10" spans="1:1" x14ac:dyDescent="0.35">
      <c r="A10" t="s">
        <v>60</v>
      </c>
    </row>
    <row r="11" spans="1:1" x14ac:dyDescent="0.35">
      <c r="A11" t="s">
        <v>110</v>
      </c>
    </row>
    <row r="12" spans="1:1" x14ac:dyDescent="0.35">
      <c r="A12" t="s">
        <v>43</v>
      </c>
    </row>
    <row r="13" spans="1:1" x14ac:dyDescent="0.35">
      <c r="A13" t="s">
        <v>87</v>
      </c>
    </row>
    <row r="14" spans="1:1" x14ac:dyDescent="0.35">
      <c r="A14" t="s">
        <v>16</v>
      </c>
    </row>
    <row r="15" spans="1:1" x14ac:dyDescent="0.35">
      <c r="A15" t="s">
        <v>50</v>
      </c>
    </row>
    <row r="16" spans="1:1" x14ac:dyDescent="0.35">
      <c r="A16" t="s">
        <v>12</v>
      </c>
    </row>
    <row r="17" spans="1:1" x14ac:dyDescent="0.35">
      <c r="A17" t="s">
        <v>19</v>
      </c>
    </row>
    <row r="18" spans="1:1" x14ac:dyDescent="0.35">
      <c r="A18" t="s">
        <v>92</v>
      </c>
    </row>
    <row r="19" spans="1:1" x14ac:dyDescent="0.35">
      <c r="A19" t="s">
        <v>84</v>
      </c>
    </row>
    <row r="20" spans="1:1" x14ac:dyDescent="0.35">
      <c r="A20" t="s">
        <v>24</v>
      </c>
    </row>
    <row r="21" spans="1:1" x14ac:dyDescent="0.35">
      <c r="A21" t="s">
        <v>144</v>
      </c>
    </row>
    <row r="22" spans="1:1" x14ac:dyDescent="0.35">
      <c r="A22" t="s">
        <v>82</v>
      </c>
    </row>
    <row r="23" spans="1:1" x14ac:dyDescent="0.35">
      <c r="A23" t="s">
        <v>56</v>
      </c>
    </row>
    <row r="24" spans="1:1" x14ac:dyDescent="0.35">
      <c r="A24" t="s">
        <v>66</v>
      </c>
    </row>
    <row r="25" spans="1:1" x14ac:dyDescent="0.35">
      <c r="A25" t="s">
        <v>30</v>
      </c>
    </row>
    <row r="26" spans="1:1" x14ac:dyDescent="0.35">
      <c r="A26" t="s">
        <v>27</v>
      </c>
    </row>
    <row r="27" spans="1:1" x14ac:dyDescent="0.35">
      <c r="A27" t="s">
        <v>131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5657-65EC-4053-A24B-28FE5A86A752}">
  <dimension ref="A1:J751"/>
  <sheetViews>
    <sheetView workbookViewId="0">
      <selection activeCell="F36" sqref="F36"/>
    </sheetView>
  </sheetViews>
  <sheetFormatPr baseColWidth="10" defaultRowHeight="14.5" x14ac:dyDescent="0.35"/>
  <cols>
    <col min="1" max="1" width="23.6328125" bestFit="1" customWidth="1"/>
    <col min="2" max="2" width="10.7265625" bestFit="1" customWidth="1"/>
    <col min="3" max="3" width="16.08984375" bestFit="1" customWidth="1"/>
    <col min="4" max="4" width="17.6328125" bestFit="1" customWidth="1"/>
    <col min="5" max="5" width="17" bestFit="1" customWidth="1"/>
    <col min="6" max="6" width="27.26953125" bestFit="1" customWidth="1"/>
    <col min="7" max="7" width="19.08984375" bestFit="1" customWidth="1"/>
    <col min="8" max="8" width="22.453125" bestFit="1" customWidth="1"/>
    <col min="9" max="9" width="19" bestFit="1" customWidth="1"/>
    <col min="10" max="10" width="27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3" t="s">
        <v>85</v>
      </c>
      <c r="B2" t="s">
        <v>442</v>
      </c>
      <c r="C2" t="s">
        <v>47</v>
      </c>
      <c r="D2">
        <v>7</v>
      </c>
      <c r="E2" t="s">
        <v>13</v>
      </c>
      <c r="F2">
        <v>206</v>
      </c>
      <c r="G2">
        <v>78.09</v>
      </c>
      <c r="H2">
        <v>3</v>
      </c>
      <c r="I2" s="3">
        <f>CLIENTS_CHURN[[#This Row],[Anciennete_Mois]]/12</f>
        <v>0.58333333333333337</v>
      </c>
      <c r="J2" s="3">
        <f>CLIENTS_CHURN[[#This Row],[Duree_Cumulee_Panne_Min]]/60</f>
        <v>3.4333333333333331</v>
      </c>
    </row>
    <row r="3" spans="1:10" x14ac:dyDescent="0.35">
      <c r="A3" s="3" t="s">
        <v>85</v>
      </c>
      <c r="B3" t="s">
        <v>105</v>
      </c>
      <c r="C3" t="s">
        <v>47</v>
      </c>
      <c r="D3">
        <v>112</v>
      </c>
      <c r="E3" t="s">
        <v>13</v>
      </c>
      <c r="F3">
        <v>460</v>
      </c>
      <c r="G3">
        <v>55.47</v>
      </c>
      <c r="H3">
        <v>4</v>
      </c>
      <c r="I3" s="3">
        <f>CLIENTS_CHURN[[#This Row],[Anciennete_Mois]]/12</f>
        <v>9.3333333333333339</v>
      </c>
      <c r="J3" s="3">
        <f>CLIENTS_CHURN[[#This Row],[Duree_Cumulee_Panne_Min]]/60</f>
        <v>7.666666666666667</v>
      </c>
    </row>
    <row r="4" spans="1:10" x14ac:dyDescent="0.35">
      <c r="A4" s="3" t="s">
        <v>85</v>
      </c>
      <c r="B4" t="s">
        <v>1452</v>
      </c>
      <c r="C4" t="s">
        <v>47</v>
      </c>
      <c r="D4">
        <v>99</v>
      </c>
      <c r="E4" t="s">
        <v>13</v>
      </c>
      <c r="F4">
        <v>447</v>
      </c>
      <c r="G4">
        <v>38.1</v>
      </c>
      <c r="H4">
        <v>3</v>
      </c>
      <c r="I4" s="3">
        <f>CLIENTS_CHURN[[#This Row],[Anciennete_Mois]]/12</f>
        <v>8.25</v>
      </c>
      <c r="J4" s="3">
        <f>CLIENTS_CHURN[[#This Row],[Duree_Cumulee_Panne_Min]]/60</f>
        <v>7.45</v>
      </c>
    </row>
    <row r="5" spans="1:10" x14ac:dyDescent="0.35">
      <c r="A5" s="3" t="s">
        <v>85</v>
      </c>
      <c r="B5" t="s">
        <v>113</v>
      </c>
      <c r="C5" t="s">
        <v>47</v>
      </c>
      <c r="D5">
        <v>59</v>
      </c>
      <c r="E5" t="s">
        <v>17</v>
      </c>
      <c r="F5">
        <v>454</v>
      </c>
      <c r="G5">
        <v>10.47</v>
      </c>
      <c r="H5">
        <v>5</v>
      </c>
      <c r="I5" s="3">
        <f>CLIENTS_CHURN[[#This Row],[Anciennete_Mois]]/12</f>
        <v>4.916666666666667</v>
      </c>
      <c r="J5" s="3">
        <f>CLIENTS_CHURN[[#This Row],[Duree_Cumulee_Panne_Min]]/60</f>
        <v>7.5666666666666664</v>
      </c>
    </row>
    <row r="6" spans="1:10" x14ac:dyDescent="0.35">
      <c r="A6" s="3" t="s">
        <v>25</v>
      </c>
      <c r="B6" t="s">
        <v>526</v>
      </c>
      <c r="C6" t="s">
        <v>47</v>
      </c>
      <c r="D6">
        <v>81</v>
      </c>
      <c r="E6" t="s">
        <v>13</v>
      </c>
      <c r="F6">
        <v>137</v>
      </c>
      <c r="G6">
        <v>89.05</v>
      </c>
      <c r="H6">
        <v>0</v>
      </c>
      <c r="I6" s="3">
        <f>CLIENTS_CHURN[[#This Row],[Anciennete_Mois]]/12</f>
        <v>6.75</v>
      </c>
      <c r="J6" s="3">
        <f>CLIENTS_CHURN[[#This Row],[Duree_Cumulee_Panne_Min]]/60</f>
        <v>2.2833333333333332</v>
      </c>
    </row>
    <row r="7" spans="1:10" x14ac:dyDescent="0.35">
      <c r="A7" s="3" t="s">
        <v>25</v>
      </c>
      <c r="B7" t="s">
        <v>1454</v>
      </c>
      <c r="C7" t="s">
        <v>47</v>
      </c>
      <c r="D7">
        <v>83</v>
      </c>
      <c r="E7" t="s">
        <v>13</v>
      </c>
      <c r="F7">
        <v>284</v>
      </c>
      <c r="G7">
        <v>73.7</v>
      </c>
      <c r="H7">
        <v>0</v>
      </c>
      <c r="I7" s="3">
        <f>CLIENTS_CHURN[[#This Row],[Anciennete_Mois]]/12</f>
        <v>6.916666666666667</v>
      </c>
      <c r="J7" s="3">
        <f>CLIENTS_CHURN[[#This Row],[Duree_Cumulee_Panne_Min]]/60</f>
        <v>4.7333333333333334</v>
      </c>
    </row>
    <row r="8" spans="1:10" x14ac:dyDescent="0.35">
      <c r="A8" s="3" t="s">
        <v>25</v>
      </c>
      <c r="B8" t="s">
        <v>1455</v>
      </c>
      <c r="C8" t="s">
        <v>47</v>
      </c>
      <c r="D8">
        <v>86</v>
      </c>
      <c r="E8" t="s">
        <v>20</v>
      </c>
      <c r="F8">
        <v>252</v>
      </c>
      <c r="G8">
        <v>96.5</v>
      </c>
      <c r="H8">
        <v>5</v>
      </c>
      <c r="I8" s="3">
        <f>CLIENTS_CHURN[[#This Row],[Anciennete_Mois]]/12</f>
        <v>7.166666666666667</v>
      </c>
      <c r="J8" s="3">
        <f>CLIENTS_CHURN[[#This Row],[Duree_Cumulee_Panne_Min]]/60</f>
        <v>4.2</v>
      </c>
    </row>
    <row r="9" spans="1:10" x14ac:dyDescent="0.35">
      <c r="A9" s="3" t="s">
        <v>25</v>
      </c>
      <c r="B9" t="s">
        <v>382</v>
      </c>
      <c r="C9" t="s">
        <v>47</v>
      </c>
      <c r="D9">
        <v>36</v>
      </c>
      <c r="E9" t="s">
        <v>31</v>
      </c>
      <c r="F9">
        <v>247</v>
      </c>
      <c r="G9">
        <v>24.53</v>
      </c>
      <c r="H9">
        <v>2</v>
      </c>
      <c r="I9" s="3">
        <f>CLIENTS_CHURN[[#This Row],[Anciennete_Mois]]/12</f>
        <v>3</v>
      </c>
      <c r="J9" s="3">
        <f>CLIENTS_CHURN[[#This Row],[Duree_Cumulee_Panne_Min]]/60</f>
        <v>4.1166666666666663</v>
      </c>
    </row>
    <row r="10" spans="1:10" x14ac:dyDescent="0.35">
      <c r="A10" s="3" t="s">
        <v>69</v>
      </c>
      <c r="B10" t="s">
        <v>290</v>
      </c>
      <c r="C10" t="s">
        <v>47</v>
      </c>
      <c r="D10">
        <v>88</v>
      </c>
      <c r="E10" t="s">
        <v>17</v>
      </c>
      <c r="F10">
        <v>319</v>
      </c>
      <c r="G10">
        <v>56.18</v>
      </c>
      <c r="H10">
        <v>0</v>
      </c>
      <c r="I10" s="3">
        <f>CLIENTS_CHURN[[#This Row],[Anciennete_Mois]]/12</f>
        <v>7.333333333333333</v>
      </c>
      <c r="J10" s="3">
        <f>CLIENTS_CHURN[[#This Row],[Duree_Cumulee_Panne_Min]]/60</f>
        <v>5.3166666666666664</v>
      </c>
    </row>
    <row r="11" spans="1:10" x14ac:dyDescent="0.35">
      <c r="A11" s="3" t="s">
        <v>69</v>
      </c>
      <c r="B11" t="s">
        <v>405</v>
      </c>
      <c r="C11" t="s">
        <v>47</v>
      </c>
      <c r="D11">
        <v>88</v>
      </c>
      <c r="E11" t="s">
        <v>13</v>
      </c>
      <c r="F11">
        <v>232</v>
      </c>
      <c r="G11">
        <v>40.94</v>
      </c>
      <c r="H11">
        <v>2</v>
      </c>
      <c r="I11" s="3">
        <f>CLIENTS_CHURN[[#This Row],[Anciennete_Mois]]/12</f>
        <v>7.333333333333333</v>
      </c>
      <c r="J11" s="3">
        <f>CLIENTS_CHURN[[#This Row],[Duree_Cumulee_Panne_Min]]/60</f>
        <v>3.8666666666666667</v>
      </c>
    </row>
    <row r="12" spans="1:10" x14ac:dyDescent="0.35">
      <c r="A12" s="3" t="s">
        <v>69</v>
      </c>
      <c r="B12" t="s">
        <v>1464</v>
      </c>
      <c r="C12" t="s">
        <v>47</v>
      </c>
      <c r="D12">
        <v>1</v>
      </c>
      <c r="E12" t="s">
        <v>31</v>
      </c>
      <c r="F12">
        <v>237</v>
      </c>
      <c r="G12">
        <v>58.7</v>
      </c>
      <c r="H12">
        <v>4</v>
      </c>
      <c r="I12" s="3">
        <f>CLIENTS_CHURN[[#This Row],[Anciennete_Mois]]/12</f>
        <v>8.3333333333333329E-2</v>
      </c>
      <c r="J12" s="3">
        <f>CLIENTS_CHURN[[#This Row],[Duree_Cumulee_Panne_Min]]/60</f>
        <v>3.95</v>
      </c>
    </row>
    <row r="13" spans="1:10" x14ac:dyDescent="0.35">
      <c r="A13" s="3" t="s">
        <v>39</v>
      </c>
      <c r="B13" t="s">
        <v>421</v>
      </c>
      <c r="C13" t="s">
        <v>47</v>
      </c>
      <c r="D13">
        <v>40</v>
      </c>
      <c r="E13" t="s">
        <v>17</v>
      </c>
      <c r="F13">
        <v>219</v>
      </c>
      <c r="G13">
        <v>53.98</v>
      </c>
      <c r="H13">
        <v>2</v>
      </c>
      <c r="I13" s="3">
        <f>CLIENTS_CHURN[[#This Row],[Anciennete_Mois]]/12</f>
        <v>3.3333333333333335</v>
      </c>
      <c r="J13" s="3">
        <f>CLIENTS_CHURN[[#This Row],[Duree_Cumulee_Panne_Min]]/60</f>
        <v>3.65</v>
      </c>
    </row>
    <row r="14" spans="1:10" x14ac:dyDescent="0.35">
      <c r="A14" s="3" t="s">
        <v>39</v>
      </c>
      <c r="B14" t="s">
        <v>571</v>
      </c>
      <c r="C14" t="s">
        <v>47</v>
      </c>
      <c r="D14">
        <v>21</v>
      </c>
      <c r="E14" t="s">
        <v>17</v>
      </c>
      <c r="F14">
        <v>107</v>
      </c>
      <c r="G14">
        <v>30.97</v>
      </c>
      <c r="H14">
        <v>4</v>
      </c>
      <c r="I14" s="3">
        <f>CLIENTS_CHURN[[#This Row],[Anciennete_Mois]]/12</f>
        <v>1.75</v>
      </c>
      <c r="J14" s="3">
        <f>CLIENTS_CHURN[[#This Row],[Duree_Cumulee_Panne_Min]]/60</f>
        <v>1.7833333333333334</v>
      </c>
    </row>
    <row r="15" spans="1:10" x14ac:dyDescent="0.35">
      <c r="A15" s="3" t="s">
        <v>32</v>
      </c>
      <c r="B15" t="s">
        <v>227</v>
      </c>
      <c r="C15" t="s">
        <v>47</v>
      </c>
      <c r="D15">
        <v>71</v>
      </c>
      <c r="E15" t="s">
        <v>31</v>
      </c>
      <c r="F15">
        <v>364</v>
      </c>
      <c r="G15">
        <v>39.58</v>
      </c>
      <c r="H15">
        <v>1</v>
      </c>
      <c r="I15" s="3">
        <f>CLIENTS_CHURN[[#This Row],[Anciennete_Mois]]/12</f>
        <v>5.916666666666667</v>
      </c>
      <c r="J15" s="3">
        <f>CLIENTS_CHURN[[#This Row],[Duree_Cumulee_Panne_Min]]/60</f>
        <v>6.0666666666666664</v>
      </c>
    </row>
    <row r="16" spans="1:10" x14ac:dyDescent="0.35">
      <c r="A16" s="3" t="s">
        <v>35</v>
      </c>
      <c r="B16" t="s">
        <v>254</v>
      </c>
      <c r="C16" t="s">
        <v>47</v>
      </c>
      <c r="D16">
        <v>119</v>
      </c>
      <c r="E16" t="s">
        <v>20</v>
      </c>
      <c r="F16">
        <v>344</v>
      </c>
      <c r="G16">
        <v>10.28</v>
      </c>
      <c r="H16">
        <v>0</v>
      </c>
      <c r="I16" s="3">
        <f>CLIENTS_CHURN[[#This Row],[Anciennete_Mois]]/12</f>
        <v>9.9166666666666661</v>
      </c>
      <c r="J16" s="3">
        <f>CLIENTS_CHURN[[#This Row],[Duree_Cumulee_Panne_Min]]/60</f>
        <v>5.7333333333333334</v>
      </c>
    </row>
    <row r="17" spans="1:10" x14ac:dyDescent="0.35">
      <c r="A17" s="3" t="s">
        <v>35</v>
      </c>
      <c r="B17" t="s">
        <v>1477</v>
      </c>
      <c r="C17" t="s">
        <v>47</v>
      </c>
      <c r="D17">
        <v>-53</v>
      </c>
      <c r="E17" t="s">
        <v>31</v>
      </c>
      <c r="F17">
        <v>414</v>
      </c>
      <c r="G17">
        <v>64.39</v>
      </c>
      <c r="H17">
        <v>1</v>
      </c>
      <c r="I17" s="3">
        <f>CLIENTS_CHURN[[#This Row],[Anciennete_Mois]]/12</f>
        <v>-4.416666666666667</v>
      </c>
      <c r="J17" s="3">
        <f>CLIENTS_CHURN[[#This Row],[Duree_Cumulee_Panne_Min]]/60</f>
        <v>6.9</v>
      </c>
    </row>
    <row r="18" spans="1:10" x14ac:dyDescent="0.35">
      <c r="A18" s="3" t="s">
        <v>35</v>
      </c>
      <c r="B18" t="s">
        <v>705</v>
      </c>
      <c r="C18" t="s">
        <v>47</v>
      </c>
      <c r="D18">
        <v>48</v>
      </c>
      <c r="E18" t="s">
        <v>17</v>
      </c>
      <c r="F18">
        <v>15</v>
      </c>
      <c r="G18">
        <v>50.67</v>
      </c>
      <c r="H18">
        <v>1</v>
      </c>
      <c r="I18" s="3">
        <f>CLIENTS_CHURN[[#This Row],[Anciennete_Mois]]/12</f>
        <v>4</v>
      </c>
      <c r="J18" s="3">
        <f>CLIENTS_CHURN[[#This Row],[Duree_Cumulee_Panne_Min]]/60</f>
        <v>0.25</v>
      </c>
    </row>
    <row r="19" spans="1:10" x14ac:dyDescent="0.35">
      <c r="A19" s="3" t="s">
        <v>35</v>
      </c>
      <c r="B19" t="s">
        <v>325</v>
      </c>
      <c r="C19" t="s">
        <v>47</v>
      </c>
      <c r="D19">
        <v>81</v>
      </c>
      <c r="E19" t="s">
        <v>20</v>
      </c>
      <c r="F19">
        <v>298</v>
      </c>
      <c r="G19">
        <v>53.61</v>
      </c>
      <c r="H19">
        <v>2</v>
      </c>
      <c r="I19" s="3">
        <f>CLIENTS_CHURN[[#This Row],[Anciennete_Mois]]/12</f>
        <v>6.75</v>
      </c>
      <c r="J19" s="3">
        <f>CLIENTS_CHURN[[#This Row],[Duree_Cumulee_Panne_Min]]/60</f>
        <v>4.9666666666666668</v>
      </c>
    </row>
    <row r="20" spans="1:10" x14ac:dyDescent="0.35">
      <c r="A20" s="3" t="s">
        <v>14</v>
      </c>
      <c r="B20" t="s">
        <v>422</v>
      </c>
      <c r="C20" t="s">
        <v>47</v>
      </c>
      <c r="D20">
        <v>25</v>
      </c>
      <c r="E20" t="s">
        <v>20</v>
      </c>
      <c r="F20">
        <v>218</v>
      </c>
      <c r="G20">
        <v>68.790000000000006</v>
      </c>
      <c r="H20">
        <v>0</v>
      </c>
      <c r="I20" s="3">
        <f>CLIENTS_CHURN[[#This Row],[Anciennete_Mois]]/12</f>
        <v>2.0833333333333335</v>
      </c>
      <c r="J20" s="3">
        <f>CLIENTS_CHURN[[#This Row],[Duree_Cumulee_Panne_Min]]/60</f>
        <v>3.6333333333333333</v>
      </c>
    </row>
    <row r="21" spans="1:10" x14ac:dyDescent="0.35">
      <c r="A21" s="3" t="s">
        <v>61</v>
      </c>
      <c r="B21" t="s">
        <v>1491</v>
      </c>
      <c r="C21" t="s">
        <v>47</v>
      </c>
      <c r="D21">
        <v>95</v>
      </c>
      <c r="E21" t="s">
        <v>20</v>
      </c>
      <c r="F21">
        <v>127</v>
      </c>
      <c r="G21">
        <v>94.9</v>
      </c>
      <c r="H21">
        <v>4</v>
      </c>
      <c r="I21" s="3">
        <f>CLIENTS_CHURN[[#This Row],[Anciennete_Mois]]/12</f>
        <v>7.916666666666667</v>
      </c>
      <c r="J21" s="3">
        <f>CLIENTS_CHURN[[#This Row],[Duree_Cumulee_Panne_Min]]/60</f>
        <v>2.1166666666666667</v>
      </c>
    </row>
    <row r="22" spans="1:10" x14ac:dyDescent="0.35">
      <c r="A22" s="3" t="s">
        <v>61</v>
      </c>
      <c r="B22" t="s">
        <v>236</v>
      </c>
      <c r="C22" t="s">
        <v>47</v>
      </c>
      <c r="D22">
        <v>45</v>
      </c>
      <c r="E22" t="s">
        <v>17</v>
      </c>
      <c r="F22">
        <v>356</v>
      </c>
      <c r="G22">
        <v>33.76</v>
      </c>
      <c r="H22">
        <v>0</v>
      </c>
      <c r="I22" s="3">
        <f>CLIENTS_CHURN[[#This Row],[Anciennete_Mois]]/12</f>
        <v>3.75</v>
      </c>
      <c r="J22" s="3">
        <f>CLIENTS_CHURN[[#This Row],[Duree_Cumulee_Panne_Min]]/60</f>
        <v>5.9333333333333336</v>
      </c>
    </row>
    <row r="23" spans="1:10" x14ac:dyDescent="0.35">
      <c r="A23" s="3" t="s">
        <v>51</v>
      </c>
      <c r="B23" t="s">
        <v>186</v>
      </c>
      <c r="C23" t="s">
        <v>47</v>
      </c>
      <c r="D23">
        <v>120</v>
      </c>
      <c r="E23" t="s">
        <v>13</v>
      </c>
      <c r="F23">
        <v>391</v>
      </c>
      <c r="G23">
        <v>67.77</v>
      </c>
      <c r="H23">
        <v>4</v>
      </c>
      <c r="I23" s="3">
        <f>CLIENTS_CHURN[[#This Row],[Anciennete_Mois]]/12</f>
        <v>10</v>
      </c>
      <c r="J23" s="3">
        <f>CLIENTS_CHURN[[#This Row],[Duree_Cumulee_Panne_Min]]/60</f>
        <v>6.5166666666666666</v>
      </c>
    </row>
    <row r="24" spans="1:10" x14ac:dyDescent="0.35">
      <c r="A24" s="3" t="s">
        <v>28</v>
      </c>
      <c r="B24" t="s">
        <v>99</v>
      </c>
      <c r="C24" t="s">
        <v>47</v>
      </c>
      <c r="D24">
        <v>118</v>
      </c>
      <c r="E24" t="s">
        <v>31</v>
      </c>
      <c r="F24">
        <v>461</v>
      </c>
      <c r="G24">
        <v>47.82</v>
      </c>
      <c r="H24">
        <v>5</v>
      </c>
      <c r="I24" s="3">
        <f>CLIENTS_CHURN[[#This Row],[Anciennete_Mois]]/12</f>
        <v>9.8333333333333339</v>
      </c>
      <c r="J24" s="3">
        <f>CLIENTS_CHURN[[#This Row],[Duree_Cumulee_Panne_Min]]/60</f>
        <v>7.6833333333333336</v>
      </c>
    </row>
    <row r="25" spans="1:10" x14ac:dyDescent="0.35">
      <c r="A25" s="3" t="s">
        <v>28</v>
      </c>
      <c r="B25" t="s">
        <v>1508</v>
      </c>
      <c r="C25" t="s">
        <v>47</v>
      </c>
      <c r="D25">
        <v>88</v>
      </c>
      <c r="E25" t="s">
        <v>31</v>
      </c>
      <c r="F25">
        <v>246</v>
      </c>
      <c r="G25">
        <v>90.7</v>
      </c>
      <c r="H25">
        <v>3</v>
      </c>
      <c r="I25" s="3">
        <f>CLIENTS_CHURN[[#This Row],[Anciennete_Mois]]/12</f>
        <v>7.333333333333333</v>
      </c>
      <c r="J25" s="3">
        <f>CLIENTS_CHURN[[#This Row],[Duree_Cumulee_Panne_Min]]/60</f>
        <v>4.0999999999999996</v>
      </c>
    </row>
    <row r="26" spans="1:10" x14ac:dyDescent="0.35">
      <c r="A26" s="3" t="s">
        <v>10</v>
      </c>
      <c r="B26" t="s">
        <v>303</v>
      </c>
      <c r="C26" t="s">
        <v>47</v>
      </c>
      <c r="D26">
        <v>103</v>
      </c>
      <c r="E26" t="s">
        <v>13</v>
      </c>
      <c r="F26">
        <v>310</v>
      </c>
      <c r="G26">
        <v>49.25</v>
      </c>
      <c r="H26">
        <v>2</v>
      </c>
      <c r="I26" s="3">
        <f>CLIENTS_CHURN[[#This Row],[Anciennete_Mois]]/12</f>
        <v>8.5833333333333339</v>
      </c>
      <c r="J26" s="3">
        <f>CLIENTS_CHURN[[#This Row],[Duree_Cumulee_Panne_Min]]/60</f>
        <v>5.166666666666667</v>
      </c>
    </row>
    <row r="27" spans="1:10" x14ac:dyDescent="0.35">
      <c r="A27" s="3" t="s">
        <v>74</v>
      </c>
      <c r="B27" t="s">
        <v>530</v>
      </c>
      <c r="C27" t="s">
        <v>47</v>
      </c>
      <c r="D27">
        <v>1</v>
      </c>
      <c r="E27" t="s">
        <v>31</v>
      </c>
      <c r="F27">
        <v>135</v>
      </c>
      <c r="G27">
        <v>89.16</v>
      </c>
      <c r="H27">
        <v>3</v>
      </c>
      <c r="I27" s="3">
        <f>CLIENTS_CHURN[[#This Row],[Anciennete_Mois]]/12</f>
        <v>8.3333333333333329E-2</v>
      </c>
      <c r="J27" s="3">
        <f>CLIENTS_CHURN[[#This Row],[Duree_Cumulee_Panne_Min]]/60</f>
        <v>2.25</v>
      </c>
    </row>
    <row r="28" spans="1:10" x14ac:dyDescent="0.35">
      <c r="A28" s="3" t="s">
        <v>74</v>
      </c>
      <c r="B28" t="s">
        <v>414</v>
      </c>
      <c r="C28" t="s">
        <v>47</v>
      </c>
      <c r="D28">
        <v>89</v>
      </c>
      <c r="E28" t="s">
        <v>20</v>
      </c>
      <c r="F28">
        <v>225</v>
      </c>
      <c r="G28">
        <v>38.36</v>
      </c>
      <c r="H28">
        <v>2</v>
      </c>
      <c r="I28" s="3">
        <f>CLIENTS_CHURN[[#This Row],[Anciennete_Mois]]/12</f>
        <v>7.416666666666667</v>
      </c>
      <c r="J28" s="3">
        <f>CLIENTS_CHURN[[#This Row],[Duree_Cumulee_Panne_Min]]/60</f>
        <v>3.75</v>
      </c>
    </row>
    <row r="29" spans="1:10" x14ac:dyDescent="0.35">
      <c r="A29" s="3" t="s">
        <v>74</v>
      </c>
      <c r="B29" t="s">
        <v>215</v>
      </c>
      <c r="C29" t="s">
        <v>47</v>
      </c>
      <c r="D29">
        <v>22</v>
      </c>
      <c r="E29" t="s">
        <v>20</v>
      </c>
      <c r="F29">
        <v>374</v>
      </c>
      <c r="G29">
        <v>40.06</v>
      </c>
      <c r="H29">
        <v>5</v>
      </c>
      <c r="I29" s="3">
        <f>CLIENTS_CHURN[[#This Row],[Anciennete_Mois]]/12</f>
        <v>1.8333333333333333</v>
      </c>
      <c r="J29" s="3">
        <f>CLIENTS_CHURN[[#This Row],[Duree_Cumulee_Panne_Min]]/60</f>
        <v>6.2333333333333334</v>
      </c>
    </row>
    <row r="30" spans="1:10" x14ac:dyDescent="0.35">
      <c r="A30" s="3" t="s">
        <v>100</v>
      </c>
      <c r="B30" t="s">
        <v>324</v>
      </c>
      <c r="C30" t="s">
        <v>47</v>
      </c>
      <c r="D30">
        <v>35</v>
      </c>
      <c r="E30" t="s">
        <v>20</v>
      </c>
      <c r="F30">
        <v>299</v>
      </c>
      <c r="G30">
        <v>96.32</v>
      </c>
      <c r="H30">
        <v>4</v>
      </c>
      <c r="I30" s="3">
        <f>CLIENTS_CHURN[[#This Row],[Anciennete_Mois]]/12</f>
        <v>2.9166666666666665</v>
      </c>
      <c r="J30" s="3">
        <f>CLIENTS_CHURN[[#This Row],[Duree_Cumulee_Panne_Min]]/60</f>
        <v>4.9833333333333334</v>
      </c>
    </row>
    <row r="31" spans="1:10" x14ac:dyDescent="0.35">
      <c r="A31" s="3" t="s">
        <v>45</v>
      </c>
      <c r="B31" t="s">
        <v>307</v>
      </c>
      <c r="C31" t="s">
        <v>47</v>
      </c>
      <c r="D31">
        <v>29</v>
      </c>
      <c r="E31" t="s">
        <v>31</v>
      </c>
      <c r="F31">
        <v>306</v>
      </c>
      <c r="G31">
        <v>82.16</v>
      </c>
      <c r="H31">
        <v>1</v>
      </c>
      <c r="I31" s="3">
        <f>CLIENTS_CHURN[[#This Row],[Anciennete_Mois]]/12</f>
        <v>2.4166666666666665</v>
      </c>
      <c r="J31" s="3">
        <f>CLIENTS_CHURN[[#This Row],[Duree_Cumulee_Panne_Min]]/60</f>
        <v>5.0999999999999996</v>
      </c>
    </row>
    <row r="32" spans="1:10" x14ac:dyDescent="0.35">
      <c r="A32" s="3" t="s">
        <v>45</v>
      </c>
      <c r="B32" t="s">
        <v>185</v>
      </c>
      <c r="C32" t="s">
        <v>47</v>
      </c>
      <c r="D32">
        <v>33</v>
      </c>
      <c r="E32" t="s">
        <v>20</v>
      </c>
      <c r="F32">
        <v>391</v>
      </c>
      <c r="G32">
        <v>88.88</v>
      </c>
      <c r="H32">
        <v>4</v>
      </c>
      <c r="I32" s="3">
        <f>CLIENTS_CHURN[[#This Row],[Anciennete_Mois]]/12</f>
        <v>2.75</v>
      </c>
      <c r="J32" s="3">
        <f>CLIENTS_CHURN[[#This Row],[Duree_Cumulee_Panne_Min]]/60</f>
        <v>6.5166666666666666</v>
      </c>
    </row>
    <row r="33" spans="1:10" x14ac:dyDescent="0.35">
      <c r="A33" s="3" t="s">
        <v>45</v>
      </c>
      <c r="B33" t="s">
        <v>489</v>
      </c>
      <c r="C33" t="s">
        <v>47</v>
      </c>
      <c r="D33">
        <v>8</v>
      </c>
      <c r="E33" t="s">
        <v>31</v>
      </c>
      <c r="F33">
        <v>171</v>
      </c>
      <c r="G33">
        <v>52.98</v>
      </c>
      <c r="H33">
        <v>0</v>
      </c>
      <c r="I33" s="3">
        <f>CLIENTS_CHURN[[#This Row],[Anciennete_Mois]]/12</f>
        <v>0.66666666666666663</v>
      </c>
      <c r="J33" s="3">
        <f>CLIENTS_CHURN[[#This Row],[Duree_Cumulee_Panne_Min]]/60</f>
        <v>2.85</v>
      </c>
    </row>
    <row r="34" spans="1:10" x14ac:dyDescent="0.35">
      <c r="A34" s="3" t="s">
        <v>45</v>
      </c>
      <c r="B34" t="s">
        <v>46</v>
      </c>
      <c r="C34" t="s">
        <v>47</v>
      </c>
      <c r="D34">
        <v>87</v>
      </c>
      <c r="E34" t="s">
        <v>20</v>
      </c>
      <c r="F34">
        <v>486</v>
      </c>
      <c r="G34">
        <v>58.26</v>
      </c>
      <c r="H34">
        <v>0</v>
      </c>
      <c r="I34" s="3">
        <f>CLIENTS_CHURN[[#This Row],[Anciennete_Mois]]/12</f>
        <v>7.25</v>
      </c>
      <c r="J34" s="3">
        <f>CLIENTS_CHURN[[#This Row],[Duree_Cumulee_Panne_Min]]/60</f>
        <v>8.1</v>
      </c>
    </row>
    <row r="35" spans="1:10" x14ac:dyDescent="0.35">
      <c r="A35" s="3" t="s">
        <v>85</v>
      </c>
      <c r="B35" t="s">
        <v>297</v>
      </c>
      <c r="C35" t="s">
        <v>84</v>
      </c>
      <c r="D35">
        <v>14</v>
      </c>
      <c r="E35" t="s">
        <v>20</v>
      </c>
      <c r="F35">
        <v>316</v>
      </c>
      <c r="G35">
        <v>62.34</v>
      </c>
      <c r="H35">
        <v>4</v>
      </c>
      <c r="I35" s="3">
        <f>CLIENTS_CHURN[[#This Row],[Anciennete_Mois]]/12</f>
        <v>1.1666666666666667</v>
      </c>
      <c r="J35" s="3">
        <f>CLIENTS_CHURN[[#This Row],[Duree_Cumulee_Panne_Min]]/60</f>
        <v>5.2666666666666666</v>
      </c>
    </row>
    <row r="36" spans="1:10" x14ac:dyDescent="0.35">
      <c r="A36" s="3" t="s">
        <v>85</v>
      </c>
      <c r="B36" t="s">
        <v>217</v>
      </c>
      <c r="C36" t="s">
        <v>84</v>
      </c>
      <c r="D36">
        <v>21</v>
      </c>
      <c r="E36" t="s">
        <v>13</v>
      </c>
      <c r="F36">
        <v>371</v>
      </c>
      <c r="G36">
        <v>48.31</v>
      </c>
      <c r="H36">
        <v>0</v>
      </c>
      <c r="I36" s="3">
        <f>CLIENTS_CHURN[[#This Row],[Anciennete_Mois]]/12</f>
        <v>1.75</v>
      </c>
      <c r="J36" s="3">
        <f>CLIENTS_CHURN[[#This Row],[Duree_Cumulee_Panne_Min]]/60</f>
        <v>6.1833333333333336</v>
      </c>
    </row>
    <row r="37" spans="1:10" x14ac:dyDescent="0.35">
      <c r="A37" s="3" t="s">
        <v>25</v>
      </c>
      <c r="B37" t="s">
        <v>285</v>
      </c>
      <c r="C37" t="s">
        <v>84</v>
      </c>
      <c r="D37">
        <v>111</v>
      </c>
      <c r="E37" t="s">
        <v>17</v>
      </c>
      <c r="F37">
        <v>324</v>
      </c>
      <c r="G37">
        <v>18.07</v>
      </c>
      <c r="H37">
        <v>2</v>
      </c>
      <c r="I37" s="3">
        <f>CLIENTS_CHURN[[#This Row],[Anciennete_Mois]]/12</f>
        <v>9.25</v>
      </c>
      <c r="J37" s="3">
        <f>CLIENTS_CHURN[[#This Row],[Duree_Cumulee_Panne_Min]]/60</f>
        <v>5.4</v>
      </c>
    </row>
    <row r="38" spans="1:10" x14ac:dyDescent="0.35">
      <c r="A38" s="3" t="s">
        <v>69</v>
      </c>
      <c r="B38" t="s">
        <v>493</v>
      </c>
      <c r="C38" t="s">
        <v>84</v>
      </c>
      <c r="D38">
        <v>60</v>
      </c>
      <c r="E38" t="s">
        <v>31</v>
      </c>
      <c r="F38">
        <v>168</v>
      </c>
      <c r="G38">
        <v>67.650000000000006</v>
      </c>
      <c r="H38">
        <v>1</v>
      </c>
      <c r="I38" s="3">
        <f>CLIENTS_CHURN[[#This Row],[Anciennete_Mois]]/12</f>
        <v>5</v>
      </c>
      <c r="J38" s="3">
        <f>CLIENTS_CHURN[[#This Row],[Duree_Cumulee_Panne_Min]]/60</f>
        <v>2.8</v>
      </c>
    </row>
    <row r="39" spans="1:10" x14ac:dyDescent="0.35">
      <c r="A39" s="3" t="s">
        <v>39</v>
      </c>
      <c r="B39" t="s">
        <v>176</v>
      </c>
      <c r="C39" t="s">
        <v>84</v>
      </c>
      <c r="D39">
        <v>102</v>
      </c>
      <c r="E39" t="s">
        <v>13</v>
      </c>
      <c r="F39">
        <v>402</v>
      </c>
      <c r="G39">
        <v>28.38</v>
      </c>
      <c r="H39">
        <v>5</v>
      </c>
      <c r="I39" s="3">
        <f>CLIENTS_CHURN[[#This Row],[Anciennete_Mois]]/12</f>
        <v>8.5</v>
      </c>
      <c r="J39" s="3">
        <f>CLIENTS_CHURN[[#This Row],[Duree_Cumulee_Panne_Min]]/60</f>
        <v>6.7</v>
      </c>
    </row>
    <row r="40" spans="1:10" x14ac:dyDescent="0.35">
      <c r="A40" s="3" t="s">
        <v>39</v>
      </c>
      <c r="B40" t="s">
        <v>190</v>
      </c>
      <c r="C40" t="s">
        <v>84</v>
      </c>
      <c r="D40">
        <v>42</v>
      </c>
      <c r="E40" t="s">
        <v>20</v>
      </c>
      <c r="F40">
        <v>389</v>
      </c>
      <c r="G40">
        <v>80.08</v>
      </c>
      <c r="H40">
        <v>1</v>
      </c>
      <c r="I40" s="3">
        <f>CLIENTS_CHURN[[#This Row],[Anciennete_Mois]]/12</f>
        <v>3.5</v>
      </c>
      <c r="J40" s="3">
        <f>CLIENTS_CHURN[[#This Row],[Duree_Cumulee_Panne_Min]]/60</f>
        <v>6.4833333333333334</v>
      </c>
    </row>
    <row r="41" spans="1:10" x14ac:dyDescent="0.35">
      <c r="A41" s="3" t="s">
        <v>32</v>
      </c>
      <c r="B41" t="s">
        <v>1471</v>
      </c>
      <c r="C41" t="s">
        <v>84</v>
      </c>
      <c r="D41">
        <v>42</v>
      </c>
      <c r="E41" t="s">
        <v>17</v>
      </c>
      <c r="F41">
        <v>453</v>
      </c>
      <c r="G41">
        <v>36.700000000000003</v>
      </c>
      <c r="H41">
        <v>4</v>
      </c>
      <c r="I41" s="3">
        <f>CLIENTS_CHURN[[#This Row],[Anciennete_Mois]]/12</f>
        <v>3.5</v>
      </c>
      <c r="J41" s="3">
        <f>CLIENTS_CHURN[[#This Row],[Duree_Cumulee_Panne_Min]]/60</f>
        <v>7.55</v>
      </c>
    </row>
    <row r="42" spans="1:10" x14ac:dyDescent="0.35">
      <c r="A42" s="3" t="s">
        <v>32</v>
      </c>
      <c r="B42" t="s">
        <v>83</v>
      </c>
      <c r="C42" t="s">
        <v>84</v>
      </c>
      <c r="D42">
        <v>92</v>
      </c>
      <c r="E42" t="s">
        <v>31</v>
      </c>
      <c r="F42">
        <v>472</v>
      </c>
      <c r="G42">
        <v>78.44</v>
      </c>
      <c r="H42">
        <v>1</v>
      </c>
      <c r="I42" s="3">
        <f>CLIENTS_CHURN[[#This Row],[Anciennete_Mois]]/12</f>
        <v>7.666666666666667</v>
      </c>
      <c r="J42" s="3">
        <f>CLIENTS_CHURN[[#This Row],[Duree_Cumulee_Panne_Min]]/60</f>
        <v>7.8666666666666663</v>
      </c>
    </row>
    <row r="43" spans="1:10" x14ac:dyDescent="0.35">
      <c r="A43" s="3" t="s">
        <v>35</v>
      </c>
      <c r="B43" t="s">
        <v>89</v>
      </c>
      <c r="C43" t="s">
        <v>84</v>
      </c>
      <c r="D43">
        <v>25</v>
      </c>
      <c r="E43" t="s">
        <v>13</v>
      </c>
      <c r="F43">
        <v>467</v>
      </c>
      <c r="G43">
        <v>97.78</v>
      </c>
      <c r="H43">
        <v>3</v>
      </c>
      <c r="I43" s="3">
        <f>CLIENTS_CHURN[[#This Row],[Anciennete_Mois]]/12</f>
        <v>2.0833333333333335</v>
      </c>
      <c r="J43" s="3">
        <f>CLIENTS_CHURN[[#This Row],[Duree_Cumulee_Panne_Min]]/60</f>
        <v>7.7833333333333332</v>
      </c>
    </row>
    <row r="44" spans="1:10" x14ac:dyDescent="0.35">
      <c r="A44" s="3" t="s">
        <v>35</v>
      </c>
      <c r="B44" t="s">
        <v>676</v>
      </c>
      <c r="C44" t="s">
        <v>84</v>
      </c>
      <c r="D44">
        <v>82</v>
      </c>
      <c r="E44" t="s">
        <v>13</v>
      </c>
      <c r="F44">
        <v>32</v>
      </c>
      <c r="G44">
        <v>77.63</v>
      </c>
      <c r="H44">
        <v>1</v>
      </c>
      <c r="I44" s="3">
        <f>CLIENTS_CHURN[[#This Row],[Anciennete_Mois]]/12</f>
        <v>6.833333333333333</v>
      </c>
      <c r="J44" s="3">
        <f>CLIENTS_CHURN[[#This Row],[Duree_Cumulee_Panne_Min]]/60</f>
        <v>0.53333333333333333</v>
      </c>
    </row>
    <row r="45" spans="1:10" x14ac:dyDescent="0.35">
      <c r="A45" s="3" t="s">
        <v>35</v>
      </c>
      <c r="B45" t="s">
        <v>643</v>
      </c>
      <c r="C45" t="s">
        <v>84</v>
      </c>
      <c r="D45">
        <v>56</v>
      </c>
      <c r="E45" t="s">
        <v>20</v>
      </c>
      <c r="F45">
        <v>55</v>
      </c>
      <c r="G45">
        <v>82.56</v>
      </c>
      <c r="H45">
        <v>2</v>
      </c>
      <c r="I45" s="3">
        <f>CLIENTS_CHURN[[#This Row],[Anciennete_Mois]]/12</f>
        <v>4.666666666666667</v>
      </c>
      <c r="J45" s="3">
        <f>CLIENTS_CHURN[[#This Row],[Duree_Cumulee_Panne_Min]]/60</f>
        <v>0.91666666666666663</v>
      </c>
    </row>
    <row r="46" spans="1:10" x14ac:dyDescent="0.35">
      <c r="A46" s="3" t="s">
        <v>14</v>
      </c>
      <c r="B46" t="s">
        <v>288</v>
      </c>
      <c r="C46" t="s">
        <v>84</v>
      </c>
      <c r="D46">
        <v>110</v>
      </c>
      <c r="E46" t="s">
        <v>13</v>
      </c>
      <c r="F46">
        <v>321</v>
      </c>
      <c r="G46">
        <v>81.569999999999993</v>
      </c>
      <c r="H46">
        <v>2</v>
      </c>
      <c r="I46" s="3">
        <f>CLIENTS_CHURN[[#This Row],[Anciennete_Mois]]/12</f>
        <v>9.1666666666666661</v>
      </c>
      <c r="J46" s="3">
        <f>CLIENTS_CHURN[[#This Row],[Duree_Cumulee_Panne_Min]]/60</f>
        <v>5.35</v>
      </c>
    </row>
    <row r="47" spans="1:10" x14ac:dyDescent="0.35">
      <c r="A47" s="3" t="s">
        <v>21</v>
      </c>
      <c r="B47" t="s">
        <v>141</v>
      </c>
      <c r="C47" t="s">
        <v>84</v>
      </c>
      <c r="D47">
        <v>50</v>
      </c>
      <c r="E47" t="s">
        <v>31</v>
      </c>
      <c r="F47">
        <v>435</v>
      </c>
      <c r="G47">
        <v>27.86</v>
      </c>
      <c r="H47">
        <v>3</v>
      </c>
      <c r="I47" s="3">
        <f>CLIENTS_CHURN[[#This Row],[Anciennete_Mois]]/12</f>
        <v>4.166666666666667</v>
      </c>
      <c r="J47" s="3">
        <f>CLIENTS_CHURN[[#This Row],[Duree_Cumulee_Panne_Min]]/60</f>
        <v>7.25</v>
      </c>
    </row>
    <row r="48" spans="1:10" x14ac:dyDescent="0.35">
      <c r="A48" s="3" t="s">
        <v>21</v>
      </c>
      <c r="B48" t="s">
        <v>1485</v>
      </c>
      <c r="C48" t="s">
        <v>84</v>
      </c>
      <c r="D48">
        <v>13</v>
      </c>
      <c r="E48" t="s">
        <v>17</v>
      </c>
      <c r="F48">
        <v>310</v>
      </c>
      <c r="G48">
        <v>65.599999999999994</v>
      </c>
      <c r="H48">
        <v>5</v>
      </c>
      <c r="I48" s="3">
        <f>CLIENTS_CHURN[[#This Row],[Anciennete_Mois]]/12</f>
        <v>1.0833333333333333</v>
      </c>
      <c r="J48" s="3">
        <f>CLIENTS_CHURN[[#This Row],[Duree_Cumulee_Panne_Min]]/60</f>
        <v>5.166666666666667</v>
      </c>
    </row>
    <row r="49" spans="1:10" x14ac:dyDescent="0.35">
      <c r="A49" s="3" t="s">
        <v>21</v>
      </c>
      <c r="B49" t="s">
        <v>540</v>
      </c>
      <c r="C49" t="s">
        <v>84</v>
      </c>
      <c r="D49">
        <v>22</v>
      </c>
      <c r="E49" t="s">
        <v>20</v>
      </c>
      <c r="F49">
        <v>127</v>
      </c>
      <c r="G49">
        <v>49.06</v>
      </c>
      <c r="H49">
        <v>2</v>
      </c>
      <c r="I49" s="3">
        <f>CLIENTS_CHURN[[#This Row],[Anciennete_Mois]]/12</f>
        <v>1.8333333333333333</v>
      </c>
      <c r="J49" s="3">
        <f>CLIENTS_CHURN[[#This Row],[Duree_Cumulee_Panne_Min]]/60</f>
        <v>2.1166666666666667</v>
      </c>
    </row>
    <row r="50" spans="1:10" x14ac:dyDescent="0.35">
      <c r="A50" s="3" t="s">
        <v>51</v>
      </c>
      <c r="B50" t="s">
        <v>456</v>
      </c>
      <c r="C50" t="s">
        <v>84</v>
      </c>
      <c r="D50">
        <v>43</v>
      </c>
      <c r="E50" t="s">
        <v>13</v>
      </c>
      <c r="F50">
        <v>193</v>
      </c>
      <c r="G50">
        <v>35.81</v>
      </c>
      <c r="H50">
        <v>0</v>
      </c>
      <c r="I50" s="3">
        <f>CLIENTS_CHURN[[#This Row],[Anciennete_Mois]]/12</f>
        <v>3.5833333333333335</v>
      </c>
      <c r="J50" s="3">
        <f>CLIENTS_CHURN[[#This Row],[Duree_Cumulee_Panne_Min]]/60</f>
        <v>3.2166666666666668</v>
      </c>
    </row>
    <row r="51" spans="1:10" x14ac:dyDescent="0.35">
      <c r="A51" s="3" t="s">
        <v>51</v>
      </c>
      <c r="B51" t="s">
        <v>1500</v>
      </c>
      <c r="C51" t="s">
        <v>84</v>
      </c>
      <c r="D51">
        <v>55</v>
      </c>
      <c r="E51" t="s">
        <v>17</v>
      </c>
      <c r="F51">
        <v>494</v>
      </c>
      <c r="G51">
        <v>77.599999999999994</v>
      </c>
      <c r="H51">
        <v>4</v>
      </c>
      <c r="I51" s="3">
        <f>CLIENTS_CHURN[[#This Row],[Anciennete_Mois]]/12</f>
        <v>4.583333333333333</v>
      </c>
      <c r="J51" s="3">
        <f>CLIENTS_CHURN[[#This Row],[Duree_Cumulee_Panne_Min]]/60</f>
        <v>8.2333333333333325</v>
      </c>
    </row>
    <row r="52" spans="1:10" x14ac:dyDescent="0.35">
      <c r="A52" s="3" t="s">
        <v>51</v>
      </c>
      <c r="B52" t="s">
        <v>644</v>
      </c>
      <c r="C52" t="s">
        <v>84</v>
      </c>
      <c r="D52">
        <v>39</v>
      </c>
      <c r="E52" t="s">
        <v>20</v>
      </c>
      <c r="F52">
        <v>54</v>
      </c>
      <c r="G52">
        <v>88.84</v>
      </c>
      <c r="H52">
        <v>0</v>
      </c>
      <c r="I52" s="3">
        <f>CLIENTS_CHURN[[#This Row],[Anciennete_Mois]]/12</f>
        <v>3.25</v>
      </c>
      <c r="J52" s="3">
        <f>CLIENTS_CHURN[[#This Row],[Duree_Cumulee_Panne_Min]]/60</f>
        <v>0.9</v>
      </c>
    </row>
    <row r="53" spans="1:10" x14ac:dyDescent="0.35">
      <c r="A53" s="3" t="s">
        <v>28</v>
      </c>
      <c r="B53" t="s">
        <v>580</v>
      </c>
      <c r="C53" t="s">
        <v>84</v>
      </c>
      <c r="D53">
        <v>80</v>
      </c>
      <c r="E53" t="s">
        <v>17</v>
      </c>
      <c r="F53">
        <v>101</v>
      </c>
      <c r="G53">
        <v>61.92</v>
      </c>
      <c r="H53">
        <v>4</v>
      </c>
      <c r="I53" s="3">
        <f>CLIENTS_CHURN[[#This Row],[Anciennete_Mois]]/12</f>
        <v>6.666666666666667</v>
      </c>
      <c r="J53" s="3">
        <f>CLIENTS_CHURN[[#This Row],[Duree_Cumulee_Panne_Min]]/60</f>
        <v>1.6833333333333333</v>
      </c>
    </row>
    <row r="54" spans="1:10" x14ac:dyDescent="0.35">
      <c r="A54" s="3" t="s">
        <v>10</v>
      </c>
      <c r="B54" t="s">
        <v>595</v>
      </c>
      <c r="C54" t="s">
        <v>84</v>
      </c>
      <c r="D54">
        <v>83</v>
      </c>
      <c r="E54" t="s">
        <v>20</v>
      </c>
      <c r="F54">
        <v>91</v>
      </c>
      <c r="G54">
        <v>73.73</v>
      </c>
      <c r="H54">
        <v>2</v>
      </c>
      <c r="I54" s="3">
        <f>CLIENTS_CHURN[[#This Row],[Anciennete_Mois]]/12</f>
        <v>6.916666666666667</v>
      </c>
      <c r="J54" s="3">
        <f>CLIENTS_CHURN[[#This Row],[Duree_Cumulee_Panne_Min]]/60</f>
        <v>1.5166666666666666</v>
      </c>
    </row>
    <row r="55" spans="1:10" x14ac:dyDescent="0.35">
      <c r="A55" s="3" t="s">
        <v>10</v>
      </c>
      <c r="B55" t="s">
        <v>527</v>
      </c>
      <c r="C55" t="s">
        <v>84</v>
      </c>
      <c r="D55">
        <v>99</v>
      </c>
      <c r="E55" t="s">
        <v>17</v>
      </c>
      <c r="F55">
        <v>137</v>
      </c>
      <c r="G55">
        <v>23.05</v>
      </c>
      <c r="H55">
        <v>4</v>
      </c>
      <c r="I55" s="3">
        <f>CLIENTS_CHURN[[#This Row],[Anciennete_Mois]]/12</f>
        <v>8.25</v>
      </c>
      <c r="J55" s="3">
        <f>CLIENTS_CHURN[[#This Row],[Duree_Cumulee_Panne_Min]]/60</f>
        <v>2.2833333333333332</v>
      </c>
    </row>
    <row r="56" spans="1:10" x14ac:dyDescent="0.35">
      <c r="A56" s="3" t="s">
        <v>74</v>
      </c>
      <c r="B56" t="s">
        <v>528</v>
      </c>
      <c r="C56" t="s">
        <v>84</v>
      </c>
      <c r="D56">
        <v>93</v>
      </c>
      <c r="E56" t="s">
        <v>13</v>
      </c>
      <c r="F56">
        <v>136</v>
      </c>
      <c r="G56">
        <v>19.09</v>
      </c>
      <c r="H56">
        <v>1</v>
      </c>
      <c r="I56" s="3">
        <f>CLIENTS_CHURN[[#This Row],[Anciennete_Mois]]/12</f>
        <v>7.75</v>
      </c>
      <c r="J56" s="3">
        <f>CLIENTS_CHURN[[#This Row],[Duree_Cumulee_Panne_Min]]/60</f>
        <v>2.2666666666666666</v>
      </c>
    </row>
    <row r="57" spans="1:10" x14ac:dyDescent="0.35">
      <c r="A57" s="3" t="s">
        <v>74</v>
      </c>
      <c r="B57" t="s">
        <v>372</v>
      </c>
      <c r="C57" t="s">
        <v>84</v>
      </c>
      <c r="D57">
        <v>10</v>
      </c>
      <c r="E57" t="s">
        <v>17</v>
      </c>
      <c r="F57">
        <v>260</v>
      </c>
      <c r="G57">
        <v>37.479999999999997</v>
      </c>
      <c r="H57">
        <v>2</v>
      </c>
      <c r="I57" s="3">
        <f>CLIENTS_CHURN[[#This Row],[Anciennete_Mois]]/12</f>
        <v>0.83333333333333337</v>
      </c>
      <c r="J57" s="3">
        <f>CLIENTS_CHURN[[#This Row],[Duree_Cumulee_Panne_Min]]/60</f>
        <v>4.333333333333333</v>
      </c>
    </row>
    <row r="58" spans="1:10" x14ac:dyDescent="0.35">
      <c r="A58" s="3" t="s">
        <v>100</v>
      </c>
      <c r="B58" t="s">
        <v>626</v>
      </c>
      <c r="C58" t="s">
        <v>84</v>
      </c>
      <c r="D58">
        <v>59</v>
      </c>
      <c r="E58" t="s">
        <v>17</v>
      </c>
      <c r="F58">
        <v>64</v>
      </c>
      <c r="G58">
        <v>20.32</v>
      </c>
      <c r="H58">
        <v>0</v>
      </c>
      <c r="I58" s="3">
        <f>CLIENTS_CHURN[[#This Row],[Anciennete_Mois]]/12</f>
        <v>4.916666666666667</v>
      </c>
      <c r="J58" s="3">
        <f>CLIENTS_CHURN[[#This Row],[Duree_Cumulee_Panne_Min]]/60</f>
        <v>1.0666666666666667</v>
      </c>
    </row>
    <row r="59" spans="1:10" x14ac:dyDescent="0.35">
      <c r="A59" s="3" t="s">
        <v>85</v>
      </c>
      <c r="B59" t="s">
        <v>279</v>
      </c>
      <c r="C59" t="s">
        <v>50</v>
      </c>
      <c r="D59">
        <v>57</v>
      </c>
      <c r="E59" t="s">
        <v>17</v>
      </c>
      <c r="F59">
        <v>329</v>
      </c>
      <c r="G59">
        <v>50.39</v>
      </c>
      <c r="H59">
        <v>5</v>
      </c>
      <c r="I59" s="3">
        <f>CLIENTS_CHURN[[#This Row],[Anciennete_Mois]]/12</f>
        <v>4.75</v>
      </c>
      <c r="J59" s="3">
        <f>CLIENTS_CHURN[[#This Row],[Duree_Cumulee_Panne_Min]]/60</f>
        <v>5.4833333333333334</v>
      </c>
    </row>
    <row r="60" spans="1:10" x14ac:dyDescent="0.35">
      <c r="A60" s="3" t="s">
        <v>85</v>
      </c>
      <c r="B60" t="s">
        <v>579</v>
      </c>
      <c r="C60" t="s">
        <v>50</v>
      </c>
      <c r="D60">
        <v>14</v>
      </c>
      <c r="E60" t="s">
        <v>20</v>
      </c>
      <c r="F60">
        <v>101</v>
      </c>
      <c r="G60">
        <v>43.99</v>
      </c>
      <c r="H60">
        <v>1</v>
      </c>
      <c r="I60" s="3">
        <f>CLIENTS_CHURN[[#This Row],[Anciennete_Mois]]/12</f>
        <v>1.1666666666666667</v>
      </c>
      <c r="J60" s="3">
        <f>CLIENTS_CHURN[[#This Row],[Duree_Cumulee_Panne_Min]]/60</f>
        <v>1.6833333333333333</v>
      </c>
    </row>
    <row r="61" spans="1:10" x14ac:dyDescent="0.35">
      <c r="A61" s="3" t="s">
        <v>85</v>
      </c>
      <c r="B61" t="s">
        <v>501</v>
      </c>
      <c r="C61" t="s">
        <v>50</v>
      </c>
      <c r="D61">
        <v>6</v>
      </c>
      <c r="E61" t="s">
        <v>17</v>
      </c>
      <c r="F61">
        <v>155</v>
      </c>
      <c r="G61">
        <v>40.659999999999997</v>
      </c>
      <c r="H61">
        <v>1</v>
      </c>
      <c r="I61" s="3">
        <f>CLIENTS_CHURN[[#This Row],[Anciennete_Mois]]/12</f>
        <v>0.5</v>
      </c>
      <c r="J61" s="3">
        <f>CLIENTS_CHURN[[#This Row],[Duree_Cumulee_Panne_Min]]/60</f>
        <v>2.5833333333333335</v>
      </c>
    </row>
    <row r="62" spans="1:10" x14ac:dyDescent="0.35">
      <c r="A62" s="3" t="s">
        <v>85</v>
      </c>
      <c r="B62" t="s">
        <v>338</v>
      </c>
      <c r="C62" t="s">
        <v>50</v>
      </c>
      <c r="D62">
        <v>46</v>
      </c>
      <c r="E62" t="s">
        <v>13</v>
      </c>
      <c r="F62">
        <v>283</v>
      </c>
      <c r="G62">
        <v>56.05</v>
      </c>
      <c r="H62">
        <v>1</v>
      </c>
      <c r="I62" s="3">
        <f>CLIENTS_CHURN[[#This Row],[Anciennete_Mois]]/12</f>
        <v>3.8333333333333335</v>
      </c>
      <c r="J62" s="3">
        <f>CLIENTS_CHURN[[#This Row],[Duree_Cumulee_Panne_Min]]/60</f>
        <v>4.7166666666666668</v>
      </c>
    </row>
    <row r="63" spans="1:10" x14ac:dyDescent="0.35">
      <c r="A63" s="3" t="s">
        <v>25</v>
      </c>
      <c r="B63" t="s">
        <v>49</v>
      </c>
      <c r="C63" t="s">
        <v>50</v>
      </c>
      <c r="D63">
        <v>116</v>
      </c>
      <c r="E63" t="s">
        <v>20</v>
      </c>
      <c r="F63">
        <v>486</v>
      </c>
      <c r="G63">
        <v>92.96</v>
      </c>
      <c r="H63">
        <v>5</v>
      </c>
      <c r="I63" s="3">
        <f>CLIENTS_CHURN[[#This Row],[Anciennete_Mois]]/12</f>
        <v>9.6666666666666661</v>
      </c>
      <c r="J63" s="3">
        <f>CLIENTS_CHURN[[#This Row],[Duree_Cumulee_Panne_Min]]/60</f>
        <v>8.1</v>
      </c>
    </row>
    <row r="64" spans="1:10" x14ac:dyDescent="0.35">
      <c r="A64" s="3" t="s">
        <v>25</v>
      </c>
      <c r="B64" t="s">
        <v>541</v>
      </c>
      <c r="C64" t="s">
        <v>50</v>
      </c>
      <c r="D64">
        <v>83</v>
      </c>
      <c r="E64" t="s">
        <v>31</v>
      </c>
      <c r="F64">
        <v>126</v>
      </c>
      <c r="G64">
        <v>67.17</v>
      </c>
      <c r="H64">
        <v>1</v>
      </c>
      <c r="I64" s="3">
        <f>CLIENTS_CHURN[[#This Row],[Anciennete_Mois]]/12</f>
        <v>6.916666666666667</v>
      </c>
      <c r="J64" s="3">
        <f>CLIENTS_CHURN[[#This Row],[Duree_Cumulee_Panne_Min]]/60</f>
        <v>2.1</v>
      </c>
    </row>
    <row r="65" spans="1:10" x14ac:dyDescent="0.35">
      <c r="A65" s="3" t="s">
        <v>25</v>
      </c>
      <c r="B65" t="s">
        <v>200</v>
      </c>
      <c r="C65" t="s">
        <v>50</v>
      </c>
      <c r="D65">
        <v>53</v>
      </c>
      <c r="E65" t="s">
        <v>20</v>
      </c>
      <c r="F65">
        <v>385</v>
      </c>
      <c r="G65">
        <v>68.78</v>
      </c>
      <c r="H65">
        <v>3</v>
      </c>
      <c r="I65" s="3">
        <f>CLIENTS_CHURN[[#This Row],[Anciennete_Mois]]/12</f>
        <v>4.416666666666667</v>
      </c>
      <c r="J65" s="3">
        <f>CLIENTS_CHURN[[#This Row],[Duree_Cumulee_Panne_Min]]/60</f>
        <v>6.416666666666667</v>
      </c>
    </row>
    <row r="66" spans="1:10" x14ac:dyDescent="0.35">
      <c r="A66" s="3" t="s">
        <v>69</v>
      </c>
      <c r="B66" t="s">
        <v>135</v>
      </c>
      <c r="C66" t="s">
        <v>50</v>
      </c>
      <c r="D66">
        <v>87</v>
      </c>
      <c r="E66" t="s">
        <v>20</v>
      </c>
      <c r="F66">
        <v>442</v>
      </c>
      <c r="G66">
        <v>22.39</v>
      </c>
      <c r="H66">
        <v>3</v>
      </c>
      <c r="I66" s="3">
        <f>CLIENTS_CHURN[[#This Row],[Anciennete_Mois]]/12</f>
        <v>7.25</v>
      </c>
      <c r="J66" s="3">
        <f>CLIENTS_CHURN[[#This Row],[Duree_Cumulee_Panne_Min]]/60</f>
        <v>7.3666666666666663</v>
      </c>
    </row>
    <row r="67" spans="1:10" x14ac:dyDescent="0.35">
      <c r="A67" s="3" t="s">
        <v>69</v>
      </c>
      <c r="B67" t="s">
        <v>384</v>
      </c>
      <c r="C67" t="s">
        <v>50</v>
      </c>
      <c r="D67">
        <v>113</v>
      </c>
      <c r="E67" t="s">
        <v>13</v>
      </c>
      <c r="F67">
        <v>246</v>
      </c>
      <c r="G67">
        <v>29.18</v>
      </c>
      <c r="H67">
        <v>2</v>
      </c>
      <c r="I67" s="3">
        <f>CLIENTS_CHURN[[#This Row],[Anciennete_Mois]]/12</f>
        <v>9.4166666666666661</v>
      </c>
      <c r="J67" s="3">
        <f>CLIENTS_CHURN[[#This Row],[Duree_Cumulee_Panne_Min]]/60</f>
        <v>4.0999999999999996</v>
      </c>
    </row>
    <row r="68" spans="1:10" x14ac:dyDescent="0.35">
      <c r="A68" s="3" t="s">
        <v>39</v>
      </c>
      <c r="B68" t="s">
        <v>415</v>
      </c>
      <c r="C68" t="s">
        <v>50</v>
      </c>
      <c r="D68">
        <v>120</v>
      </c>
      <c r="E68" t="s">
        <v>17</v>
      </c>
      <c r="F68">
        <v>224</v>
      </c>
      <c r="G68">
        <v>69.36</v>
      </c>
      <c r="H68">
        <v>0</v>
      </c>
      <c r="I68" s="3">
        <f>CLIENTS_CHURN[[#This Row],[Anciennete_Mois]]/12</f>
        <v>10</v>
      </c>
      <c r="J68" s="3">
        <f>CLIENTS_CHURN[[#This Row],[Duree_Cumulee_Panne_Min]]/60</f>
        <v>3.7333333333333334</v>
      </c>
    </row>
    <row r="69" spans="1:10" x14ac:dyDescent="0.35">
      <c r="A69" s="3" t="s">
        <v>39</v>
      </c>
      <c r="B69" t="s">
        <v>432</v>
      </c>
      <c r="C69" t="s">
        <v>50</v>
      </c>
      <c r="D69">
        <v>74</v>
      </c>
      <c r="E69" t="s">
        <v>13</v>
      </c>
      <c r="F69">
        <v>213</v>
      </c>
      <c r="G69">
        <v>35.54</v>
      </c>
      <c r="H69">
        <v>3</v>
      </c>
      <c r="I69" s="3">
        <f>CLIENTS_CHURN[[#This Row],[Anciennete_Mois]]/12</f>
        <v>6.166666666666667</v>
      </c>
      <c r="J69" s="3">
        <f>CLIENTS_CHURN[[#This Row],[Duree_Cumulee_Panne_Min]]/60</f>
        <v>3.55</v>
      </c>
    </row>
    <row r="70" spans="1:10" x14ac:dyDescent="0.35">
      <c r="A70" s="3" t="s">
        <v>39</v>
      </c>
      <c r="B70" t="s">
        <v>392</v>
      </c>
      <c r="C70" t="s">
        <v>50</v>
      </c>
      <c r="D70">
        <v>67</v>
      </c>
      <c r="E70" t="s">
        <v>13</v>
      </c>
      <c r="F70">
        <v>241</v>
      </c>
      <c r="G70">
        <v>47.72</v>
      </c>
      <c r="H70">
        <v>0</v>
      </c>
      <c r="I70" s="3">
        <f>CLIENTS_CHURN[[#This Row],[Anciennete_Mois]]/12</f>
        <v>5.583333333333333</v>
      </c>
      <c r="J70" s="3">
        <f>CLIENTS_CHURN[[#This Row],[Duree_Cumulee_Panne_Min]]/60</f>
        <v>4.0166666666666666</v>
      </c>
    </row>
    <row r="71" spans="1:10" x14ac:dyDescent="0.35">
      <c r="A71" s="3" t="s">
        <v>39</v>
      </c>
      <c r="B71" t="s">
        <v>170</v>
      </c>
      <c r="C71" t="s">
        <v>50</v>
      </c>
      <c r="D71">
        <v>58</v>
      </c>
      <c r="E71" t="s">
        <v>31</v>
      </c>
      <c r="F71">
        <v>405</v>
      </c>
      <c r="G71">
        <v>18.39</v>
      </c>
      <c r="H71">
        <v>0</v>
      </c>
      <c r="I71" s="3">
        <f>CLIENTS_CHURN[[#This Row],[Anciennete_Mois]]/12</f>
        <v>4.833333333333333</v>
      </c>
      <c r="J71" s="3">
        <f>CLIENTS_CHURN[[#This Row],[Duree_Cumulee_Panne_Min]]/60</f>
        <v>6.75</v>
      </c>
    </row>
    <row r="72" spans="1:10" x14ac:dyDescent="0.35">
      <c r="A72" s="3" t="s">
        <v>39</v>
      </c>
      <c r="B72" t="s">
        <v>1467</v>
      </c>
      <c r="C72" t="s">
        <v>50</v>
      </c>
      <c r="D72">
        <v>84</v>
      </c>
      <c r="E72" t="s">
        <v>13</v>
      </c>
      <c r="F72">
        <v>387</v>
      </c>
      <c r="G72">
        <v>58.1</v>
      </c>
      <c r="H72">
        <v>3</v>
      </c>
      <c r="I72" s="3">
        <f>CLIENTS_CHURN[[#This Row],[Anciennete_Mois]]/12</f>
        <v>7</v>
      </c>
      <c r="J72" s="3">
        <f>CLIENTS_CHURN[[#This Row],[Duree_Cumulee_Panne_Min]]/60</f>
        <v>6.45</v>
      </c>
    </row>
    <row r="73" spans="1:10" x14ac:dyDescent="0.35">
      <c r="A73" s="3" t="s">
        <v>32</v>
      </c>
      <c r="B73" t="s">
        <v>645</v>
      </c>
      <c r="C73" t="s">
        <v>50</v>
      </c>
      <c r="D73">
        <v>60</v>
      </c>
      <c r="E73" t="s">
        <v>17</v>
      </c>
      <c r="F73">
        <v>54</v>
      </c>
      <c r="G73">
        <v>67.180000000000007</v>
      </c>
      <c r="H73">
        <v>3</v>
      </c>
      <c r="I73" s="3">
        <f>CLIENTS_CHURN[[#This Row],[Anciennete_Mois]]/12</f>
        <v>5</v>
      </c>
      <c r="J73" s="3">
        <f>CLIENTS_CHURN[[#This Row],[Duree_Cumulee_Panne_Min]]/60</f>
        <v>0.9</v>
      </c>
    </row>
    <row r="74" spans="1:10" x14ac:dyDescent="0.35">
      <c r="A74" s="3" t="s">
        <v>35</v>
      </c>
      <c r="B74" t="s">
        <v>594</v>
      </c>
      <c r="C74" t="s">
        <v>50</v>
      </c>
      <c r="D74">
        <v>10</v>
      </c>
      <c r="E74" t="s">
        <v>31</v>
      </c>
      <c r="F74">
        <v>93</v>
      </c>
      <c r="G74">
        <v>78.12</v>
      </c>
      <c r="H74">
        <v>4</v>
      </c>
      <c r="I74" s="3">
        <f>CLIENTS_CHURN[[#This Row],[Anciennete_Mois]]/12</f>
        <v>0.83333333333333337</v>
      </c>
      <c r="J74" s="3">
        <f>CLIENTS_CHURN[[#This Row],[Duree_Cumulee_Panne_Min]]/60</f>
        <v>1.55</v>
      </c>
    </row>
    <row r="75" spans="1:10" x14ac:dyDescent="0.35">
      <c r="A75" s="3" t="s">
        <v>14</v>
      </c>
      <c r="B75" t="s">
        <v>1478</v>
      </c>
      <c r="C75" t="s">
        <v>50</v>
      </c>
      <c r="D75">
        <v>69</v>
      </c>
      <c r="E75" t="s">
        <v>20</v>
      </c>
      <c r="F75">
        <v>76</v>
      </c>
      <c r="G75">
        <v>91.8</v>
      </c>
      <c r="H75">
        <v>5</v>
      </c>
      <c r="I75" s="3">
        <f>CLIENTS_CHURN[[#This Row],[Anciennete_Mois]]/12</f>
        <v>5.75</v>
      </c>
      <c r="J75" s="3">
        <f>CLIENTS_CHURN[[#This Row],[Duree_Cumulee_Panne_Min]]/60</f>
        <v>1.2666666666666666</v>
      </c>
    </row>
    <row r="76" spans="1:10" x14ac:dyDescent="0.35">
      <c r="A76" s="3" t="s">
        <v>14</v>
      </c>
      <c r="B76" t="s">
        <v>1482</v>
      </c>
      <c r="C76" t="s">
        <v>50</v>
      </c>
      <c r="D76">
        <v>50</v>
      </c>
      <c r="E76" t="s">
        <v>20</v>
      </c>
      <c r="F76">
        <v>430</v>
      </c>
      <c r="G76">
        <v>20.8</v>
      </c>
      <c r="H76">
        <v>2</v>
      </c>
      <c r="I76" s="3">
        <f>CLIENTS_CHURN[[#This Row],[Anciennete_Mois]]/12</f>
        <v>4.166666666666667</v>
      </c>
      <c r="J76" s="3">
        <f>CLIENTS_CHURN[[#This Row],[Duree_Cumulee_Panne_Min]]/60</f>
        <v>7.166666666666667</v>
      </c>
    </row>
    <row r="77" spans="1:10" x14ac:dyDescent="0.35">
      <c r="A77" s="3" t="s">
        <v>14</v>
      </c>
      <c r="B77" t="s">
        <v>441</v>
      </c>
      <c r="C77" t="s">
        <v>50</v>
      </c>
      <c r="D77">
        <v>41</v>
      </c>
      <c r="E77" t="s">
        <v>20</v>
      </c>
      <c r="F77">
        <v>206</v>
      </c>
      <c r="G77">
        <v>83.16</v>
      </c>
      <c r="H77">
        <v>2</v>
      </c>
      <c r="I77" s="3">
        <f>CLIENTS_CHURN[[#This Row],[Anciennete_Mois]]/12</f>
        <v>3.4166666666666665</v>
      </c>
      <c r="J77" s="3">
        <f>CLIENTS_CHURN[[#This Row],[Duree_Cumulee_Panne_Min]]/60</f>
        <v>3.4333333333333331</v>
      </c>
    </row>
    <row r="78" spans="1:10" x14ac:dyDescent="0.35">
      <c r="A78" s="3" t="s">
        <v>21</v>
      </c>
      <c r="B78" t="s">
        <v>378</v>
      </c>
      <c r="C78" t="s">
        <v>50</v>
      </c>
      <c r="D78">
        <v>74</v>
      </c>
      <c r="E78" t="s">
        <v>17</v>
      </c>
      <c r="F78">
        <v>253</v>
      </c>
      <c r="G78">
        <v>36.94</v>
      </c>
      <c r="H78">
        <v>5</v>
      </c>
      <c r="I78" s="3">
        <f>CLIENTS_CHURN[[#This Row],[Anciennete_Mois]]/12</f>
        <v>6.166666666666667</v>
      </c>
      <c r="J78" s="3">
        <f>CLIENTS_CHURN[[#This Row],[Duree_Cumulee_Panne_Min]]/60</f>
        <v>4.2166666666666668</v>
      </c>
    </row>
    <row r="79" spans="1:10" x14ac:dyDescent="0.35">
      <c r="A79" s="3" t="s">
        <v>61</v>
      </c>
      <c r="B79" t="s">
        <v>73</v>
      </c>
      <c r="C79" t="s">
        <v>50</v>
      </c>
      <c r="D79">
        <v>32</v>
      </c>
      <c r="E79" t="s">
        <v>17</v>
      </c>
      <c r="F79">
        <v>475</v>
      </c>
      <c r="G79">
        <v>36.54</v>
      </c>
      <c r="H79">
        <v>3</v>
      </c>
      <c r="I79" s="3">
        <f>CLIENTS_CHURN[[#This Row],[Anciennete_Mois]]/12</f>
        <v>2.6666666666666665</v>
      </c>
      <c r="J79" s="3">
        <f>CLIENTS_CHURN[[#This Row],[Duree_Cumulee_Panne_Min]]/60</f>
        <v>7.916666666666667</v>
      </c>
    </row>
    <row r="80" spans="1:10" x14ac:dyDescent="0.35">
      <c r="A80" s="3" t="s">
        <v>61</v>
      </c>
      <c r="B80" t="s">
        <v>119</v>
      </c>
      <c r="C80" t="s">
        <v>50</v>
      </c>
      <c r="D80">
        <v>54</v>
      </c>
      <c r="E80" t="s">
        <v>31</v>
      </c>
      <c r="F80">
        <v>450</v>
      </c>
      <c r="G80">
        <v>90.85</v>
      </c>
      <c r="H80">
        <v>1</v>
      </c>
      <c r="I80" s="3">
        <f>CLIENTS_CHURN[[#This Row],[Anciennete_Mois]]/12</f>
        <v>4.5</v>
      </c>
      <c r="J80" s="3">
        <f>CLIENTS_CHURN[[#This Row],[Duree_Cumulee_Panne_Min]]/60</f>
        <v>7.5</v>
      </c>
    </row>
    <row r="81" spans="1:10" x14ac:dyDescent="0.35">
      <c r="A81" s="3" t="s">
        <v>28</v>
      </c>
      <c r="B81" t="s">
        <v>671</v>
      </c>
      <c r="C81" t="s">
        <v>50</v>
      </c>
      <c r="D81">
        <v>34</v>
      </c>
      <c r="E81" t="s">
        <v>31</v>
      </c>
      <c r="F81">
        <v>35</v>
      </c>
      <c r="G81">
        <v>76.86</v>
      </c>
      <c r="H81">
        <v>1</v>
      </c>
      <c r="I81" s="3">
        <f>CLIENTS_CHURN[[#This Row],[Anciennete_Mois]]/12</f>
        <v>2.8333333333333335</v>
      </c>
      <c r="J81" s="3">
        <f>CLIENTS_CHURN[[#This Row],[Duree_Cumulee_Panne_Min]]/60</f>
        <v>0.58333333333333337</v>
      </c>
    </row>
    <row r="82" spans="1:10" x14ac:dyDescent="0.35">
      <c r="A82" s="3" t="s">
        <v>28</v>
      </c>
      <c r="B82" t="s">
        <v>476</v>
      </c>
      <c r="C82" t="s">
        <v>50</v>
      </c>
      <c r="D82">
        <v>41</v>
      </c>
      <c r="E82" t="s">
        <v>13</v>
      </c>
      <c r="F82">
        <v>178</v>
      </c>
      <c r="G82">
        <v>11.29</v>
      </c>
      <c r="H82">
        <v>4</v>
      </c>
      <c r="I82" s="3">
        <f>CLIENTS_CHURN[[#This Row],[Anciennete_Mois]]/12</f>
        <v>3.4166666666666665</v>
      </c>
      <c r="J82" s="3">
        <f>CLIENTS_CHURN[[#This Row],[Duree_Cumulee_Panne_Min]]/60</f>
        <v>2.9666666666666668</v>
      </c>
    </row>
    <row r="83" spans="1:10" x14ac:dyDescent="0.35">
      <c r="A83" s="3" t="s">
        <v>28</v>
      </c>
      <c r="B83" t="s">
        <v>482</v>
      </c>
      <c r="C83" t="s">
        <v>50</v>
      </c>
      <c r="D83">
        <v>17</v>
      </c>
      <c r="E83" t="s">
        <v>20</v>
      </c>
      <c r="F83">
        <v>175</v>
      </c>
      <c r="G83">
        <v>24.95</v>
      </c>
      <c r="H83">
        <v>4</v>
      </c>
      <c r="I83" s="3">
        <f>CLIENTS_CHURN[[#This Row],[Anciennete_Mois]]/12</f>
        <v>1.4166666666666667</v>
      </c>
      <c r="J83" s="3">
        <f>CLIENTS_CHURN[[#This Row],[Duree_Cumulee_Panne_Min]]/60</f>
        <v>2.9166666666666665</v>
      </c>
    </row>
    <row r="84" spans="1:10" x14ac:dyDescent="0.35">
      <c r="A84" s="3" t="s">
        <v>28</v>
      </c>
      <c r="B84" t="s">
        <v>63</v>
      </c>
      <c r="C84" t="s">
        <v>50</v>
      </c>
      <c r="D84">
        <v>48</v>
      </c>
      <c r="E84" t="s">
        <v>31</v>
      </c>
      <c r="F84">
        <v>482</v>
      </c>
      <c r="G84">
        <v>83.24</v>
      </c>
      <c r="H84">
        <v>0</v>
      </c>
      <c r="I84" s="3">
        <f>CLIENTS_CHURN[[#This Row],[Anciennete_Mois]]/12</f>
        <v>4</v>
      </c>
      <c r="J84" s="3">
        <f>CLIENTS_CHURN[[#This Row],[Duree_Cumulee_Panne_Min]]/60</f>
        <v>8.0333333333333332</v>
      </c>
    </row>
    <row r="85" spans="1:10" x14ac:dyDescent="0.35">
      <c r="A85" s="3" t="s">
        <v>10</v>
      </c>
      <c r="B85" t="s">
        <v>637</v>
      </c>
      <c r="C85" t="s">
        <v>50</v>
      </c>
      <c r="D85">
        <v>55</v>
      </c>
      <c r="E85" t="s">
        <v>17</v>
      </c>
      <c r="F85">
        <v>60</v>
      </c>
      <c r="G85">
        <v>32.51</v>
      </c>
      <c r="H85">
        <v>4</v>
      </c>
      <c r="I85" s="3">
        <f>CLIENTS_CHURN[[#This Row],[Anciennete_Mois]]/12</f>
        <v>4.583333333333333</v>
      </c>
      <c r="J85" s="3">
        <f>CLIENTS_CHURN[[#This Row],[Duree_Cumulee_Panne_Min]]/60</f>
        <v>1</v>
      </c>
    </row>
    <row r="86" spans="1:10" x14ac:dyDescent="0.35">
      <c r="A86" s="3" t="s">
        <v>10</v>
      </c>
      <c r="B86" t="s">
        <v>102</v>
      </c>
      <c r="C86" t="s">
        <v>50</v>
      </c>
      <c r="D86">
        <v>108</v>
      </c>
      <c r="E86" t="s">
        <v>31</v>
      </c>
      <c r="F86">
        <v>460</v>
      </c>
      <c r="G86">
        <v>88.95</v>
      </c>
      <c r="H86">
        <v>3</v>
      </c>
      <c r="I86" s="3">
        <f>CLIENTS_CHURN[[#This Row],[Anciennete_Mois]]/12</f>
        <v>9</v>
      </c>
      <c r="J86" s="3">
        <f>CLIENTS_CHURN[[#This Row],[Duree_Cumulee_Panne_Min]]/60</f>
        <v>7.666666666666667</v>
      </c>
    </row>
    <row r="87" spans="1:10" x14ac:dyDescent="0.35">
      <c r="A87" s="3" t="s">
        <v>10</v>
      </c>
      <c r="B87" t="s">
        <v>352</v>
      </c>
      <c r="C87" t="s">
        <v>50</v>
      </c>
      <c r="D87">
        <v>16</v>
      </c>
      <c r="E87" t="s">
        <v>13</v>
      </c>
      <c r="F87">
        <v>274</v>
      </c>
      <c r="G87">
        <v>27.97</v>
      </c>
      <c r="H87">
        <v>4</v>
      </c>
      <c r="I87" s="3">
        <f>CLIENTS_CHURN[[#This Row],[Anciennete_Mois]]/12</f>
        <v>1.3333333333333333</v>
      </c>
      <c r="J87" s="3">
        <f>CLIENTS_CHURN[[#This Row],[Duree_Cumulee_Panne_Min]]/60</f>
        <v>4.5666666666666664</v>
      </c>
    </row>
    <row r="88" spans="1:10" x14ac:dyDescent="0.35">
      <c r="A88" s="3" t="s">
        <v>10</v>
      </c>
      <c r="B88" t="s">
        <v>361</v>
      </c>
      <c r="C88" t="s">
        <v>50</v>
      </c>
      <c r="D88">
        <v>21</v>
      </c>
      <c r="E88" t="s">
        <v>31</v>
      </c>
      <c r="F88">
        <v>267</v>
      </c>
      <c r="G88">
        <v>74.989999999999995</v>
      </c>
      <c r="H88">
        <v>1</v>
      </c>
      <c r="I88" s="3">
        <f>CLIENTS_CHURN[[#This Row],[Anciennete_Mois]]/12</f>
        <v>1.75</v>
      </c>
      <c r="J88" s="3">
        <f>CLIENTS_CHURN[[#This Row],[Duree_Cumulee_Panne_Min]]/60</f>
        <v>4.45</v>
      </c>
    </row>
    <row r="89" spans="1:10" x14ac:dyDescent="0.35">
      <c r="A89" s="3" t="s">
        <v>10</v>
      </c>
      <c r="B89" t="s">
        <v>298</v>
      </c>
      <c r="C89" t="s">
        <v>50</v>
      </c>
      <c r="D89">
        <v>23</v>
      </c>
      <c r="E89" t="s">
        <v>13</v>
      </c>
      <c r="F89">
        <v>314</v>
      </c>
      <c r="G89">
        <v>19.260000000000002</v>
      </c>
      <c r="H89">
        <v>3</v>
      </c>
      <c r="I89" s="3">
        <f>CLIENTS_CHURN[[#This Row],[Anciennete_Mois]]/12</f>
        <v>1.9166666666666667</v>
      </c>
      <c r="J89" s="3">
        <f>CLIENTS_CHURN[[#This Row],[Duree_Cumulee_Panne_Min]]/60</f>
        <v>5.2333333333333334</v>
      </c>
    </row>
    <row r="90" spans="1:10" x14ac:dyDescent="0.35">
      <c r="A90" s="3" t="s">
        <v>74</v>
      </c>
      <c r="B90" t="s">
        <v>1515</v>
      </c>
      <c r="C90" t="s">
        <v>50</v>
      </c>
      <c r="D90">
        <v>111</v>
      </c>
      <c r="E90" t="s">
        <v>17</v>
      </c>
      <c r="F90">
        <v>54</v>
      </c>
      <c r="G90">
        <v>71.3</v>
      </c>
      <c r="H90">
        <v>0</v>
      </c>
      <c r="I90" s="3">
        <f>CLIENTS_CHURN[[#This Row],[Anciennete_Mois]]/12</f>
        <v>9.25</v>
      </c>
      <c r="J90" s="3">
        <f>CLIENTS_CHURN[[#This Row],[Duree_Cumulee_Panne_Min]]/60</f>
        <v>0.9</v>
      </c>
    </row>
    <row r="91" spans="1:10" x14ac:dyDescent="0.35">
      <c r="A91" s="3" t="s">
        <v>74</v>
      </c>
      <c r="B91" t="s">
        <v>79</v>
      </c>
      <c r="C91" t="s">
        <v>50</v>
      </c>
      <c r="D91">
        <v>89</v>
      </c>
      <c r="E91" t="s">
        <v>31</v>
      </c>
      <c r="F91">
        <v>474</v>
      </c>
      <c r="G91">
        <v>28.51</v>
      </c>
      <c r="H91">
        <v>5</v>
      </c>
      <c r="I91" s="3">
        <f>CLIENTS_CHURN[[#This Row],[Anciennete_Mois]]/12</f>
        <v>7.416666666666667</v>
      </c>
      <c r="J91" s="3">
        <f>CLIENTS_CHURN[[#This Row],[Duree_Cumulee_Panne_Min]]/60</f>
        <v>7.9</v>
      </c>
    </row>
    <row r="92" spans="1:10" x14ac:dyDescent="0.35">
      <c r="A92" s="3" t="s">
        <v>100</v>
      </c>
      <c r="B92" t="s">
        <v>241</v>
      </c>
      <c r="C92" t="s">
        <v>50</v>
      </c>
      <c r="D92">
        <v>86</v>
      </c>
      <c r="E92" t="s">
        <v>20</v>
      </c>
      <c r="F92">
        <v>353</v>
      </c>
      <c r="G92">
        <v>25.37</v>
      </c>
      <c r="H92">
        <v>1</v>
      </c>
      <c r="I92" s="3">
        <f>CLIENTS_CHURN[[#This Row],[Anciennete_Mois]]/12</f>
        <v>7.166666666666667</v>
      </c>
      <c r="J92" s="3">
        <f>CLIENTS_CHURN[[#This Row],[Duree_Cumulee_Panne_Min]]/60</f>
        <v>5.8833333333333337</v>
      </c>
    </row>
    <row r="93" spans="1:10" x14ac:dyDescent="0.35">
      <c r="A93" s="3" t="s">
        <v>100</v>
      </c>
      <c r="B93" t="s">
        <v>492</v>
      </c>
      <c r="C93" t="s">
        <v>50</v>
      </c>
      <c r="D93">
        <v>99</v>
      </c>
      <c r="E93" t="s">
        <v>20</v>
      </c>
      <c r="F93">
        <v>169</v>
      </c>
      <c r="G93">
        <v>76.75</v>
      </c>
      <c r="H93">
        <v>5</v>
      </c>
      <c r="I93" s="3">
        <f>CLIENTS_CHURN[[#This Row],[Anciennete_Mois]]/12</f>
        <v>8.25</v>
      </c>
      <c r="J93" s="3">
        <f>CLIENTS_CHURN[[#This Row],[Duree_Cumulee_Panne_Min]]/60</f>
        <v>2.8166666666666669</v>
      </c>
    </row>
    <row r="94" spans="1:10" x14ac:dyDescent="0.35">
      <c r="A94" s="3" t="s">
        <v>100</v>
      </c>
      <c r="B94" t="s">
        <v>516</v>
      </c>
      <c r="C94" t="s">
        <v>50</v>
      </c>
      <c r="D94">
        <v>101</v>
      </c>
      <c r="E94" t="s">
        <v>20</v>
      </c>
      <c r="F94">
        <v>148</v>
      </c>
      <c r="G94">
        <v>26.63</v>
      </c>
      <c r="H94">
        <v>3</v>
      </c>
      <c r="I94" s="3">
        <f>CLIENTS_CHURN[[#This Row],[Anciennete_Mois]]/12</f>
        <v>8.4166666666666661</v>
      </c>
      <c r="J94" s="3">
        <f>CLIENTS_CHURN[[#This Row],[Duree_Cumulee_Panne_Min]]/60</f>
        <v>2.4666666666666668</v>
      </c>
    </row>
    <row r="95" spans="1:10" x14ac:dyDescent="0.35">
      <c r="A95" s="3" t="s">
        <v>45</v>
      </c>
      <c r="B95" t="s">
        <v>112</v>
      </c>
      <c r="C95" t="s">
        <v>50</v>
      </c>
      <c r="D95">
        <v>105</v>
      </c>
      <c r="E95" t="s">
        <v>13</v>
      </c>
      <c r="F95">
        <v>454</v>
      </c>
      <c r="G95">
        <v>49.47</v>
      </c>
      <c r="H95">
        <v>4</v>
      </c>
      <c r="I95" s="3">
        <f>CLIENTS_CHURN[[#This Row],[Anciennete_Mois]]/12</f>
        <v>8.75</v>
      </c>
      <c r="J95" s="3">
        <f>CLIENTS_CHURN[[#This Row],[Duree_Cumulee_Panne_Min]]/60</f>
        <v>7.5666666666666664</v>
      </c>
    </row>
    <row r="96" spans="1:10" x14ac:dyDescent="0.35">
      <c r="A96" s="3" t="s">
        <v>45</v>
      </c>
      <c r="B96" t="s">
        <v>385</v>
      </c>
      <c r="C96" t="s">
        <v>50</v>
      </c>
      <c r="D96">
        <v>104</v>
      </c>
      <c r="E96" t="s">
        <v>31</v>
      </c>
      <c r="F96">
        <v>245</v>
      </c>
      <c r="G96">
        <v>38.270000000000003</v>
      </c>
      <c r="H96">
        <v>0</v>
      </c>
      <c r="I96" s="3">
        <f>CLIENTS_CHURN[[#This Row],[Anciennete_Mois]]/12</f>
        <v>8.6666666666666661</v>
      </c>
      <c r="J96" s="3">
        <f>CLIENTS_CHURN[[#This Row],[Duree_Cumulee_Panne_Min]]/60</f>
        <v>4.083333333333333</v>
      </c>
    </row>
    <row r="97" spans="1:10" x14ac:dyDescent="0.35">
      <c r="A97" s="3" t="s">
        <v>85</v>
      </c>
      <c r="B97" t="s">
        <v>1449</v>
      </c>
      <c r="C97" t="s">
        <v>37</v>
      </c>
      <c r="D97">
        <v>20</v>
      </c>
      <c r="E97" t="s">
        <v>17</v>
      </c>
      <c r="F97">
        <v>4</v>
      </c>
      <c r="G97">
        <v>84.9</v>
      </c>
      <c r="H97">
        <v>3</v>
      </c>
      <c r="I97" s="3">
        <f>CLIENTS_CHURN[[#This Row],[Anciennete_Mois]]/12</f>
        <v>1.6666666666666667</v>
      </c>
      <c r="J97" s="3">
        <f>CLIENTS_CHURN[[#This Row],[Duree_Cumulee_Panne_Min]]/60</f>
        <v>6.6666666666666666E-2</v>
      </c>
    </row>
    <row r="98" spans="1:10" x14ac:dyDescent="0.35">
      <c r="A98" s="3" t="s">
        <v>85</v>
      </c>
      <c r="B98" t="s">
        <v>246</v>
      </c>
      <c r="C98" t="s">
        <v>37</v>
      </c>
      <c r="D98">
        <v>44</v>
      </c>
      <c r="E98" t="s">
        <v>31</v>
      </c>
      <c r="F98">
        <v>348</v>
      </c>
      <c r="G98">
        <v>58.67</v>
      </c>
      <c r="H98">
        <v>0</v>
      </c>
      <c r="I98" s="3">
        <f>CLIENTS_CHURN[[#This Row],[Anciennete_Mois]]/12</f>
        <v>3.6666666666666665</v>
      </c>
      <c r="J98" s="3">
        <f>CLIENTS_CHURN[[#This Row],[Duree_Cumulee_Panne_Min]]/60</f>
        <v>5.8</v>
      </c>
    </row>
    <row r="99" spans="1:10" x14ac:dyDescent="0.35">
      <c r="A99" s="3" t="s">
        <v>25</v>
      </c>
      <c r="B99" t="s">
        <v>674</v>
      </c>
      <c r="C99" t="s">
        <v>37</v>
      </c>
      <c r="D99">
        <v>95</v>
      </c>
      <c r="E99" t="s">
        <v>31</v>
      </c>
      <c r="F99">
        <v>33</v>
      </c>
      <c r="G99">
        <v>35.32</v>
      </c>
      <c r="H99">
        <v>0</v>
      </c>
      <c r="I99" s="3">
        <f>CLIENTS_CHURN[[#This Row],[Anciennete_Mois]]/12</f>
        <v>7.916666666666667</v>
      </c>
      <c r="J99" s="3">
        <f>CLIENTS_CHURN[[#This Row],[Duree_Cumulee_Panne_Min]]/60</f>
        <v>0.55000000000000004</v>
      </c>
    </row>
    <row r="100" spans="1:10" x14ac:dyDescent="0.35">
      <c r="A100" s="3" t="s">
        <v>25</v>
      </c>
      <c r="B100" t="s">
        <v>272</v>
      </c>
      <c r="C100" t="s">
        <v>37</v>
      </c>
      <c r="D100">
        <v>72</v>
      </c>
      <c r="E100" t="s">
        <v>20</v>
      </c>
      <c r="F100">
        <v>333</v>
      </c>
      <c r="G100">
        <v>34.57</v>
      </c>
      <c r="H100">
        <v>2</v>
      </c>
      <c r="I100" s="3">
        <f>CLIENTS_CHURN[[#This Row],[Anciennete_Mois]]/12</f>
        <v>6</v>
      </c>
      <c r="J100" s="3">
        <f>CLIENTS_CHURN[[#This Row],[Duree_Cumulee_Panne_Min]]/60</f>
        <v>5.55</v>
      </c>
    </row>
    <row r="101" spans="1:10" x14ac:dyDescent="0.35">
      <c r="A101" s="3" t="s">
        <v>69</v>
      </c>
      <c r="B101" t="s">
        <v>427</v>
      </c>
      <c r="C101" t="s">
        <v>37</v>
      </c>
      <c r="D101">
        <v>11</v>
      </c>
      <c r="E101" t="s">
        <v>31</v>
      </c>
      <c r="F101">
        <v>215</v>
      </c>
      <c r="G101">
        <v>51.99</v>
      </c>
      <c r="H101">
        <v>1</v>
      </c>
      <c r="I101" s="3">
        <f>CLIENTS_CHURN[[#This Row],[Anciennete_Mois]]/12</f>
        <v>0.91666666666666663</v>
      </c>
      <c r="J101" s="3">
        <f>CLIENTS_CHURN[[#This Row],[Duree_Cumulee_Panne_Min]]/60</f>
        <v>3.5833333333333335</v>
      </c>
    </row>
    <row r="102" spans="1:10" x14ac:dyDescent="0.35">
      <c r="A102" s="3" t="s">
        <v>69</v>
      </c>
      <c r="B102" t="s">
        <v>94</v>
      </c>
      <c r="C102" t="s">
        <v>37</v>
      </c>
      <c r="D102">
        <v>69</v>
      </c>
      <c r="E102" t="s">
        <v>20</v>
      </c>
      <c r="F102">
        <v>463</v>
      </c>
      <c r="G102">
        <v>19.440000000000001</v>
      </c>
      <c r="H102">
        <v>0</v>
      </c>
      <c r="I102" s="3">
        <f>CLIENTS_CHURN[[#This Row],[Anciennete_Mois]]/12</f>
        <v>5.75</v>
      </c>
      <c r="J102" s="3">
        <f>CLIENTS_CHURN[[#This Row],[Duree_Cumulee_Panne_Min]]/60</f>
        <v>7.7166666666666668</v>
      </c>
    </row>
    <row r="103" spans="1:10" x14ac:dyDescent="0.35">
      <c r="A103" s="3" t="s">
        <v>69</v>
      </c>
      <c r="B103" t="s">
        <v>642</v>
      </c>
      <c r="C103" t="s">
        <v>37</v>
      </c>
      <c r="D103">
        <v>67</v>
      </c>
      <c r="E103" t="s">
        <v>20</v>
      </c>
      <c r="F103">
        <v>55</v>
      </c>
      <c r="G103">
        <v>27.04</v>
      </c>
      <c r="H103">
        <v>1</v>
      </c>
      <c r="I103" s="3">
        <f>CLIENTS_CHURN[[#This Row],[Anciennete_Mois]]/12</f>
        <v>5.583333333333333</v>
      </c>
      <c r="J103" s="3">
        <f>CLIENTS_CHURN[[#This Row],[Duree_Cumulee_Panne_Min]]/60</f>
        <v>0.91666666666666663</v>
      </c>
    </row>
    <row r="104" spans="1:10" x14ac:dyDescent="0.35">
      <c r="A104" s="3" t="s">
        <v>39</v>
      </c>
      <c r="B104" t="s">
        <v>64</v>
      </c>
      <c r="C104" t="s">
        <v>37</v>
      </c>
      <c r="D104">
        <v>114</v>
      </c>
      <c r="E104" t="s">
        <v>13</v>
      </c>
      <c r="F104">
        <v>482</v>
      </c>
      <c r="G104">
        <v>16.25</v>
      </c>
      <c r="H104">
        <v>3</v>
      </c>
      <c r="I104" s="3">
        <f>CLIENTS_CHURN[[#This Row],[Anciennete_Mois]]/12</f>
        <v>9.5</v>
      </c>
      <c r="J104" s="3">
        <f>CLIENTS_CHURN[[#This Row],[Duree_Cumulee_Panne_Min]]/60</f>
        <v>8.0333333333333332</v>
      </c>
    </row>
    <row r="105" spans="1:10" x14ac:dyDescent="0.35">
      <c r="A105" s="3" t="s">
        <v>32</v>
      </c>
      <c r="B105" t="s">
        <v>267</v>
      </c>
      <c r="C105" t="s">
        <v>37</v>
      </c>
      <c r="D105">
        <v>96</v>
      </c>
      <c r="E105" t="s">
        <v>13</v>
      </c>
      <c r="F105">
        <v>334</v>
      </c>
      <c r="G105">
        <v>64.77</v>
      </c>
      <c r="H105">
        <v>0</v>
      </c>
      <c r="I105" s="3">
        <f>CLIENTS_CHURN[[#This Row],[Anciennete_Mois]]/12</f>
        <v>8</v>
      </c>
      <c r="J105" s="3">
        <f>CLIENTS_CHURN[[#This Row],[Duree_Cumulee_Panne_Min]]/60</f>
        <v>5.5666666666666664</v>
      </c>
    </row>
    <row r="106" spans="1:10" x14ac:dyDescent="0.35">
      <c r="A106" s="3" t="s">
        <v>32</v>
      </c>
      <c r="B106" t="s">
        <v>309</v>
      </c>
      <c r="C106" t="s">
        <v>37</v>
      </c>
      <c r="D106">
        <v>60</v>
      </c>
      <c r="E106" t="s">
        <v>31</v>
      </c>
      <c r="F106">
        <v>306</v>
      </c>
      <c r="G106">
        <v>63.83</v>
      </c>
      <c r="H106">
        <v>2</v>
      </c>
      <c r="I106" s="3">
        <f>CLIENTS_CHURN[[#This Row],[Anciennete_Mois]]/12</f>
        <v>5</v>
      </c>
      <c r="J106" s="3">
        <f>CLIENTS_CHURN[[#This Row],[Duree_Cumulee_Panne_Min]]/60</f>
        <v>5.0999999999999996</v>
      </c>
    </row>
    <row r="107" spans="1:10" x14ac:dyDescent="0.35">
      <c r="A107" s="3" t="s">
        <v>32</v>
      </c>
      <c r="B107" t="s">
        <v>377</v>
      </c>
      <c r="C107" t="s">
        <v>37</v>
      </c>
      <c r="D107">
        <v>9</v>
      </c>
      <c r="E107" t="s">
        <v>20</v>
      </c>
      <c r="F107">
        <v>255</v>
      </c>
      <c r="G107">
        <v>95.13</v>
      </c>
      <c r="H107">
        <v>1</v>
      </c>
      <c r="I107" s="3">
        <f>CLIENTS_CHURN[[#This Row],[Anciennete_Mois]]/12</f>
        <v>0.75</v>
      </c>
      <c r="J107" s="3">
        <f>CLIENTS_CHURN[[#This Row],[Duree_Cumulee_Panne_Min]]/60</f>
        <v>4.25</v>
      </c>
    </row>
    <row r="108" spans="1:10" x14ac:dyDescent="0.35">
      <c r="A108" s="3" t="s">
        <v>35</v>
      </c>
      <c r="B108" t="s">
        <v>588</v>
      </c>
      <c r="C108" t="s">
        <v>37</v>
      </c>
      <c r="D108">
        <v>63</v>
      </c>
      <c r="E108" t="s">
        <v>17</v>
      </c>
      <c r="F108">
        <v>95</v>
      </c>
      <c r="G108">
        <v>56.81</v>
      </c>
      <c r="H108">
        <v>0</v>
      </c>
      <c r="I108" s="3">
        <f>CLIENTS_CHURN[[#This Row],[Anciennete_Mois]]/12</f>
        <v>5.25</v>
      </c>
      <c r="J108" s="3">
        <f>CLIENTS_CHURN[[#This Row],[Duree_Cumulee_Panne_Min]]/60</f>
        <v>1.5833333333333333</v>
      </c>
    </row>
    <row r="109" spans="1:10" x14ac:dyDescent="0.35">
      <c r="A109" s="3" t="s">
        <v>35</v>
      </c>
      <c r="B109" t="s">
        <v>724</v>
      </c>
      <c r="C109" t="s">
        <v>37</v>
      </c>
      <c r="D109">
        <v>105</v>
      </c>
      <c r="E109" t="s">
        <v>17</v>
      </c>
      <c r="F109">
        <v>3</v>
      </c>
      <c r="G109">
        <v>71.010000000000005</v>
      </c>
      <c r="H109">
        <v>1</v>
      </c>
      <c r="I109" s="3">
        <f>CLIENTS_CHURN[[#This Row],[Anciennete_Mois]]/12</f>
        <v>8.75</v>
      </c>
      <c r="J109" s="3">
        <f>CLIENTS_CHURN[[#This Row],[Duree_Cumulee_Panne_Min]]/60</f>
        <v>0.05</v>
      </c>
    </row>
    <row r="110" spans="1:10" x14ac:dyDescent="0.35">
      <c r="A110" s="3" t="s">
        <v>35</v>
      </c>
      <c r="B110" t="s">
        <v>36</v>
      </c>
      <c r="C110" t="s">
        <v>37</v>
      </c>
      <c r="D110">
        <v>118</v>
      </c>
      <c r="E110" t="s">
        <v>17</v>
      </c>
      <c r="F110">
        <v>489</v>
      </c>
      <c r="G110">
        <v>76.22</v>
      </c>
      <c r="H110">
        <v>2</v>
      </c>
      <c r="I110" s="3">
        <f>CLIENTS_CHURN[[#This Row],[Anciennete_Mois]]/12</f>
        <v>9.8333333333333339</v>
      </c>
      <c r="J110" s="3">
        <f>CLIENTS_CHURN[[#This Row],[Duree_Cumulee_Panne_Min]]/60</f>
        <v>8.15</v>
      </c>
    </row>
    <row r="111" spans="1:10" x14ac:dyDescent="0.35">
      <c r="A111" s="3" t="s">
        <v>35</v>
      </c>
      <c r="B111" t="s">
        <v>132</v>
      </c>
      <c r="C111" t="s">
        <v>37</v>
      </c>
      <c r="D111">
        <v>33</v>
      </c>
      <c r="E111" t="s">
        <v>13</v>
      </c>
      <c r="F111">
        <v>444</v>
      </c>
      <c r="G111">
        <v>10.28</v>
      </c>
      <c r="H111">
        <v>5</v>
      </c>
      <c r="I111" s="3">
        <f>CLIENTS_CHURN[[#This Row],[Anciennete_Mois]]/12</f>
        <v>2.75</v>
      </c>
      <c r="J111" s="3">
        <f>CLIENTS_CHURN[[#This Row],[Duree_Cumulee_Panne_Min]]/60</f>
        <v>7.4</v>
      </c>
    </row>
    <row r="112" spans="1:10" x14ac:dyDescent="0.35">
      <c r="A112" s="3" t="s">
        <v>14</v>
      </c>
      <c r="B112" t="s">
        <v>38</v>
      </c>
      <c r="C112" t="s">
        <v>37</v>
      </c>
      <c r="D112">
        <v>77</v>
      </c>
      <c r="E112" t="s">
        <v>13</v>
      </c>
      <c r="F112">
        <v>488</v>
      </c>
      <c r="G112">
        <v>21.17</v>
      </c>
      <c r="H112">
        <v>0</v>
      </c>
      <c r="I112" s="3">
        <f>CLIENTS_CHURN[[#This Row],[Anciennete_Mois]]/12</f>
        <v>6.416666666666667</v>
      </c>
      <c r="J112" s="3">
        <f>CLIENTS_CHURN[[#This Row],[Duree_Cumulee_Panne_Min]]/60</f>
        <v>8.1333333333333329</v>
      </c>
    </row>
    <row r="113" spans="1:10" x14ac:dyDescent="0.35">
      <c r="A113" s="3" t="s">
        <v>14</v>
      </c>
      <c r="B113" t="s">
        <v>485</v>
      </c>
      <c r="C113" t="s">
        <v>37</v>
      </c>
      <c r="D113">
        <v>29</v>
      </c>
      <c r="E113" t="s">
        <v>31</v>
      </c>
      <c r="F113">
        <v>173</v>
      </c>
      <c r="G113">
        <v>49.03</v>
      </c>
      <c r="H113">
        <v>3</v>
      </c>
      <c r="I113" s="3">
        <f>CLIENTS_CHURN[[#This Row],[Anciennete_Mois]]/12</f>
        <v>2.4166666666666665</v>
      </c>
      <c r="J113" s="3">
        <f>CLIENTS_CHURN[[#This Row],[Duree_Cumulee_Panne_Min]]/60</f>
        <v>2.8833333333333333</v>
      </c>
    </row>
    <row r="114" spans="1:10" x14ac:dyDescent="0.35">
      <c r="A114" s="3" t="s">
        <v>14</v>
      </c>
      <c r="B114" t="s">
        <v>367</v>
      </c>
      <c r="C114" t="s">
        <v>37</v>
      </c>
      <c r="D114">
        <v>78</v>
      </c>
      <c r="E114" t="s">
        <v>13</v>
      </c>
      <c r="F114">
        <v>263</v>
      </c>
      <c r="G114">
        <v>53.58</v>
      </c>
      <c r="H114">
        <v>5</v>
      </c>
      <c r="I114" s="3">
        <f>CLIENTS_CHURN[[#This Row],[Anciennete_Mois]]/12</f>
        <v>6.5</v>
      </c>
      <c r="J114" s="3">
        <f>CLIENTS_CHURN[[#This Row],[Duree_Cumulee_Panne_Min]]/60</f>
        <v>4.3833333333333337</v>
      </c>
    </row>
    <row r="115" spans="1:10" x14ac:dyDescent="0.35">
      <c r="A115" s="3" t="s">
        <v>14</v>
      </c>
      <c r="B115" t="s">
        <v>206</v>
      </c>
      <c r="C115" t="s">
        <v>37</v>
      </c>
      <c r="D115">
        <v>96</v>
      </c>
      <c r="E115" t="s">
        <v>17</v>
      </c>
      <c r="F115">
        <v>381</v>
      </c>
      <c r="G115">
        <v>90.78</v>
      </c>
      <c r="H115">
        <v>2</v>
      </c>
      <c r="I115" s="3">
        <f>CLIENTS_CHURN[[#This Row],[Anciennete_Mois]]/12</f>
        <v>8</v>
      </c>
      <c r="J115" s="3">
        <f>CLIENTS_CHURN[[#This Row],[Duree_Cumulee_Panne_Min]]/60</f>
        <v>6.35</v>
      </c>
    </row>
    <row r="116" spans="1:10" x14ac:dyDescent="0.35">
      <c r="A116" s="3" t="s">
        <v>14</v>
      </c>
      <c r="B116" t="s">
        <v>277</v>
      </c>
      <c r="C116" t="s">
        <v>37</v>
      </c>
      <c r="D116">
        <v>76</v>
      </c>
      <c r="E116" t="s">
        <v>17</v>
      </c>
      <c r="F116">
        <v>332</v>
      </c>
      <c r="G116">
        <v>68.010000000000005</v>
      </c>
      <c r="H116">
        <v>4</v>
      </c>
      <c r="I116" s="3">
        <f>CLIENTS_CHURN[[#This Row],[Anciennete_Mois]]/12</f>
        <v>6.333333333333333</v>
      </c>
      <c r="J116" s="3">
        <f>CLIENTS_CHURN[[#This Row],[Duree_Cumulee_Panne_Min]]/60</f>
        <v>5.5333333333333332</v>
      </c>
    </row>
    <row r="117" spans="1:10" x14ac:dyDescent="0.35">
      <c r="A117" s="3" t="s">
        <v>14</v>
      </c>
      <c r="B117" t="s">
        <v>44</v>
      </c>
      <c r="C117" t="s">
        <v>37</v>
      </c>
      <c r="D117">
        <v>69</v>
      </c>
      <c r="E117" t="s">
        <v>13</v>
      </c>
      <c r="F117">
        <v>486</v>
      </c>
      <c r="G117">
        <v>34.770000000000003</v>
      </c>
      <c r="H117">
        <v>0</v>
      </c>
      <c r="I117" s="3">
        <f>CLIENTS_CHURN[[#This Row],[Anciennete_Mois]]/12</f>
        <v>5.75</v>
      </c>
      <c r="J117" s="3">
        <f>CLIENTS_CHURN[[#This Row],[Duree_Cumulee_Panne_Min]]/60</f>
        <v>8.1</v>
      </c>
    </row>
    <row r="118" spans="1:10" x14ac:dyDescent="0.35">
      <c r="A118" s="3" t="s">
        <v>14</v>
      </c>
      <c r="B118" t="s">
        <v>180</v>
      </c>
      <c r="C118" t="s">
        <v>37</v>
      </c>
      <c r="D118">
        <v>41</v>
      </c>
      <c r="E118" t="s">
        <v>31</v>
      </c>
      <c r="F118">
        <v>398</v>
      </c>
      <c r="G118">
        <v>28.56</v>
      </c>
      <c r="H118">
        <v>2</v>
      </c>
      <c r="I118" s="3">
        <f>CLIENTS_CHURN[[#This Row],[Anciennete_Mois]]/12</f>
        <v>3.4166666666666665</v>
      </c>
      <c r="J118" s="3">
        <f>CLIENTS_CHURN[[#This Row],[Duree_Cumulee_Panne_Min]]/60</f>
        <v>6.6333333333333337</v>
      </c>
    </row>
    <row r="119" spans="1:10" x14ac:dyDescent="0.35">
      <c r="A119" s="3" t="s">
        <v>21</v>
      </c>
      <c r="B119" t="s">
        <v>252</v>
      </c>
      <c r="C119" t="s">
        <v>37</v>
      </c>
      <c r="D119">
        <v>14</v>
      </c>
      <c r="E119" t="s">
        <v>20</v>
      </c>
      <c r="F119">
        <v>345</v>
      </c>
      <c r="G119">
        <v>39.57</v>
      </c>
      <c r="H119">
        <v>3</v>
      </c>
      <c r="I119" s="3">
        <f>CLIENTS_CHURN[[#This Row],[Anciennete_Mois]]/12</f>
        <v>1.1666666666666667</v>
      </c>
      <c r="J119" s="3">
        <f>CLIENTS_CHURN[[#This Row],[Duree_Cumulee_Panne_Min]]/60</f>
        <v>5.75</v>
      </c>
    </row>
    <row r="120" spans="1:10" x14ac:dyDescent="0.35">
      <c r="A120" s="3" t="s">
        <v>61</v>
      </c>
      <c r="B120" t="s">
        <v>404</v>
      </c>
      <c r="C120" t="s">
        <v>37</v>
      </c>
      <c r="D120">
        <v>7</v>
      </c>
      <c r="E120" t="s">
        <v>31</v>
      </c>
      <c r="F120">
        <v>233</v>
      </c>
      <c r="G120">
        <v>10.94</v>
      </c>
      <c r="H120">
        <v>0</v>
      </c>
      <c r="I120" s="3">
        <f>CLIENTS_CHURN[[#This Row],[Anciennete_Mois]]/12</f>
        <v>0.58333333333333337</v>
      </c>
      <c r="J120" s="3">
        <f>CLIENTS_CHURN[[#This Row],[Duree_Cumulee_Panne_Min]]/60</f>
        <v>3.8833333333333333</v>
      </c>
    </row>
    <row r="121" spans="1:10" x14ac:dyDescent="0.35">
      <c r="A121" s="3" t="s">
        <v>28</v>
      </c>
      <c r="B121" t="s">
        <v>424</v>
      </c>
      <c r="C121" t="s">
        <v>37</v>
      </c>
      <c r="D121">
        <v>46</v>
      </c>
      <c r="E121" t="s">
        <v>20</v>
      </c>
      <c r="F121">
        <v>216</v>
      </c>
      <c r="G121">
        <v>63.74</v>
      </c>
      <c r="H121">
        <v>4</v>
      </c>
      <c r="I121" s="3">
        <f>CLIENTS_CHURN[[#This Row],[Anciennete_Mois]]/12</f>
        <v>3.8333333333333335</v>
      </c>
      <c r="J121" s="3">
        <f>CLIENTS_CHURN[[#This Row],[Duree_Cumulee_Panne_Min]]/60</f>
        <v>3.6</v>
      </c>
    </row>
    <row r="122" spans="1:10" x14ac:dyDescent="0.35">
      <c r="A122" s="3" t="s">
        <v>10</v>
      </c>
      <c r="B122" t="s">
        <v>495</v>
      </c>
      <c r="C122" t="s">
        <v>37</v>
      </c>
      <c r="D122">
        <v>42</v>
      </c>
      <c r="E122" t="s">
        <v>20</v>
      </c>
      <c r="F122">
        <v>167</v>
      </c>
      <c r="G122">
        <v>45.85</v>
      </c>
      <c r="H122">
        <v>2</v>
      </c>
      <c r="I122" s="3">
        <f>CLIENTS_CHURN[[#This Row],[Anciennete_Mois]]/12</f>
        <v>3.5</v>
      </c>
      <c r="J122" s="3">
        <f>CLIENTS_CHURN[[#This Row],[Duree_Cumulee_Panne_Min]]/60</f>
        <v>2.7833333333333332</v>
      </c>
    </row>
    <row r="123" spans="1:10" x14ac:dyDescent="0.35">
      <c r="A123" s="3" t="s">
        <v>10</v>
      </c>
      <c r="B123" t="s">
        <v>305</v>
      </c>
      <c r="C123" t="s">
        <v>37</v>
      </c>
      <c r="D123">
        <v>52</v>
      </c>
      <c r="E123" t="s">
        <v>31</v>
      </c>
      <c r="F123">
        <v>307</v>
      </c>
      <c r="G123">
        <v>81.38</v>
      </c>
      <c r="H123">
        <v>2</v>
      </c>
      <c r="I123" s="3">
        <f>CLIENTS_CHURN[[#This Row],[Anciennete_Mois]]/12</f>
        <v>4.333333333333333</v>
      </c>
      <c r="J123" s="3">
        <f>CLIENTS_CHURN[[#This Row],[Duree_Cumulee_Panne_Min]]/60</f>
        <v>5.1166666666666663</v>
      </c>
    </row>
    <row r="124" spans="1:10" x14ac:dyDescent="0.35">
      <c r="A124" s="3" t="s">
        <v>74</v>
      </c>
      <c r="B124" t="s">
        <v>662</v>
      </c>
      <c r="C124" t="s">
        <v>37</v>
      </c>
      <c r="D124">
        <v>7</v>
      </c>
      <c r="E124" t="s">
        <v>31</v>
      </c>
      <c r="F124">
        <v>43</v>
      </c>
      <c r="G124">
        <v>41.29</v>
      </c>
      <c r="H124">
        <v>4</v>
      </c>
      <c r="I124" s="3">
        <f>CLIENTS_CHURN[[#This Row],[Anciennete_Mois]]/12</f>
        <v>0.58333333333333337</v>
      </c>
      <c r="J124" s="3">
        <f>CLIENTS_CHURN[[#This Row],[Duree_Cumulee_Panne_Min]]/60</f>
        <v>0.71666666666666667</v>
      </c>
    </row>
    <row r="125" spans="1:10" x14ac:dyDescent="0.35">
      <c r="A125" s="3" t="s">
        <v>100</v>
      </c>
      <c r="B125" t="s">
        <v>326</v>
      </c>
      <c r="C125" t="s">
        <v>37</v>
      </c>
      <c r="D125">
        <v>20</v>
      </c>
      <c r="E125" t="s">
        <v>31</v>
      </c>
      <c r="F125">
        <v>297</v>
      </c>
      <c r="G125">
        <v>14.77</v>
      </c>
      <c r="H125">
        <v>0</v>
      </c>
      <c r="I125" s="3">
        <f>CLIENTS_CHURN[[#This Row],[Anciennete_Mois]]/12</f>
        <v>1.6666666666666667</v>
      </c>
      <c r="J125" s="3">
        <f>CLIENTS_CHURN[[#This Row],[Duree_Cumulee_Panne_Min]]/60</f>
        <v>4.95</v>
      </c>
    </row>
    <row r="126" spans="1:10" x14ac:dyDescent="0.35">
      <c r="A126" s="3" t="s">
        <v>100</v>
      </c>
      <c r="B126" t="s">
        <v>347</v>
      </c>
      <c r="C126" t="s">
        <v>37</v>
      </c>
      <c r="D126">
        <v>86</v>
      </c>
      <c r="E126" t="s">
        <v>13</v>
      </c>
      <c r="F126">
        <v>278</v>
      </c>
      <c r="G126">
        <v>30.12</v>
      </c>
      <c r="H126">
        <v>0</v>
      </c>
      <c r="I126" s="3">
        <f>CLIENTS_CHURN[[#This Row],[Anciennete_Mois]]/12</f>
        <v>7.166666666666667</v>
      </c>
      <c r="J126" s="3">
        <f>CLIENTS_CHURN[[#This Row],[Duree_Cumulee_Panne_Min]]/60</f>
        <v>4.6333333333333337</v>
      </c>
    </row>
    <row r="127" spans="1:10" x14ac:dyDescent="0.35">
      <c r="A127" s="3" t="s">
        <v>45</v>
      </c>
      <c r="B127" t="s">
        <v>219</v>
      </c>
      <c r="C127" t="s">
        <v>37</v>
      </c>
      <c r="D127">
        <v>75</v>
      </c>
      <c r="E127" t="s">
        <v>31</v>
      </c>
      <c r="F127">
        <v>370</v>
      </c>
      <c r="G127">
        <v>21.67</v>
      </c>
      <c r="H127">
        <v>0</v>
      </c>
      <c r="I127" s="3">
        <f>CLIENTS_CHURN[[#This Row],[Anciennete_Mois]]/12</f>
        <v>6.25</v>
      </c>
      <c r="J127" s="3">
        <f>CLIENTS_CHURN[[#This Row],[Duree_Cumulee_Panne_Min]]/60</f>
        <v>6.166666666666667</v>
      </c>
    </row>
    <row r="128" spans="1:10" x14ac:dyDescent="0.35">
      <c r="A128" s="3" t="s">
        <v>45</v>
      </c>
      <c r="B128" t="s">
        <v>342</v>
      </c>
      <c r="C128" t="s">
        <v>37</v>
      </c>
      <c r="D128">
        <v>68</v>
      </c>
      <c r="E128" t="s">
        <v>20</v>
      </c>
      <c r="F128">
        <v>282</v>
      </c>
      <c r="G128">
        <v>35.43</v>
      </c>
      <c r="H128">
        <v>1</v>
      </c>
      <c r="I128" s="3">
        <f>CLIENTS_CHURN[[#This Row],[Anciennete_Mois]]/12</f>
        <v>5.666666666666667</v>
      </c>
      <c r="J128" s="3">
        <f>CLIENTS_CHURN[[#This Row],[Duree_Cumulee_Panne_Min]]/60</f>
        <v>4.7</v>
      </c>
    </row>
    <row r="129" spans="1:10" x14ac:dyDescent="0.35">
      <c r="A129" s="3" t="s">
        <v>45</v>
      </c>
      <c r="B129" t="s">
        <v>150</v>
      </c>
      <c r="C129" t="s">
        <v>37</v>
      </c>
      <c r="D129">
        <v>72</v>
      </c>
      <c r="E129" t="s">
        <v>31</v>
      </c>
      <c r="F129">
        <v>427</v>
      </c>
      <c r="G129">
        <v>31.44</v>
      </c>
      <c r="H129">
        <v>2</v>
      </c>
      <c r="I129" s="3">
        <f>CLIENTS_CHURN[[#This Row],[Anciennete_Mois]]/12</f>
        <v>6</v>
      </c>
      <c r="J129" s="3">
        <f>CLIENTS_CHURN[[#This Row],[Duree_Cumulee_Panne_Min]]/60</f>
        <v>7.1166666666666663</v>
      </c>
    </row>
    <row r="130" spans="1:10" x14ac:dyDescent="0.35">
      <c r="A130" s="3" t="s">
        <v>25</v>
      </c>
      <c r="B130" t="s">
        <v>253</v>
      </c>
      <c r="C130" t="s">
        <v>12</v>
      </c>
      <c r="D130">
        <v>40</v>
      </c>
      <c r="E130" t="s">
        <v>13</v>
      </c>
      <c r="F130">
        <v>345</v>
      </c>
      <c r="G130">
        <v>89.55</v>
      </c>
      <c r="H130">
        <v>3</v>
      </c>
      <c r="I130" s="3">
        <f>CLIENTS_CHURN[[#This Row],[Anciennete_Mois]]/12</f>
        <v>3.3333333333333335</v>
      </c>
      <c r="J130" s="3">
        <f>CLIENTS_CHURN[[#This Row],[Duree_Cumulee_Panne_Min]]/60</f>
        <v>5.75</v>
      </c>
    </row>
    <row r="131" spans="1:10" x14ac:dyDescent="0.35">
      <c r="A131" s="3" t="s">
        <v>32</v>
      </c>
      <c r="B131" t="s">
        <v>716</v>
      </c>
      <c r="C131" t="s">
        <v>12</v>
      </c>
      <c r="D131">
        <v>49</v>
      </c>
      <c r="E131" t="s">
        <v>17</v>
      </c>
      <c r="F131">
        <v>6</v>
      </c>
      <c r="G131">
        <v>44.41</v>
      </c>
      <c r="H131">
        <v>3</v>
      </c>
      <c r="I131" s="3">
        <f>CLIENTS_CHURN[[#This Row],[Anciennete_Mois]]/12</f>
        <v>4.083333333333333</v>
      </c>
      <c r="J131" s="3">
        <f>CLIENTS_CHURN[[#This Row],[Duree_Cumulee_Panne_Min]]/60</f>
        <v>0.1</v>
      </c>
    </row>
    <row r="132" spans="1:10" x14ac:dyDescent="0.35">
      <c r="A132" s="3" t="s">
        <v>32</v>
      </c>
      <c r="B132" t="s">
        <v>451</v>
      </c>
      <c r="C132" t="s">
        <v>12</v>
      </c>
      <c r="D132">
        <v>78</v>
      </c>
      <c r="E132" t="s">
        <v>17</v>
      </c>
      <c r="F132">
        <v>198</v>
      </c>
      <c r="G132">
        <v>69.849999999999994</v>
      </c>
      <c r="H132">
        <v>0</v>
      </c>
      <c r="I132" s="3">
        <f>CLIENTS_CHURN[[#This Row],[Anciennete_Mois]]/12</f>
        <v>6.5</v>
      </c>
      <c r="J132" s="3">
        <f>CLIENTS_CHURN[[#This Row],[Duree_Cumulee_Panne_Min]]/60</f>
        <v>3.3</v>
      </c>
    </row>
    <row r="133" spans="1:10" x14ac:dyDescent="0.35">
      <c r="A133" s="3" t="s">
        <v>35</v>
      </c>
      <c r="B133" t="s">
        <v>513</v>
      </c>
      <c r="C133" t="s">
        <v>12</v>
      </c>
      <c r="D133">
        <v>93</v>
      </c>
      <c r="E133" t="s">
        <v>13</v>
      </c>
      <c r="F133">
        <v>150</v>
      </c>
      <c r="G133">
        <v>93.25</v>
      </c>
      <c r="H133">
        <v>3</v>
      </c>
      <c r="I133" s="3">
        <f>CLIENTS_CHURN[[#This Row],[Anciennete_Mois]]/12</f>
        <v>7.75</v>
      </c>
      <c r="J133" s="3">
        <f>CLIENTS_CHURN[[#This Row],[Duree_Cumulee_Panne_Min]]/60</f>
        <v>2.5</v>
      </c>
    </row>
    <row r="134" spans="1:10" x14ac:dyDescent="0.35">
      <c r="A134" s="3" t="s">
        <v>35</v>
      </c>
      <c r="B134" t="s">
        <v>457</v>
      </c>
      <c r="C134" t="s">
        <v>12</v>
      </c>
      <c r="D134">
        <v>66</v>
      </c>
      <c r="E134" t="s">
        <v>13</v>
      </c>
      <c r="F134">
        <v>193</v>
      </c>
      <c r="G134">
        <v>21.06</v>
      </c>
      <c r="H134">
        <v>3</v>
      </c>
      <c r="I134" s="3">
        <f>CLIENTS_CHURN[[#This Row],[Anciennete_Mois]]/12</f>
        <v>5.5</v>
      </c>
      <c r="J134" s="3">
        <f>CLIENTS_CHURN[[#This Row],[Duree_Cumulee_Panne_Min]]/60</f>
        <v>3.2166666666666668</v>
      </c>
    </row>
    <row r="135" spans="1:10" x14ac:dyDescent="0.35">
      <c r="A135" s="3" t="s">
        <v>21</v>
      </c>
      <c r="B135" t="s">
        <v>157</v>
      </c>
      <c r="C135" t="s">
        <v>12</v>
      </c>
      <c r="D135">
        <v>35</v>
      </c>
      <c r="E135" t="s">
        <v>17</v>
      </c>
      <c r="F135">
        <v>421</v>
      </c>
      <c r="G135">
        <v>29.57</v>
      </c>
      <c r="H135">
        <v>5</v>
      </c>
      <c r="I135" s="3">
        <f>CLIENTS_CHURN[[#This Row],[Anciennete_Mois]]/12</f>
        <v>2.9166666666666665</v>
      </c>
      <c r="J135" s="3">
        <f>CLIENTS_CHURN[[#This Row],[Duree_Cumulee_Panne_Min]]/60</f>
        <v>7.0166666666666666</v>
      </c>
    </row>
    <row r="136" spans="1:10" x14ac:dyDescent="0.35">
      <c r="A136" s="3" t="s">
        <v>28</v>
      </c>
      <c r="B136" t="s">
        <v>617</v>
      </c>
      <c r="C136" t="s">
        <v>12</v>
      </c>
      <c r="D136">
        <v>59</v>
      </c>
      <c r="E136" t="s">
        <v>20</v>
      </c>
      <c r="F136">
        <v>72</v>
      </c>
      <c r="G136">
        <v>94.51</v>
      </c>
      <c r="H136">
        <v>2</v>
      </c>
      <c r="I136" s="3">
        <f>CLIENTS_CHURN[[#This Row],[Anciennete_Mois]]/12</f>
        <v>4.916666666666667</v>
      </c>
      <c r="J136" s="3">
        <f>CLIENTS_CHURN[[#This Row],[Duree_Cumulee_Panne_Min]]/60</f>
        <v>1.2</v>
      </c>
    </row>
    <row r="137" spans="1:10" x14ac:dyDescent="0.35">
      <c r="A137" s="3" t="s">
        <v>28</v>
      </c>
      <c r="B137" t="s">
        <v>1509</v>
      </c>
      <c r="C137" t="s">
        <v>12</v>
      </c>
      <c r="D137">
        <v>65</v>
      </c>
      <c r="E137" t="s">
        <v>20</v>
      </c>
      <c r="F137">
        <v>274</v>
      </c>
      <c r="G137">
        <v>88.1</v>
      </c>
      <c r="H137">
        <v>4</v>
      </c>
      <c r="I137" s="3">
        <f>CLIENTS_CHURN[[#This Row],[Anciennete_Mois]]/12</f>
        <v>5.416666666666667</v>
      </c>
      <c r="J137" s="3">
        <f>CLIENTS_CHURN[[#This Row],[Duree_Cumulee_Panne_Min]]/60</f>
        <v>4.5666666666666664</v>
      </c>
    </row>
    <row r="138" spans="1:10" x14ac:dyDescent="0.35">
      <c r="A138" s="3" t="s">
        <v>10</v>
      </c>
      <c r="B138" t="s">
        <v>11</v>
      </c>
      <c r="C138" t="s">
        <v>12</v>
      </c>
      <c r="D138">
        <v>17</v>
      </c>
      <c r="E138" t="s">
        <v>13</v>
      </c>
      <c r="F138">
        <v>499</v>
      </c>
      <c r="G138">
        <v>27.81</v>
      </c>
      <c r="H138">
        <v>2</v>
      </c>
      <c r="I138" s="3">
        <f>CLIENTS_CHURN[[#This Row],[Anciennete_Mois]]/12</f>
        <v>1.4166666666666667</v>
      </c>
      <c r="J138" s="3">
        <f>CLIENTS_CHURN[[#This Row],[Duree_Cumulee_Panne_Min]]/60</f>
        <v>8.3166666666666664</v>
      </c>
    </row>
    <row r="139" spans="1:10" x14ac:dyDescent="0.35">
      <c r="A139" s="3" t="s">
        <v>10</v>
      </c>
      <c r="B139" t="s">
        <v>96</v>
      </c>
      <c r="C139" t="s">
        <v>12</v>
      </c>
      <c r="D139">
        <v>79</v>
      </c>
      <c r="E139" t="s">
        <v>31</v>
      </c>
      <c r="F139">
        <v>462</v>
      </c>
      <c r="G139">
        <v>18.28</v>
      </c>
      <c r="H139">
        <v>0</v>
      </c>
      <c r="I139" s="3">
        <f>CLIENTS_CHURN[[#This Row],[Anciennete_Mois]]/12</f>
        <v>6.583333333333333</v>
      </c>
      <c r="J139" s="3">
        <f>CLIENTS_CHURN[[#This Row],[Duree_Cumulee_Panne_Min]]/60</f>
        <v>7.7</v>
      </c>
    </row>
    <row r="140" spans="1:10" x14ac:dyDescent="0.35">
      <c r="A140" s="3" t="s">
        <v>74</v>
      </c>
      <c r="B140" t="s">
        <v>545</v>
      </c>
      <c r="C140" t="s">
        <v>12</v>
      </c>
      <c r="D140">
        <v>56</v>
      </c>
      <c r="E140" t="s">
        <v>13</v>
      </c>
      <c r="F140">
        <v>123</v>
      </c>
      <c r="G140">
        <v>29.76</v>
      </c>
      <c r="H140">
        <v>5</v>
      </c>
      <c r="I140" s="3">
        <f>CLIENTS_CHURN[[#This Row],[Anciennete_Mois]]/12</f>
        <v>4.666666666666667</v>
      </c>
      <c r="J140" s="3">
        <f>CLIENTS_CHURN[[#This Row],[Duree_Cumulee_Panne_Min]]/60</f>
        <v>2.0499999999999998</v>
      </c>
    </row>
    <row r="141" spans="1:10" x14ac:dyDescent="0.35">
      <c r="A141" s="3" t="s">
        <v>74</v>
      </c>
      <c r="B141" t="s">
        <v>454</v>
      </c>
      <c r="C141" t="s">
        <v>12</v>
      </c>
      <c r="D141">
        <v>90</v>
      </c>
      <c r="E141" t="s">
        <v>20</v>
      </c>
      <c r="F141">
        <v>195</v>
      </c>
      <c r="G141">
        <v>52.71</v>
      </c>
      <c r="H141">
        <v>2</v>
      </c>
      <c r="I141" s="3">
        <f>CLIENTS_CHURN[[#This Row],[Anciennete_Mois]]/12</f>
        <v>7.5</v>
      </c>
      <c r="J141" s="3">
        <f>CLIENTS_CHURN[[#This Row],[Duree_Cumulee_Panne_Min]]/60</f>
        <v>3.25</v>
      </c>
    </row>
    <row r="142" spans="1:10" x14ac:dyDescent="0.35">
      <c r="A142" s="3" t="s">
        <v>100</v>
      </c>
      <c r="B142" t="s">
        <v>1517</v>
      </c>
      <c r="C142" t="s">
        <v>12</v>
      </c>
      <c r="D142">
        <v>6</v>
      </c>
      <c r="E142" t="s">
        <v>20</v>
      </c>
      <c r="F142">
        <v>206</v>
      </c>
      <c r="G142">
        <v>10</v>
      </c>
      <c r="H142">
        <v>5</v>
      </c>
      <c r="I142" s="3">
        <f>CLIENTS_CHURN[[#This Row],[Anciennete_Mois]]/12</f>
        <v>0.5</v>
      </c>
      <c r="J142" s="3">
        <f>CLIENTS_CHURN[[#This Row],[Duree_Cumulee_Panne_Min]]/60</f>
        <v>3.4333333333333331</v>
      </c>
    </row>
    <row r="143" spans="1:10" x14ac:dyDescent="0.35">
      <c r="A143" s="3" t="s">
        <v>100</v>
      </c>
      <c r="B143" t="s">
        <v>335</v>
      </c>
      <c r="C143" t="s">
        <v>12</v>
      </c>
      <c r="D143">
        <v>110</v>
      </c>
      <c r="E143" t="s">
        <v>13</v>
      </c>
      <c r="F143">
        <v>289</v>
      </c>
      <c r="G143">
        <v>83.67</v>
      </c>
      <c r="H143">
        <v>4</v>
      </c>
      <c r="I143" s="3">
        <f>CLIENTS_CHURN[[#This Row],[Anciennete_Mois]]/12</f>
        <v>9.1666666666666661</v>
      </c>
      <c r="J143" s="3">
        <f>CLIENTS_CHURN[[#This Row],[Duree_Cumulee_Panne_Min]]/60</f>
        <v>4.8166666666666664</v>
      </c>
    </row>
    <row r="144" spans="1:10" x14ac:dyDescent="0.35">
      <c r="A144" s="3" t="s">
        <v>100</v>
      </c>
      <c r="B144" t="s">
        <v>212</v>
      </c>
      <c r="C144" t="s">
        <v>12</v>
      </c>
      <c r="D144">
        <v>26</v>
      </c>
      <c r="E144" t="s">
        <v>13</v>
      </c>
      <c r="F144">
        <v>378</v>
      </c>
      <c r="G144">
        <v>45.21</v>
      </c>
      <c r="H144">
        <v>5</v>
      </c>
      <c r="I144" s="3">
        <f>CLIENTS_CHURN[[#This Row],[Anciennete_Mois]]/12</f>
        <v>2.1666666666666665</v>
      </c>
      <c r="J144" s="3">
        <f>CLIENTS_CHURN[[#This Row],[Duree_Cumulee_Panne_Min]]/60</f>
        <v>6.3</v>
      </c>
    </row>
    <row r="145" spans="1:10" x14ac:dyDescent="0.35">
      <c r="A145" s="3" t="s">
        <v>85</v>
      </c>
      <c r="B145" t="s">
        <v>1451</v>
      </c>
      <c r="C145" t="s">
        <v>68</v>
      </c>
      <c r="D145">
        <v>29</v>
      </c>
      <c r="E145" t="s">
        <v>13</v>
      </c>
      <c r="F145">
        <v>214</v>
      </c>
      <c r="G145">
        <v>74.7</v>
      </c>
      <c r="H145">
        <v>3</v>
      </c>
      <c r="I145" s="3">
        <f>CLIENTS_CHURN[[#This Row],[Anciennete_Mois]]/12</f>
        <v>2.4166666666666665</v>
      </c>
      <c r="J145" s="3">
        <f>CLIENTS_CHURN[[#This Row],[Duree_Cumulee_Panne_Min]]/60</f>
        <v>3.5666666666666669</v>
      </c>
    </row>
    <row r="146" spans="1:10" x14ac:dyDescent="0.35">
      <c r="A146" s="3" t="s">
        <v>85</v>
      </c>
      <c r="B146" t="s">
        <v>658</v>
      </c>
      <c r="C146" t="s">
        <v>68</v>
      </c>
      <c r="D146">
        <v>16</v>
      </c>
      <c r="E146" t="s">
        <v>31</v>
      </c>
      <c r="F146">
        <v>43</v>
      </c>
      <c r="G146">
        <v>56.48</v>
      </c>
      <c r="H146">
        <v>0</v>
      </c>
      <c r="I146" s="3">
        <f>CLIENTS_CHURN[[#This Row],[Anciennete_Mois]]/12</f>
        <v>1.3333333333333333</v>
      </c>
      <c r="J146" s="3">
        <f>CLIENTS_CHURN[[#This Row],[Duree_Cumulee_Panne_Min]]/60</f>
        <v>0.71666666666666667</v>
      </c>
    </row>
    <row r="147" spans="1:10" x14ac:dyDescent="0.35">
      <c r="A147" s="3" t="s">
        <v>85</v>
      </c>
      <c r="B147" t="s">
        <v>574</v>
      </c>
      <c r="C147" t="s">
        <v>68</v>
      </c>
      <c r="D147">
        <v>103</v>
      </c>
      <c r="E147" t="s">
        <v>20</v>
      </c>
      <c r="F147">
        <v>105</v>
      </c>
      <c r="G147">
        <v>61.52</v>
      </c>
      <c r="H147">
        <v>3</v>
      </c>
      <c r="I147" s="3">
        <f>CLIENTS_CHURN[[#This Row],[Anciennete_Mois]]/12</f>
        <v>8.5833333333333339</v>
      </c>
      <c r="J147" s="3">
        <f>CLIENTS_CHURN[[#This Row],[Duree_Cumulee_Panne_Min]]/60</f>
        <v>1.75</v>
      </c>
    </row>
    <row r="148" spans="1:10" x14ac:dyDescent="0.35">
      <c r="A148" s="3" t="s">
        <v>25</v>
      </c>
      <c r="B148" t="s">
        <v>525</v>
      </c>
      <c r="C148" t="s">
        <v>68</v>
      </c>
      <c r="D148">
        <v>44</v>
      </c>
      <c r="E148" t="s">
        <v>20</v>
      </c>
      <c r="F148">
        <v>137</v>
      </c>
      <c r="G148">
        <v>32.58</v>
      </c>
      <c r="H148">
        <v>0</v>
      </c>
      <c r="I148" s="3">
        <f>CLIENTS_CHURN[[#This Row],[Anciennete_Mois]]/12</f>
        <v>3.6666666666666665</v>
      </c>
      <c r="J148" s="3">
        <f>CLIENTS_CHURN[[#This Row],[Duree_Cumulee_Panne_Min]]/60</f>
        <v>2.2833333333333332</v>
      </c>
    </row>
    <row r="149" spans="1:10" x14ac:dyDescent="0.35">
      <c r="A149" s="3" t="s">
        <v>25</v>
      </c>
      <c r="B149" t="s">
        <v>713</v>
      </c>
      <c r="C149" t="s">
        <v>68</v>
      </c>
      <c r="D149">
        <v>74</v>
      </c>
      <c r="E149" t="s">
        <v>17</v>
      </c>
      <c r="F149">
        <v>9</v>
      </c>
      <c r="G149">
        <v>99.89</v>
      </c>
      <c r="H149">
        <v>0</v>
      </c>
      <c r="I149" s="3">
        <f>CLIENTS_CHURN[[#This Row],[Anciennete_Mois]]/12</f>
        <v>6.166666666666667</v>
      </c>
      <c r="J149" s="3">
        <f>CLIENTS_CHURN[[#This Row],[Duree_Cumulee_Panne_Min]]/60</f>
        <v>0.15</v>
      </c>
    </row>
    <row r="150" spans="1:10" x14ac:dyDescent="0.35">
      <c r="A150" s="3" t="s">
        <v>39</v>
      </c>
      <c r="B150" t="s">
        <v>439</v>
      </c>
      <c r="C150" t="s">
        <v>68</v>
      </c>
      <c r="D150">
        <v>113</v>
      </c>
      <c r="E150" t="s">
        <v>13</v>
      </c>
      <c r="F150">
        <v>207</v>
      </c>
      <c r="G150">
        <v>21.55</v>
      </c>
      <c r="H150">
        <v>0</v>
      </c>
      <c r="I150" s="3">
        <f>CLIENTS_CHURN[[#This Row],[Anciennete_Mois]]/12</f>
        <v>9.4166666666666661</v>
      </c>
      <c r="J150" s="3">
        <f>CLIENTS_CHURN[[#This Row],[Duree_Cumulee_Panne_Min]]/60</f>
        <v>3.45</v>
      </c>
    </row>
    <row r="151" spans="1:10" x14ac:dyDescent="0.35">
      <c r="A151" s="3" t="s">
        <v>39</v>
      </c>
      <c r="B151" t="s">
        <v>554</v>
      </c>
      <c r="C151" t="s">
        <v>68</v>
      </c>
      <c r="D151">
        <v>92</v>
      </c>
      <c r="E151" t="s">
        <v>13</v>
      </c>
      <c r="F151">
        <v>116</v>
      </c>
      <c r="G151">
        <v>23.83</v>
      </c>
      <c r="H151">
        <v>3</v>
      </c>
      <c r="I151" s="3">
        <f>CLIENTS_CHURN[[#This Row],[Anciennete_Mois]]/12</f>
        <v>7.666666666666667</v>
      </c>
      <c r="J151" s="3">
        <f>CLIENTS_CHURN[[#This Row],[Duree_Cumulee_Panne_Min]]/60</f>
        <v>1.9333333333333333</v>
      </c>
    </row>
    <row r="152" spans="1:10" x14ac:dyDescent="0.35">
      <c r="A152" s="3" t="s">
        <v>32</v>
      </c>
      <c r="B152" t="s">
        <v>1473</v>
      </c>
      <c r="C152" t="s">
        <v>68</v>
      </c>
      <c r="D152">
        <v>3</v>
      </c>
      <c r="E152" t="s">
        <v>17</v>
      </c>
      <c r="F152">
        <v>356</v>
      </c>
      <c r="G152">
        <v>91.6</v>
      </c>
      <c r="H152">
        <v>3</v>
      </c>
      <c r="I152" s="3">
        <f>CLIENTS_CHURN[[#This Row],[Anciennete_Mois]]/12</f>
        <v>0.25</v>
      </c>
      <c r="J152" s="3">
        <f>CLIENTS_CHURN[[#This Row],[Duree_Cumulee_Panne_Min]]/60</f>
        <v>5.9333333333333336</v>
      </c>
    </row>
    <row r="153" spans="1:10" x14ac:dyDescent="0.35">
      <c r="A153" s="3" t="s">
        <v>32</v>
      </c>
      <c r="B153" t="s">
        <v>351</v>
      </c>
      <c r="C153" t="s">
        <v>68</v>
      </c>
      <c r="D153">
        <v>85</v>
      </c>
      <c r="E153" t="s">
        <v>13</v>
      </c>
      <c r="F153">
        <v>274</v>
      </c>
      <c r="G153">
        <v>35.03</v>
      </c>
      <c r="H153">
        <v>1</v>
      </c>
      <c r="I153" s="3">
        <f>CLIENTS_CHURN[[#This Row],[Anciennete_Mois]]/12</f>
        <v>7.083333333333333</v>
      </c>
      <c r="J153" s="3">
        <f>CLIENTS_CHURN[[#This Row],[Duree_Cumulee_Panne_Min]]/60</f>
        <v>4.5666666666666664</v>
      </c>
    </row>
    <row r="154" spans="1:10" x14ac:dyDescent="0.35">
      <c r="A154" s="3" t="s">
        <v>32</v>
      </c>
      <c r="B154" t="s">
        <v>498</v>
      </c>
      <c r="C154" t="s">
        <v>68</v>
      </c>
      <c r="D154">
        <v>60</v>
      </c>
      <c r="E154" t="s">
        <v>17</v>
      </c>
      <c r="F154">
        <v>161</v>
      </c>
      <c r="G154">
        <v>62.65</v>
      </c>
      <c r="H154">
        <v>0</v>
      </c>
      <c r="I154" s="3">
        <f>CLIENTS_CHURN[[#This Row],[Anciennete_Mois]]/12</f>
        <v>5</v>
      </c>
      <c r="J154" s="3">
        <f>CLIENTS_CHURN[[#This Row],[Duree_Cumulee_Panne_Min]]/60</f>
        <v>2.6833333333333331</v>
      </c>
    </row>
    <row r="155" spans="1:10" x14ac:dyDescent="0.35">
      <c r="A155" s="3" t="s">
        <v>32</v>
      </c>
      <c r="B155" t="s">
        <v>496</v>
      </c>
      <c r="C155" t="s">
        <v>68</v>
      </c>
      <c r="D155">
        <v>10</v>
      </c>
      <c r="E155" t="s">
        <v>31</v>
      </c>
      <c r="F155">
        <v>165</v>
      </c>
      <c r="G155">
        <v>38.619999999999997</v>
      </c>
      <c r="H155">
        <v>2</v>
      </c>
      <c r="I155" s="3">
        <f>CLIENTS_CHURN[[#This Row],[Anciennete_Mois]]/12</f>
        <v>0.83333333333333337</v>
      </c>
      <c r="J155" s="3">
        <f>CLIENTS_CHURN[[#This Row],[Duree_Cumulee_Panne_Min]]/60</f>
        <v>2.75</v>
      </c>
    </row>
    <row r="156" spans="1:10" x14ac:dyDescent="0.35">
      <c r="A156" s="3" t="s">
        <v>35</v>
      </c>
      <c r="B156" t="s">
        <v>98</v>
      </c>
      <c r="C156" t="s">
        <v>68</v>
      </c>
      <c r="D156">
        <v>16</v>
      </c>
      <c r="E156" t="s">
        <v>31</v>
      </c>
      <c r="F156">
        <v>461</v>
      </c>
      <c r="G156">
        <v>38.369999999999997</v>
      </c>
      <c r="H156">
        <v>4</v>
      </c>
      <c r="I156" s="3">
        <f>CLIENTS_CHURN[[#This Row],[Anciennete_Mois]]/12</f>
        <v>1.3333333333333333</v>
      </c>
      <c r="J156" s="3">
        <f>CLIENTS_CHURN[[#This Row],[Duree_Cumulee_Panne_Min]]/60</f>
        <v>7.6833333333333336</v>
      </c>
    </row>
    <row r="157" spans="1:10" x14ac:dyDescent="0.35">
      <c r="A157" s="3" t="s">
        <v>35</v>
      </c>
      <c r="B157" t="s">
        <v>697</v>
      </c>
      <c r="C157" t="s">
        <v>68</v>
      </c>
      <c r="D157">
        <v>87</v>
      </c>
      <c r="E157" t="s">
        <v>31</v>
      </c>
      <c r="F157">
        <v>21</v>
      </c>
      <c r="G157">
        <v>81.459999999999994</v>
      </c>
      <c r="H157">
        <v>3</v>
      </c>
      <c r="I157" s="3">
        <f>CLIENTS_CHURN[[#This Row],[Anciennete_Mois]]/12</f>
        <v>7.25</v>
      </c>
      <c r="J157" s="3">
        <f>CLIENTS_CHURN[[#This Row],[Duree_Cumulee_Panne_Min]]/60</f>
        <v>0.35</v>
      </c>
    </row>
    <row r="158" spans="1:10" x14ac:dyDescent="0.35">
      <c r="A158" s="3" t="s">
        <v>35</v>
      </c>
      <c r="B158" t="s">
        <v>1474</v>
      </c>
      <c r="C158" t="s">
        <v>68</v>
      </c>
      <c r="D158">
        <v>96</v>
      </c>
      <c r="E158" t="s">
        <v>17</v>
      </c>
      <c r="F158">
        <v>290</v>
      </c>
      <c r="G158">
        <v>29</v>
      </c>
      <c r="H158">
        <v>3</v>
      </c>
      <c r="I158" s="3">
        <f>CLIENTS_CHURN[[#This Row],[Anciennete_Mois]]/12</f>
        <v>8</v>
      </c>
      <c r="J158" s="3">
        <f>CLIENTS_CHURN[[#This Row],[Duree_Cumulee_Panne_Min]]/60</f>
        <v>4.833333333333333</v>
      </c>
    </row>
    <row r="159" spans="1:10" x14ac:dyDescent="0.35">
      <c r="A159" s="3" t="s">
        <v>35</v>
      </c>
      <c r="B159" t="s">
        <v>578</v>
      </c>
      <c r="C159" t="s">
        <v>68</v>
      </c>
      <c r="D159">
        <v>40</v>
      </c>
      <c r="E159" t="s">
        <v>13</v>
      </c>
      <c r="F159">
        <v>102</v>
      </c>
      <c r="G159">
        <v>96.59</v>
      </c>
      <c r="H159">
        <v>5</v>
      </c>
      <c r="I159" s="3">
        <f>CLIENTS_CHURN[[#This Row],[Anciennete_Mois]]/12</f>
        <v>3.3333333333333335</v>
      </c>
      <c r="J159" s="3">
        <f>CLIENTS_CHURN[[#This Row],[Duree_Cumulee_Panne_Min]]/60</f>
        <v>1.7</v>
      </c>
    </row>
    <row r="160" spans="1:10" x14ac:dyDescent="0.35">
      <c r="A160" s="3" t="s">
        <v>14</v>
      </c>
      <c r="B160" t="s">
        <v>223</v>
      </c>
      <c r="C160" t="s">
        <v>68</v>
      </c>
      <c r="D160">
        <v>59</v>
      </c>
      <c r="E160" t="s">
        <v>20</v>
      </c>
      <c r="F160">
        <v>369</v>
      </c>
      <c r="G160">
        <v>26.64</v>
      </c>
      <c r="H160">
        <v>4</v>
      </c>
      <c r="I160" s="3">
        <f>CLIENTS_CHURN[[#This Row],[Anciennete_Mois]]/12</f>
        <v>4.916666666666667</v>
      </c>
      <c r="J160" s="3">
        <f>CLIENTS_CHURN[[#This Row],[Duree_Cumulee_Panne_Min]]/60</f>
        <v>6.15</v>
      </c>
    </row>
    <row r="161" spans="1:10" x14ac:dyDescent="0.35">
      <c r="A161" s="3" t="s">
        <v>21</v>
      </c>
      <c r="B161" t="s">
        <v>182</v>
      </c>
      <c r="C161" t="s">
        <v>68</v>
      </c>
      <c r="D161">
        <v>24</v>
      </c>
      <c r="E161" t="s">
        <v>17</v>
      </c>
      <c r="F161">
        <v>392</v>
      </c>
      <c r="G161">
        <v>27.06</v>
      </c>
      <c r="H161">
        <v>1</v>
      </c>
      <c r="I161" s="3">
        <f>CLIENTS_CHURN[[#This Row],[Anciennete_Mois]]/12</f>
        <v>2</v>
      </c>
      <c r="J161" s="3">
        <f>CLIENTS_CHURN[[#This Row],[Duree_Cumulee_Panne_Min]]/60</f>
        <v>6.5333333333333332</v>
      </c>
    </row>
    <row r="162" spans="1:10" x14ac:dyDescent="0.35">
      <c r="A162" s="3" t="s">
        <v>21</v>
      </c>
      <c r="B162" t="s">
        <v>1484</v>
      </c>
      <c r="C162" t="s">
        <v>68</v>
      </c>
      <c r="D162">
        <v>68</v>
      </c>
      <c r="E162" t="s">
        <v>31</v>
      </c>
      <c r="F162">
        <v>487</v>
      </c>
      <c r="G162">
        <v>69.099999999999994</v>
      </c>
      <c r="H162">
        <v>5</v>
      </c>
      <c r="I162" s="3">
        <f>CLIENTS_CHURN[[#This Row],[Anciennete_Mois]]/12</f>
        <v>5.666666666666667</v>
      </c>
      <c r="J162" s="3">
        <f>CLIENTS_CHURN[[#This Row],[Duree_Cumulee_Panne_Min]]/60</f>
        <v>8.1166666666666671</v>
      </c>
    </row>
    <row r="163" spans="1:10" x14ac:dyDescent="0.35">
      <c r="A163" s="3" t="s">
        <v>21</v>
      </c>
      <c r="B163" t="s">
        <v>455</v>
      </c>
      <c r="C163" t="s">
        <v>68</v>
      </c>
      <c r="D163">
        <v>111</v>
      </c>
      <c r="E163" t="s">
        <v>31</v>
      </c>
      <c r="F163">
        <v>194</v>
      </c>
      <c r="G163">
        <v>48.55</v>
      </c>
      <c r="H163">
        <v>2</v>
      </c>
      <c r="I163" s="3">
        <f>CLIENTS_CHURN[[#This Row],[Anciennete_Mois]]/12</f>
        <v>9.25</v>
      </c>
      <c r="J163" s="3">
        <f>CLIENTS_CHURN[[#This Row],[Duree_Cumulee_Panne_Min]]/60</f>
        <v>3.2333333333333334</v>
      </c>
    </row>
    <row r="164" spans="1:10" x14ac:dyDescent="0.35">
      <c r="A164" s="3" t="s">
        <v>21</v>
      </c>
      <c r="B164" t="s">
        <v>244</v>
      </c>
      <c r="C164" t="s">
        <v>68</v>
      </c>
      <c r="D164">
        <v>29</v>
      </c>
      <c r="E164" t="s">
        <v>13</v>
      </c>
      <c r="F164">
        <v>350</v>
      </c>
      <c r="G164">
        <v>84.32</v>
      </c>
      <c r="H164">
        <v>3</v>
      </c>
      <c r="I164" s="3">
        <f>CLIENTS_CHURN[[#This Row],[Anciennete_Mois]]/12</f>
        <v>2.4166666666666665</v>
      </c>
      <c r="J164" s="3">
        <f>CLIENTS_CHURN[[#This Row],[Duree_Cumulee_Panne_Min]]/60</f>
        <v>5.833333333333333</v>
      </c>
    </row>
    <row r="165" spans="1:10" x14ac:dyDescent="0.35">
      <c r="A165" s="3" t="s">
        <v>61</v>
      </c>
      <c r="B165" t="s">
        <v>280</v>
      </c>
      <c r="C165" t="s">
        <v>68</v>
      </c>
      <c r="D165">
        <v>47</v>
      </c>
      <c r="E165" t="s">
        <v>20</v>
      </c>
      <c r="F165">
        <v>328</v>
      </c>
      <c r="G165">
        <v>61.27</v>
      </c>
      <c r="H165">
        <v>3</v>
      </c>
      <c r="I165" s="3">
        <f>CLIENTS_CHURN[[#This Row],[Anciennete_Mois]]/12</f>
        <v>3.9166666666666665</v>
      </c>
      <c r="J165" s="3">
        <f>CLIENTS_CHURN[[#This Row],[Duree_Cumulee_Panne_Min]]/60</f>
        <v>5.4666666666666668</v>
      </c>
    </row>
    <row r="166" spans="1:10" x14ac:dyDescent="0.35">
      <c r="A166" s="3" t="s">
        <v>61</v>
      </c>
      <c r="B166" t="s">
        <v>353</v>
      </c>
      <c r="C166" t="s">
        <v>68</v>
      </c>
      <c r="D166">
        <v>96</v>
      </c>
      <c r="E166" t="s">
        <v>13</v>
      </c>
      <c r="F166">
        <v>273</v>
      </c>
      <c r="G166">
        <v>37.909999999999997</v>
      </c>
      <c r="H166">
        <v>2</v>
      </c>
      <c r="I166" s="3">
        <f>CLIENTS_CHURN[[#This Row],[Anciennete_Mois]]/12</f>
        <v>8</v>
      </c>
      <c r="J166" s="3">
        <f>CLIENTS_CHURN[[#This Row],[Duree_Cumulee_Panne_Min]]/60</f>
        <v>4.55</v>
      </c>
    </row>
    <row r="167" spans="1:10" x14ac:dyDescent="0.35">
      <c r="A167" s="3" t="s">
        <v>61</v>
      </c>
      <c r="B167" t="s">
        <v>116</v>
      </c>
      <c r="C167" t="s">
        <v>68</v>
      </c>
      <c r="D167">
        <v>86</v>
      </c>
      <c r="E167" t="s">
        <v>13</v>
      </c>
      <c r="F167">
        <v>452</v>
      </c>
      <c r="G167">
        <v>75.680000000000007</v>
      </c>
      <c r="H167">
        <v>0</v>
      </c>
      <c r="I167" s="3">
        <f>CLIENTS_CHURN[[#This Row],[Anciennete_Mois]]/12</f>
        <v>7.166666666666667</v>
      </c>
      <c r="J167" s="3">
        <f>CLIENTS_CHURN[[#This Row],[Duree_Cumulee_Panne_Min]]/60</f>
        <v>7.5333333333333332</v>
      </c>
    </row>
    <row r="168" spans="1:10" x14ac:dyDescent="0.35">
      <c r="A168" s="3" t="s">
        <v>61</v>
      </c>
      <c r="B168" t="s">
        <v>1494</v>
      </c>
      <c r="C168" t="s">
        <v>68</v>
      </c>
      <c r="D168">
        <v>33</v>
      </c>
      <c r="E168" t="s">
        <v>31</v>
      </c>
      <c r="F168">
        <v>273</v>
      </c>
      <c r="G168">
        <v>49.8</v>
      </c>
      <c r="H168">
        <v>0</v>
      </c>
      <c r="I168" s="3">
        <f>CLIENTS_CHURN[[#This Row],[Anciennete_Mois]]/12</f>
        <v>2.75</v>
      </c>
      <c r="J168" s="3">
        <f>CLIENTS_CHURN[[#This Row],[Duree_Cumulee_Panne_Min]]/60</f>
        <v>4.55</v>
      </c>
    </row>
    <row r="169" spans="1:10" x14ac:dyDescent="0.35">
      <c r="A169" s="3" t="s">
        <v>61</v>
      </c>
      <c r="B169" t="s">
        <v>561</v>
      </c>
      <c r="C169" t="s">
        <v>68</v>
      </c>
      <c r="D169">
        <v>47</v>
      </c>
      <c r="E169" t="s">
        <v>31</v>
      </c>
      <c r="F169">
        <v>111</v>
      </c>
      <c r="G169">
        <v>95.18</v>
      </c>
      <c r="H169">
        <v>0</v>
      </c>
      <c r="I169" s="3">
        <f>CLIENTS_CHURN[[#This Row],[Anciennete_Mois]]/12</f>
        <v>3.9166666666666665</v>
      </c>
      <c r="J169" s="3">
        <f>CLIENTS_CHURN[[#This Row],[Duree_Cumulee_Panne_Min]]/60</f>
        <v>1.85</v>
      </c>
    </row>
    <row r="170" spans="1:10" x14ac:dyDescent="0.35">
      <c r="A170" s="3" t="s">
        <v>51</v>
      </c>
      <c r="B170" t="s">
        <v>238</v>
      </c>
      <c r="C170" t="s">
        <v>68</v>
      </c>
      <c r="D170">
        <v>55</v>
      </c>
      <c r="E170" t="s">
        <v>31</v>
      </c>
      <c r="F170">
        <v>355</v>
      </c>
      <c r="G170">
        <v>59.65</v>
      </c>
      <c r="H170">
        <v>0</v>
      </c>
      <c r="I170" s="3">
        <f>CLIENTS_CHURN[[#This Row],[Anciennete_Mois]]/12</f>
        <v>4.583333333333333</v>
      </c>
      <c r="J170" s="3">
        <f>CLIENTS_CHURN[[#This Row],[Duree_Cumulee_Panne_Min]]/60</f>
        <v>5.916666666666667</v>
      </c>
    </row>
    <row r="171" spans="1:10" x14ac:dyDescent="0.35">
      <c r="A171" s="3" t="s">
        <v>51</v>
      </c>
      <c r="B171" t="s">
        <v>386</v>
      </c>
      <c r="C171" t="s">
        <v>68</v>
      </c>
      <c r="D171">
        <v>45</v>
      </c>
      <c r="E171" t="s">
        <v>13</v>
      </c>
      <c r="F171">
        <v>244</v>
      </c>
      <c r="G171">
        <v>55.17</v>
      </c>
      <c r="H171">
        <v>2</v>
      </c>
      <c r="I171" s="3">
        <f>CLIENTS_CHURN[[#This Row],[Anciennete_Mois]]/12</f>
        <v>3.75</v>
      </c>
      <c r="J171" s="3">
        <f>CLIENTS_CHURN[[#This Row],[Duree_Cumulee_Panne_Min]]/60</f>
        <v>4.0666666666666664</v>
      </c>
    </row>
    <row r="172" spans="1:10" x14ac:dyDescent="0.35">
      <c r="A172" s="3" t="s">
        <v>51</v>
      </c>
      <c r="B172" t="s">
        <v>615</v>
      </c>
      <c r="C172" t="s">
        <v>68</v>
      </c>
      <c r="D172">
        <v>85</v>
      </c>
      <c r="E172" t="s">
        <v>20</v>
      </c>
      <c r="F172">
        <v>75</v>
      </c>
      <c r="G172">
        <v>98.01</v>
      </c>
      <c r="H172">
        <v>1</v>
      </c>
      <c r="I172" s="3">
        <f>CLIENTS_CHURN[[#This Row],[Anciennete_Mois]]/12</f>
        <v>7.083333333333333</v>
      </c>
      <c r="J172" s="3">
        <f>CLIENTS_CHURN[[#This Row],[Duree_Cumulee_Panne_Min]]/60</f>
        <v>1.25</v>
      </c>
    </row>
    <row r="173" spans="1:10" x14ac:dyDescent="0.35">
      <c r="A173" s="3" t="s">
        <v>28</v>
      </c>
      <c r="B173" t="s">
        <v>228</v>
      </c>
      <c r="C173" t="s">
        <v>68</v>
      </c>
      <c r="D173">
        <v>84</v>
      </c>
      <c r="E173" t="s">
        <v>31</v>
      </c>
      <c r="F173">
        <v>364</v>
      </c>
      <c r="G173">
        <v>87.79</v>
      </c>
      <c r="H173">
        <v>3</v>
      </c>
      <c r="I173" s="3">
        <f>CLIENTS_CHURN[[#This Row],[Anciennete_Mois]]/12</f>
        <v>7</v>
      </c>
      <c r="J173" s="3">
        <f>CLIENTS_CHURN[[#This Row],[Duree_Cumulee_Panne_Min]]/60</f>
        <v>6.0666666666666664</v>
      </c>
    </row>
    <row r="174" spans="1:10" x14ac:dyDescent="0.35">
      <c r="A174" s="3" t="s">
        <v>10</v>
      </c>
      <c r="B174" t="s">
        <v>712</v>
      </c>
      <c r="C174" t="s">
        <v>68</v>
      </c>
      <c r="D174">
        <v>81</v>
      </c>
      <c r="E174" t="s">
        <v>17</v>
      </c>
      <c r="F174">
        <v>11</v>
      </c>
      <c r="G174">
        <v>41.76</v>
      </c>
      <c r="H174">
        <v>5</v>
      </c>
      <c r="I174" s="3">
        <f>CLIENTS_CHURN[[#This Row],[Anciennete_Mois]]/12</f>
        <v>6.75</v>
      </c>
      <c r="J174" s="3">
        <f>CLIENTS_CHURN[[#This Row],[Duree_Cumulee_Panne_Min]]/60</f>
        <v>0.18333333333333332</v>
      </c>
    </row>
    <row r="175" spans="1:10" x14ac:dyDescent="0.35">
      <c r="A175" s="3" t="s">
        <v>10</v>
      </c>
      <c r="B175" t="s">
        <v>67</v>
      </c>
      <c r="C175" t="s">
        <v>68</v>
      </c>
      <c r="D175">
        <v>2</v>
      </c>
      <c r="E175" t="s">
        <v>20</v>
      </c>
      <c r="F175">
        <v>481</v>
      </c>
      <c r="G175">
        <v>29.37</v>
      </c>
      <c r="H175">
        <v>4</v>
      </c>
      <c r="I175" s="3">
        <f>CLIENTS_CHURN[[#This Row],[Anciennete_Mois]]/12</f>
        <v>0.16666666666666666</v>
      </c>
      <c r="J175" s="3">
        <f>CLIENTS_CHURN[[#This Row],[Duree_Cumulee_Panne_Min]]/60</f>
        <v>8.0166666666666675</v>
      </c>
    </row>
    <row r="176" spans="1:10" x14ac:dyDescent="0.35">
      <c r="A176" s="3" t="s">
        <v>10</v>
      </c>
      <c r="B176" t="s">
        <v>480</v>
      </c>
      <c r="C176" t="s">
        <v>68</v>
      </c>
      <c r="D176">
        <v>82</v>
      </c>
      <c r="E176" t="s">
        <v>17</v>
      </c>
      <c r="F176">
        <v>175</v>
      </c>
      <c r="G176">
        <v>86.14</v>
      </c>
      <c r="H176">
        <v>1</v>
      </c>
      <c r="I176" s="3">
        <f>CLIENTS_CHURN[[#This Row],[Anciennete_Mois]]/12</f>
        <v>6.833333333333333</v>
      </c>
      <c r="J176" s="3">
        <f>CLIENTS_CHURN[[#This Row],[Duree_Cumulee_Panne_Min]]/60</f>
        <v>2.9166666666666665</v>
      </c>
    </row>
    <row r="177" spans="1:10" x14ac:dyDescent="0.35">
      <c r="A177" s="3" t="s">
        <v>10</v>
      </c>
      <c r="B177" t="s">
        <v>609</v>
      </c>
      <c r="C177" t="s">
        <v>68</v>
      </c>
      <c r="D177">
        <v>108</v>
      </c>
      <c r="E177" t="s">
        <v>13</v>
      </c>
      <c r="F177">
        <v>78</v>
      </c>
      <c r="G177">
        <v>90.05</v>
      </c>
      <c r="H177">
        <v>2</v>
      </c>
      <c r="I177" s="3">
        <f>CLIENTS_CHURN[[#This Row],[Anciennete_Mois]]/12</f>
        <v>9</v>
      </c>
      <c r="J177" s="3">
        <f>CLIENTS_CHURN[[#This Row],[Duree_Cumulee_Panne_Min]]/60</f>
        <v>1.3</v>
      </c>
    </row>
    <row r="178" spans="1:10" x14ac:dyDescent="0.35">
      <c r="A178" s="3" t="s">
        <v>74</v>
      </c>
      <c r="B178" t="s">
        <v>344</v>
      </c>
      <c r="C178" t="s">
        <v>68</v>
      </c>
      <c r="D178">
        <v>112</v>
      </c>
      <c r="E178" t="s">
        <v>17</v>
      </c>
      <c r="F178">
        <v>281</v>
      </c>
      <c r="G178">
        <v>80.72</v>
      </c>
      <c r="H178">
        <v>2</v>
      </c>
      <c r="I178" s="3">
        <f>CLIENTS_CHURN[[#This Row],[Anciennete_Mois]]/12</f>
        <v>9.3333333333333339</v>
      </c>
      <c r="J178" s="3">
        <f>CLIENTS_CHURN[[#This Row],[Duree_Cumulee_Panne_Min]]/60</f>
        <v>4.6833333333333336</v>
      </c>
    </row>
    <row r="179" spans="1:10" x14ac:dyDescent="0.35">
      <c r="A179" s="3" t="s">
        <v>100</v>
      </c>
      <c r="B179" t="s">
        <v>158</v>
      </c>
      <c r="C179" t="s">
        <v>68</v>
      </c>
      <c r="D179">
        <v>37</v>
      </c>
      <c r="E179" t="s">
        <v>13</v>
      </c>
      <c r="F179">
        <v>420</v>
      </c>
      <c r="G179">
        <v>67.260000000000005</v>
      </c>
      <c r="H179">
        <v>4</v>
      </c>
      <c r="I179" s="3">
        <f>CLIENTS_CHURN[[#This Row],[Anciennete_Mois]]/12</f>
        <v>3.0833333333333335</v>
      </c>
      <c r="J179" s="3">
        <f>CLIENTS_CHURN[[#This Row],[Duree_Cumulee_Panne_Min]]/60</f>
        <v>7</v>
      </c>
    </row>
    <row r="180" spans="1:10" x14ac:dyDescent="0.35">
      <c r="A180" s="3" t="s">
        <v>100</v>
      </c>
      <c r="B180" t="s">
        <v>462</v>
      </c>
      <c r="C180" t="s">
        <v>68</v>
      </c>
      <c r="D180">
        <v>38</v>
      </c>
      <c r="E180" t="s">
        <v>17</v>
      </c>
      <c r="F180">
        <v>191</v>
      </c>
      <c r="G180">
        <v>22.97</v>
      </c>
      <c r="H180">
        <v>3</v>
      </c>
      <c r="I180" s="3">
        <f>CLIENTS_CHURN[[#This Row],[Anciennete_Mois]]/12</f>
        <v>3.1666666666666665</v>
      </c>
      <c r="J180" s="3">
        <f>CLIENTS_CHURN[[#This Row],[Duree_Cumulee_Panne_Min]]/60</f>
        <v>3.1833333333333331</v>
      </c>
    </row>
    <row r="181" spans="1:10" x14ac:dyDescent="0.35">
      <c r="A181" s="3" t="s">
        <v>100</v>
      </c>
      <c r="B181" t="s">
        <v>148</v>
      </c>
      <c r="C181" t="s">
        <v>68</v>
      </c>
      <c r="D181">
        <v>1</v>
      </c>
      <c r="E181" t="s">
        <v>13</v>
      </c>
      <c r="F181">
        <v>429</v>
      </c>
      <c r="G181">
        <v>20.96</v>
      </c>
      <c r="H181">
        <v>5</v>
      </c>
      <c r="I181" s="3">
        <f>CLIENTS_CHURN[[#This Row],[Anciennete_Mois]]/12</f>
        <v>8.3333333333333329E-2</v>
      </c>
      <c r="J181" s="3">
        <f>CLIENTS_CHURN[[#This Row],[Duree_Cumulee_Panne_Min]]/60</f>
        <v>7.15</v>
      </c>
    </row>
    <row r="182" spans="1:10" x14ac:dyDescent="0.35">
      <c r="A182" s="3" t="s">
        <v>85</v>
      </c>
      <c r="B182" t="s">
        <v>276</v>
      </c>
      <c r="C182" t="s">
        <v>43</v>
      </c>
      <c r="D182">
        <v>72</v>
      </c>
      <c r="E182" t="s">
        <v>31</v>
      </c>
      <c r="F182">
        <v>332</v>
      </c>
      <c r="G182">
        <v>83.36</v>
      </c>
      <c r="H182">
        <v>4</v>
      </c>
      <c r="I182" s="3">
        <f>CLIENTS_CHURN[[#This Row],[Anciennete_Mois]]/12</f>
        <v>6</v>
      </c>
      <c r="J182" s="3">
        <f>CLIENTS_CHURN[[#This Row],[Duree_Cumulee_Panne_Min]]/60</f>
        <v>5.5333333333333332</v>
      </c>
    </row>
    <row r="183" spans="1:10" x14ac:dyDescent="0.35">
      <c r="A183" s="3" t="s">
        <v>85</v>
      </c>
      <c r="B183" t="s">
        <v>301</v>
      </c>
      <c r="C183" t="s">
        <v>43</v>
      </c>
      <c r="D183">
        <v>78</v>
      </c>
      <c r="E183" t="s">
        <v>31</v>
      </c>
      <c r="F183">
        <v>312</v>
      </c>
      <c r="G183">
        <v>85.74</v>
      </c>
      <c r="H183">
        <v>2</v>
      </c>
      <c r="I183" s="3">
        <f>CLIENTS_CHURN[[#This Row],[Anciennete_Mois]]/12</f>
        <v>6.5</v>
      </c>
      <c r="J183" s="3">
        <f>CLIENTS_CHURN[[#This Row],[Duree_Cumulee_Panne_Min]]/60</f>
        <v>5.2</v>
      </c>
    </row>
    <row r="184" spans="1:10" x14ac:dyDescent="0.35">
      <c r="A184" s="3" t="s">
        <v>85</v>
      </c>
      <c r="B184" t="s">
        <v>179</v>
      </c>
      <c r="C184" t="s">
        <v>43</v>
      </c>
      <c r="D184">
        <v>106</v>
      </c>
      <c r="E184" t="s">
        <v>31</v>
      </c>
      <c r="F184">
        <v>400</v>
      </c>
      <c r="G184">
        <v>70.02</v>
      </c>
      <c r="H184">
        <v>4</v>
      </c>
      <c r="I184" s="3">
        <f>CLIENTS_CHURN[[#This Row],[Anciennete_Mois]]/12</f>
        <v>8.8333333333333339</v>
      </c>
      <c r="J184" s="3">
        <f>CLIENTS_CHURN[[#This Row],[Duree_Cumulee_Panne_Min]]/60</f>
        <v>6.666666666666667</v>
      </c>
    </row>
    <row r="185" spans="1:10" x14ac:dyDescent="0.35">
      <c r="A185" s="3" t="s">
        <v>85</v>
      </c>
      <c r="B185" t="s">
        <v>222</v>
      </c>
      <c r="C185" t="s">
        <v>43</v>
      </c>
      <c r="D185">
        <v>99</v>
      </c>
      <c r="E185" t="s">
        <v>31</v>
      </c>
      <c r="F185">
        <v>369</v>
      </c>
      <c r="G185">
        <v>67.209999999999994</v>
      </c>
      <c r="H185">
        <v>3</v>
      </c>
      <c r="I185" s="3">
        <f>CLIENTS_CHURN[[#This Row],[Anciennete_Mois]]/12</f>
        <v>8.25</v>
      </c>
      <c r="J185" s="3">
        <f>CLIENTS_CHURN[[#This Row],[Duree_Cumulee_Panne_Min]]/60</f>
        <v>6.15</v>
      </c>
    </row>
    <row r="186" spans="1:10" x14ac:dyDescent="0.35">
      <c r="A186" s="3" t="s">
        <v>85</v>
      </c>
      <c r="B186" t="s">
        <v>616</v>
      </c>
      <c r="C186" t="s">
        <v>43</v>
      </c>
      <c r="D186">
        <v>14</v>
      </c>
      <c r="E186" t="s">
        <v>13</v>
      </c>
      <c r="F186">
        <v>75</v>
      </c>
      <c r="G186">
        <v>55.67</v>
      </c>
      <c r="H186">
        <v>3</v>
      </c>
      <c r="I186" s="3">
        <f>CLIENTS_CHURN[[#This Row],[Anciennete_Mois]]/12</f>
        <v>1.1666666666666667</v>
      </c>
      <c r="J186" s="3">
        <f>CLIENTS_CHURN[[#This Row],[Duree_Cumulee_Panne_Min]]/60</f>
        <v>1.25</v>
      </c>
    </row>
    <row r="187" spans="1:10" x14ac:dyDescent="0.35">
      <c r="A187" s="3" t="s">
        <v>25</v>
      </c>
      <c r="B187" t="s">
        <v>437</v>
      </c>
      <c r="C187" t="s">
        <v>43</v>
      </c>
      <c r="D187">
        <v>57</v>
      </c>
      <c r="E187" t="s">
        <v>31</v>
      </c>
      <c r="F187">
        <v>208</v>
      </c>
      <c r="G187">
        <v>85.66</v>
      </c>
      <c r="H187">
        <v>5</v>
      </c>
      <c r="I187" s="3">
        <f>CLIENTS_CHURN[[#This Row],[Anciennete_Mois]]/12</f>
        <v>4.75</v>
      </c>
      <c r="J187" s="3">
        <f>CLIENTS_CHURN[[#This Row],[Duree_Cumulee_Panne_Min]]/60</f>
        <v>3.4666666666666668</v>
      </c>
    </row>
    <row r="188" spans="1:10" x14ac:dyDescent="0.35">
      <c r="A188" s="3" t="s">
        <v>69</v>
      </c>
      <c r="B188" t="s">
        <v>364</v>
      </c>
      <c r="C188" t="s">
        <v>43</v>
      </c>
      <c r="D188">
        <v>67</v>
      </c>
      <c r="E188" t="s">
        <v>17</v>
      </c>
      <c r="F188">
        <v>264</v>
      </c>
      <c r="G188">
        <v>97.89</v>
      </c>
      <c r="H188">
        <v>1</v>
      </c>
      <c r="I188" s="3">
        <f>CLIENTS_CHURN[[#This Row],[Anciennete_Mois]]/12</f>
        <v>5.583333333333333</v>
      </c>
      <c r="J188" s="3">
        <f>CLIENTS_CHURN[[#This Row],[Duree_Cumulee_Panne_Min]]/60</f>
        <v>4.4000000000000004</v>
      </c>
    </row>
    <row r="189" spans="1:10" x14ac:dyDescent="0.35">
      <c r="A189" s="3" t="s">
        <v>69</v>
      </c>
      <c r="B189" t="s">
        <v>316</v>
      </c>
      <c r="C189" t="s">
        <v>43</v>
      </c>
      <c r="D189">
        <v>7</v>
      </c>
      <c r="E189" t="s">
        <v>13</v>
      </c>
      <c r="F189">
        <v>303</v>
      </c>
      <c r="G189">
        <v>60.95</v>
      </c>
      <c r="H189">
        <v>0</v>
      </c>
      <c r="I189" s="3">
        <f>CLIENTS_CHURN[[#This Row],[Anciennete_Mois]]/12</f>
        <v>0.58333333333333337</v>
      </c>
      <c r="J189" s="3">
        <f>CLIENTS_CHURN[[#This Row],[Duree_Cumulee_Panne_Min]]/60</f>
        <v>5.05</v>
      </c>
    </row>
    <row r="190" spans="1:10" x14ac:dyDescent="0.35">
      <c r="A190" s="3" t="s">
        <v>39</v>
      </c>
      <c r="B190" t="s">
        <v>707</v>
      </c>
      <c r="C190" t="s">
        <v>43</v>
      </c>
      <c r="D190">
        <v>71</v>
      </c>
      <c r="E190" t="s">
        <v>13</v>
      </c>
      <c r="F190">
        <v>15</v>
      </c>
      <c r="G190">
        <v>25.46</v>
      </c>
      <c r="H190">
        <v>5</v>
      </c>
      <c r="I190" s="3">
        <f>CLIENTS_CHURN[[#This Row],[Anciennete_Mois]]/12</f>
        <v>5.916666666666667</v>
      </c>
      <c r="J190" s="3">
        <f>CLIENTS_CHURN[[#This Row],[Duree_Cumulee_Panne_Min]]/60</f>
        <v>0.25</v>
      </c>
    </row>
    <row r="191" spans="1:10" x14ac:dyDescent="0.35">
      <c r="A191" s="3" t="s">
        <v>32</v>
      </c>
      <c r="B191" t="s">
        <v>470</v>
      </c>
      <c r="C191" t="s">
        <v>43</v>
      </c>
      <c r="D191">
        <v>4</v>
      </c>
      <c r="E191" t="s">
        <v>31</v>
      </c>
      <c r="F191">
        <v>182</v>
      </c>
      <c r="G191">
        <v>89.56</v>
      </c>
      <c r="H191">
        <v>4</v>
      </c>
      <c r="I191" s="3">
        <f>CLIENTS_CHURN[[#This Row],[Anciennete_Mois]]/12</f>
        <v>0.33333333333333331</v>
      </c>
      <c r="J191" s="3">
        <f>CLIENTS_CHURN[[#This Row],[Duree_Cumulee_Panne_Min]]/60</f>
        <v>3.0333333333333332</v>
      </c>
    </row>
    <row r="192" spans="1:10" x14ac:dyDescent="0.35">
      <c r="A192" s="3" t="s">
        <v>32</v>
      </c>
      <c r="B192" t="s">
        <v>466</v>
      </c>
      <c r="C192" t="s">
        <v>43</v>
      </c>
      <c r="D192">
        <v>91</v>
      </c>
      <c r="E192" t="s">
        <v>31</v>
      </c>
      <c r="F192">
        <v>188</v>
      </c>
      <c r="G192">
        <v>65.78</v>
      </c>
      <c r="H192">
        <v>4</v>
      </c>
      <c r="I192" s="3">
        <f>CLIENTS_CHURN[[#This Row],[Anciennete_Mois]]/12</f>
        <v>7.583333333333333</v>
      </c>
      <c r="J192" s="3">
        <f>CLIENTS_CHURN[[#This Row],[Duree_Cumulee_Panne_Min]]/60</f>
        <v>3.1333333333333333</v>
      </c>
    </row>
    <row r="193" spans="1:10" x14ac:dyDescent="0.35">
      <c r="A193" s="3" t="s">
        <v>32</v>
      </c>
      <c r="B193" t="s">
        <v>403</v>
      </c>
      <c r="C193" t="s">
        <v>43</v>
      </c>
      <c r="D193">
        <v>52</v>
      </c>
      <c r="E193" t="s">
        <v>20</v>
      </c>
      <c r="F193">
        <v>234</v>
      </c>
      <c r="G193">
        <v>62.87</v>
      </c>
      <c r="H193">
        <v>0</v>
      </c>
      <c r="I193" s="3">
        <f>CLIENTS_CHURN[[#This Row],[Anciennete_Mois]]/12</f>
        <v>4.333333333333333</v>
      </c>
      <c r="J193" s="3">
        <f>CLIENTS_CHURN[[#This Row],[Duree_Cumulee_Panne_Min]]/60</f>
        <v>3.9</v>
      </c>
    </row>
    <row r="194" spans="1:10" x14ac:dyDescent="0.35">
      <c r="A194" s="3" t="s">
        <v>32</v>
      </c>
      <c r="B194" t="s">
        <v>248</v>
      </c>
      <c r="C194" t="s">
        <v>43</v>
      </c>
      <c r="D194">
        <v>13</v>
      </c>
      <c r="E194" t="s">
        <v>20</v>
      </c>
      <c r="F194">
        <v>347</v>
      </c>
      <c r="G194">
        <v>32.35</v>
      </c>
      <c r="H194">
        <v>2</v>
      </c>
      <c r="I194" s="3">
        <f>CLIENTS_CHURN[[#This Row],[Anciennete_Mois]]/12</f>
        <v>1.0833333333333333</v>
      </c>
      <c r="J194" s="3">
        <f>CLIENTS_CHURN[[#This Row],[Duree_Cumulee_Panne_Min]]/60</f>
        <v>5.7833333333333332</v>
      </c>
    </row>
    <row r="195" spans="1:10" x14ac:dyDescent="0.35">
      <c r="A195" s="3" t="s">
        <v>32</v>
      </c>
      <c r="B195" t="s">
        <v>715</v>
      </c>
      <c r="C195" t="s">
        <v>43</v>
      </c>
      <c r="D195">
        <v>89</v>
      </c>
      <c r="E195" t="s">
        <v>17</v>
      </c>
      <c r="F195">
        <v>7</v>
      </c>
      <c r="G195">
        <v>53.39</v>
      </c>
      <c r="H195">
        <v>3</v>
      </c>
      <c r="I195" s="3">
        <f>CLIENTS_CHURN[[#This Row],[Anciennete_Mois]]/12</f>
        <v>7.416666666666667</v>
      </c>
      <c r="J195" s="3">
        <f>CLIENTS_CHURN[[#This Row],[Duree_Cumulee_Panne_Min]]/60</f>
        <v>0.11666666666666667</v>
      </c>
    </row>
    <row r="196" spans="1:10" x14ac:dyDescent="0.35">
      <c r="A196" s="3" t="s">
        <v>35</v>
      </c>
      <c r="B196" t="s">
        <v>284</v>
      </c>
      <c r="C196" t="s">
        <v>43</v>
      </c>
      <c r="D196">
        <v>99</v>
      </c>
      <c r="E196" t="s">
        <v>20</v>
      </c>
      <c r="F196">
        <v>325</v>
      </c>
      <c r="G196">
        <v>88.35</v>
      </c>
      <c r="H196">
        <v>4</v>
      </c>
      <c r="I196" s="3">
        <f>CLIENTS_CHURN[[#This Row],[Anciennete_Mois]]/12</f>
        <v>8.25</v>
      </c>
      <c r="J196" s="3">
        <f>CLIENTS_CHURN[[#This Row],[Duree_Cumulee_Panne_Min]]/60</f>
        <v>5.416666666666667</v>
      </c>
    </row>
    <row r="197" spans="1:10" x14ac:dyDescent="0.35">
      <c r="A197" s="3" t="s">
        <v>21</v>
      </c>
      <c r="B197" t="s">
        <v>48</v>
      </c>
      <c r="C197" t="s">
        <v>43</v>
      </c>
      <c r="D197">
        <v>43</v>
      </c>
      <c r="E197" t="s">
        <v>13</v>
      </c>
      <c r="F197">
        <v>486</v>
      </c>
      <c r="G197">
        <v>76.42</v>
      </c>
      <c r="H197">
        <v>1</v>
      </c>
      <c r="I197" s="3">
        <f>CLIENTS_CHURN[[#This Row],[Anciennete_Mois]]/12</f>
        <v>3.5833333333333335</v>
      </c>
      <c r="J197" s="3">
        <f>CLIENTS_CHURN[[#This Row],[Duree_Cumulee_Panne_Min]]/60</f>
        <v>8.1</v>
      </c>
    </row>
    <row r="198" spans="1:10" x14ac:dyDescent="0.35">
      <c r="A198" s="3" t="s">
        <v>21</v>
      </c>
      <c r="B198" t="s">
        <v>474</v>
      </c>
      <c r="C198" t="s">
        <v>43</v>
      </c>
      <c r="D198">
        <v>13</v>
      </c>
      <c r="E198" t="s">
        <v>31</v>
      </c>
      <c r="F198">
        <v>180</v>
      </c>
      <c r="G198">
        <v>24.01</v>
      </c>
      <c r="H198">
        <v>0</v>
      </c>
      <c r="I198" s="3">
        <f>CLIENTS_CHURN[[#This Row],[Anciennete_Mois]]/12</f>
        <v>1.0833333333333333</v>
      </c>
      <c r="J198" s="3">
        <f>CLIENTS_CHURN[[#This Row],[Duree_Cumulee_Panne_Min]]/60</f>
        <v>3</v>
      </c>
    </row>
    <row r="199" spans="1:10" x14ac:dyDescent="0.35">
      <c r="A199" s="3" t="s">
        <v>61</v>
      </c>
      <c r="B199" t="s">
        <v>224</v>
      </c>
      <c r="C199" t="s">
        <v>43</v>
      </c>
      <c r="D199">
        <v>1</v>
      </c>
      <c r="E199" t="s">
        <v>13</v>
      </c>
      <c r="F199">
        <v>368</v>
      </c>
      <c r="G199">
        <v>35.17</v>
      </c>
      <c r="H199">
        <v>1</v>
      </c>
      <c r="I199" s="3">
        <f>CLIENTS_CHURN[[#This Row],[Anciennete_Mois]]/12</f>
        <v>8.3333333333333329E-2</v>
      </c>
      <c r="J199" s="3">
        <f>CLIENTS_CHURN[[#This Row],[Duree_Cumulee_Panne_Min]]/60</f>
        <v>6.1333333333333337</v>
      </c>
    </row>
    <row r="200" spans="1:10" x14ac:dyDescent="0.35">
      <c r="A200" s="3" t="s">
        <v>51</v>
      </c>
      <c r="B200" t="s">
        <v>593</v>
      </c>
      <c r="C200" t="s">
        <v>43</v>
      </c>
      <c r="D200">
        <v>20</v>
      </c>
      <c r="E200" t="s">
        <v>20</v>
      </c>
      <c r="F200">
        <v>93</v>
      </c>
      <c r="G200">
        <v>84.45</v>
      </c>
      <c r="H200">
        <v>0</v>
      </c>
      <c r="I200" s="3">
        <f>CLIENTS_CHURN[[#This Row],[Anciennete_Mois]]/12</f>
        <v>1.6666666666666667</v>
      </c>
      <c r="J200" s="3">
        <f>CLIENTS_CHURN[[#This Row],[Duree_Cumulee_Panne_Min]]/60</f>
        <v>1.55</v>
      </c>
    </row>
    <row r="201" spans="1:10" x14ac:dyDescent="0.35">
      <c r="A201" s="3" t="s">
        <v>51</v>
      </c>
      <c r="B201" t="s">
        <v>278</v>
      </c>
      <c r="C201" t="s">
        <v>43</v>
      </c>
      <c r="D201">
        <v>74</v>
      </c>
      <c r="E201" t="s">
        <v>17</v>
      </c>
      <c r="F201">
        <v>330</v>
      </c>
      <c r="G201">
        <v>37.82</v>
      </c>
      <c r="H201">
        <v>5</v>
      </c>
      <c r="I201" s="3">
        <f>CLIENTS_CHURN[[#This Row],[Anciennete_Mois]]/12</f>
        <v>6.166666666666667</v>
      </c>
      <c r="J201" s="3">
        <f>CLIENTS_CHURN[[#This Row],[Duree_Cumulee_Panne_Min]]/60</f>
        <v>5.5</v>
      </c>
    </row>
    <row r="202" spans="1:10" x14ac:dyDescent="0.35">
      <c r="A202" s="3" t="s">
        <v>28</v>
      </c>
      <c r="B202" t="s">
        <v>42</v>
      </c>
      <c r="C202" t="s">
        <v>43</v>
      </c>
      <c r="D202">
        <v>36</v>
      </c>
      <c r="E202" t="s">
        <v>17</v>
      </c>
      <c r="F202">
        <v>487</v>
      </c>
      <c r="G202">
        <v>45.02</v>
      </c>
      <c r="H202">
        <v>2</v>
      </c>
      <c r="I202" s="3">
        <f>CLIENTS_CHURN[[#This Row],[Anciennete_Mois]]/12</f>
        <v>3</v>
      </c>
      <c r="J202" s="3">
        <f>CLIENTS_CHURN[[#This Row],[Duree_Cumulee_Panne_Min]]/60</f>
        <v>8.1166666666666671</v>
      </c>
    </row>
    <row r="203" spans="1:10" x14ac:dyDescent="0.35">
      <c r="A203" s="3" t="s">
        <v>28</v>
      </c>
      <c r="B203" t="s">
        <v>1511</v>
      </c>
      <c r="C203" t="s">
        <v>43</v>
      </c>
      <c r="D203">
        <v>34</v>
      </c>
      <c r="E203" t="s">
        <v>17</v>
      </c>
      <c r="F203">
        <v>401</v>
      </c>
      <c r="G203">
        <v>68.400000000000006</v>
      </c>
      <c r="H203">
        <v>5</v>
      </c>
      <c r="I203" s="3">
        <f>CLIENTS_CHURN[[#This Row],[Anciennete_Mois]]/12</f>
        <v>2.8333333333333335</v>
      </c>
      <c r="J203" s="3">
        <f>CLIENTS_CHURN[[#This Row],[Duree_Cumulee_Panne_Min]]/60</f>
        <v>6.6833333333333336</v>
      </c>
    </row>
    <row r="204" spans="1:10" x14ac:dyDescent="0.35">
      <c r="A204" s="3" t="s">
        <v>10</v>
      </c>
      <c r="B204" t="s">
        <v>216</v>
      </c>
      <c r="C204" t="s">
        <v>43</v>
      </c>
      <c r="D204">
        <v>4</v>
      </c>
      <c r="E204" t="s">
        <v>20</v>
      </c>
      <c r="F204">
        <v>372</v>
      </c>
      <c r="G204">
        <v>26.73</v>
      </c>
      <c r="H204">
        <v>3</v>
      </c>
      <c r="I204" s="3">
        <f>CLIENTS_CHURN[[#This Row],[Anciennete_Mois]]/12</f>
        <v>0.33333333333333331</v>
      </c>
      <c r="J204" s="3">
        <f>CLIENTS_CHURN[[#This Row],[Duree_Cumulee_Panne_Min]]/60</f>
        <v>6.2</v>
      </c>
    </row>
    <row r="205" spans="1:10" x14ac:dyDescent="0.35">
      <c r="A205" s="3" t="s">
        <v>100</v>
      </c>
      <c r="B205" t="s">
        <v>725</v>
      </c>
      <c r="C205" t="s">
        <v>43</v>
      </c>
      <c r="D205">
        <v>37</v>
      </c>
      <c r="E205" t="s">
        <v>17</v>
      </c>
      <c r="F205">
        <v>3</v>
      </c>
      <c r="G205">
        <v>20.89</v>
      </c>
      <c r="H205">
        <v>5</v>
      </c>
      <c r="I205" s="3">
        <f>CLIENTS_CHURN[[#This Row],[Anciennete_Mois]]/12</f>
        <v>3.0833333333333335</v>
      </c>
      <c r="J205" s="3">
        <f>CLIENTS_CHURN[[#This Row],[Duree_Cumulee_Panne_Min]]/60</f>
        <v>0.05</v>
      </c>
    </row>
    <row r="206" spans="1:10" x14ac:dyDescent="0.35">
      <c r="A206" s="3" t="s">
        <v>45</v>
      </c>
      <c r="B206" t="s">
        <v>184</v>
      </c>
      <c r="C206" t="s">
        <v>43</v>
      </c>
      <c r="D206">
        <v>26</v>
      </c>
      <c r="E206" t="s">
        <v>13</v>
      </c>
      <c r="F206">
        <v>391</v>
      </c>
      <c r="G206">
        <v>18.28</v>
      </c>
      <c r="H206">
        <v>3</v>
      </c>
      <c r="I206" s="3">
        <f>CLIENTS_CHURN[[#This Row],[Anciennete_Mois]]/12</f>
        <v>2.1666666666666665</v>
      </c>
      <c r="J206" s="3">
        <f>CLIENTS_CHURN[[#This Row],[Duree_Cumulee_Panne_Min]]/60</f>
        <v>6.5166666666666666</v>
      </c>
    </row>
    <row r="207" spans="1:10" x14ac:dyDescent="0.35">
      <c r="A207" s="3" t="s">
        <v>45</v>
      </c>
      <c r="B207" t="s">
        <v>575</v>
      </c>
      <c r="C207" t="s">
        <v>43</v>
      </c>
      <c r="D207">
        <v>109</v>
      </c>
      <c r="E207" t="s">
        <v>17</v>
      </c>
      <c r="F207">
        <v>104</v>
      </c>
      <c r="G207">
        <v>12.37</v>
      </c>
      <c r="H207">
        <v>5</v>
      </c>
      <c r="I207" s="3">
        <f>CLIENTS_CHURN[[#This Row],[Anciennete_Mois]]/12</f>
        <v>9.0833333333333339</v>
      </c>
      <c r="J207" s="3">
        <f>CLIENTS_CHURN[[#This Row],[Duree_Cumulee_Panne_Min]]/60</f>
        <v>1.7333333333333334</v>
      </c>
    </row>
    <row r="208" spans="1:10" x14ac:dyDescent="0.35">
      <c r="A208" s="3" t="s">
        <v>45</v>
      </c>
      <c r="B208" t="s">
        <v>521</v>
      </c>
      <c r="C208" t="s">
        <v>43</v>
      </c>
      <c r="D208">
        <v>12</v>
      </c>
      <c r="E208" t="s">
        <v>13</v>
      </c>
      <c r="F208">
        <v>138</v>
      </c>
      <c r="G208">
        <v>99.83</v>
      </c>
      <c r="H208">
        <v>1</v>
      </c>
      <c r="I208" s="3">
        <f>CLIENTS_CHURN[[#This Row],[Anciennete_Mois]]/12</f>
        <v>1</v>
      </c>
      <c r="J208" s="3">
        <f>CLIENTS_CHURN[[#This Row],[Duree_Cumulee_Panne_Min]]/60</f>
        <v>2.2999999999999998</v>
      </c>
    </row>
    <row r="209" spans="1:10" x14ac:dyDescent="0.35">
      <c r="A209" s="3" t="s">
        <v>85</v>
      </c>
      <c r="B209" t="s">
        <v>86</v>
      </c>
      <c r="C209" t="s">
        <v>87</v>
      </c>
      <c r="D209">
        <v>86</v>
      </c>
      <c r="E209" t="s">
        <v>13</v>
      </c>
      <c r="F209">
        <v>471</v>
      </c>
      <c r="G209">
        <v>33.380000000000003</v>
      </c>
      <c r="H209">
        <v>4</v>
      </c>
      <c r="I209" s="3">
        <f>CLIENTS_CHURN[[#This Row],[Anciennete_Mois]]/12</f>
        <v>7.166666666666667</v>
      </c>
      <c r="J209" s="3">
        <f>CLIENTS_CHURN[[#This Row],[Duree_Cumulee_Panne_Min]]/60</f>
        <v>7.85</v>
      </c>
    </row>
    <row r="210" spans="1:10" x14ac:dyDescent="0.35">
      <c r="A210" s="3" t="s">
        <v>85</v>
      </c>
      <c r="B210" t="s">
        <v>175</v>
      </c>
      <c r="C210" t="s">
        <v>87</v>
      </c>
      <c r="D210">
        <v>15</v>
      </c>
      <c r="E210" t="s">
        <v>20</v>
      </c>
      <c r="F210">
        <v>403</v>
      </c>
      <c r="G210">
        <v>77.12</v>
      </c>
      <c r="H210">
        <v>1</v>
      </c>
      <c r="I210" s="3">
        <f>CLIENTS_CHURN[[#This Row],[Anciennete_Mois]]/12</f>
        <v>1.25</v>
      </c>
      <c r="J210" s="3">
        <f>CLIENTS_CHURN[[#This Row],[Duree_Cumulee_Panne_Min]]/60</f>
        <v>6.7166666666666668</v>
      </c>
    </row>
    <row r="211" spans="1:10" x14ac:dyDescent="0.35">
      <c r="A211" s="3" t="s">
        <v>85</v>
      </c>
      <c r="B211" t="s">
        <v>499</v>
      </c>
      <c r="C211" t="s">
        <v>87</v>
      </c>
      <c r="D211">
        <v>72</v>
      </c>
      <c r="E211" t="s">
        <v>20</v>
      </c>
      <c r="F211">
        <v>160</v>
      </c>
      <c r="G211">
        <v>90.13</v>
      </c>
      <c r="H211">
        <v>2</v>
      </c>
      <c r="I211" s="3">
        <f>CLIENTS_CHURN[[#This Row],[Anciennete_Mois]]/12</f>
        <v>6</v>
      </c>
      <c r="J211" s="3">
        <f>CLIENTS_CHURN[[#This Row],[Duree_Cumulee_Panne_Min]]/60</f>
        <v>2.6666666666666665</v>
      </c>
    </row>
    <row r="212" spans="1:10" x14ac:dyDescent="0.35">
      <c r="A212" s="3" t="s">
        <v>25</v>
      </c>
      <c r="B212" t="s">
        <v>340</v>
      </c>
      <c r="C212" t="s">
        <v>87</v>
      </c>
      <c r="D212">
        <v>114</v>
      </c>
      <c r="E212" t="s">
        <v>13</v>
      </c>
      <c r="F212">
        <v>283</v>
      </c>
      <c r="G212">
        <v>29.15</v>
      </c>
      <c r="H212">
        <v>3</v>
      </c>
      <c r="I212" s="3">
        <f>CLIENTS_CHURN[[#This Row],[Anciennete_Mois]]/12</f>
        <v>9.5</v>
      </c>
      <c r="J212" s="3">
        <f>CLIENTS_CHURN[[#This Row],[Duree_Cumulee_Panne_Min]]/60</f>
        <v>4.7166666666666668</v>
      </c>
    </row>
    <row r="213" spans="1:10" x14ac:dyDescent="0.35">
      <c r="A213" s="3" t="s">
        <v>69</v>
      </c>
      <c r="B213" t="s">
        <v>1460</v>
      </c>
      <c r="C213" t="s">
        <v>87</v>
      </c>
      <c r="D213">
        <v>84</v>
      </c>
      <c r="E213" t="s">
        <v>31</v>
      </c>
      <c r="F213">
        <v>317</v>
      </c>
      <c r="G213">
        <v>36.200000000000003</v>
      </c>
      <c r="H213">
        <v>3</v>
      </c>
      <c r="I213" s="3">
        <f>CLIENTS_CHURN[[#This Row],[Anciennete_Mois]]/12</f>
        <v>7</v>
      </c>
      <c r="J213" s="3">
        <f>CLIENTS_CHURN[[#This Row],[Duree_Cumulee_Panne_Min]]/60</f>
        <v>5.2833333333333332</v>
      </c>
    </row>
    <row r="214" spans="1:10" x14ac:dyDescent="0.35">
      <c r="A214" s="3" t="s">
        <v>69</v>
      </c>
      <c r="B214" t="s">
        <v>651</v>
      </c>
      <c r="C214" t="s">
        <v>87</v>
      </c>
      <c r="D214">
        <v>110</v>
      </c>
      <c r="E214" t="s">
        <v>13</v>
      </c>
      <c r="F214">
        <v>51</v>
      </c>
      <c r="G214">
        <v>56.59</v>
      </c>
      <c r="H214">
        <v>5</v>
      </c>
      <c r="I214" s="3">
        <f>CLIENTS_CHURN[[#This Row],[Anciennete_Mois]]/12</f>
        <v>9.1666666666666661</v>
      </c>
      <c r="J214" s="3">
        <f>CLIENTS_CHURN[[#This Row],[Duree_Cumulee_Panne_Min]]/60</f>
        <v>0.85</v>
      </c>
    </row>
    <row r="215" spans="1:10" x14ac:dyDescent="0.35">
      <c r="A215" s="3" t="s">
        <v>69</v>
      </c>
      <c r="B215" t="s">
        <v>320</v>
      </c>
      <c r="C215" t="s">
        <v>87</v>
      </c>
      <c r="D215">
        <v>64</v>
      </c>
      <c r="E215" t="s">
        <v>20</v>
      </c>
      <c r="F215">
        <v>300</v>
      </c>
      <c r="G215">
        <v>28.11</v>
      </c>
      <c r="H215">
        <v>2</v>
      </c>
      <c r="I215" s="3">
        <f>CLIENTS_CHURN[[#This Row],[Anciennete_Mois]]/12</f>
        <v>5.333333333333333</v>
      </c>
      <c r="J215" s="3">
        <f>CLIENTS_CHURN[[#This Row],[Duree_Cumulee_Panne_Min]]/60</f>
        <v>5</v>
      </c>
    </row>
    <row r="216" spans="1:10" x14ac:dyDescent="0.35">
      <c r="A216" s="3" t="s">
        <v>69</v>
      </c>
      <c r="B216" t="s">
        <v>296</v>
      </c>
      <c r="C216" t="s">
        <v>87</v>
      </c>
      <c r="D216">
        <v>104</v>
      </c>
      <c r="E216" t="s">
        <v>20</v>
      </c>
      <c r="F216">
        <v>317</v>
      </c>
      <c r="G216">
        <v>79.150000000000006</v>
      </c>
      <c r="H216">
        <v>1</v>
      </c>
      <c r="I216" s="3">
        <f>CLIENTS_CHURN[[#This Row],[Anciennete_Mois]]/12</f>
        <v>8.6666666666666661</v>
      </c>
      <c r="J216" s="3">
        <f>CLIENTS_CHURN[[#This Row],[Duree_Cumulee_Panne_Min]]/60</f>
        <v>5.2833333333333332</v>
      </c>
    </row>
    <row r="217" spans="1:10" x14ac:dyDescent="0.35">
      <c r="A217" s="3" t="s">
        <v>39</v>
      </c>
      <c r="B217" t="s">
        <v>269</v>
      </c>
      <c r="C217" t="s">
        <v>87</v>
      </c>
      <c r="D217">
        <v>60</v>
      </c>
      <c r="E217" t="s">
        <v>20</v>
      </c>
      <c r="F217">
        <v>334</v>
      </c>
      <c r="G217">
        <v>71.72</v>
      </c>
      <c r="H217">
        <v>3</v>
      </c>
      <c r="I217" s="3">
        <f>CLIENTS_CHURN[[#This Row],[Anciennete_Mois]]/12</f>
        <v>5</v>
      </c>
      <c r="J217" s="3">
        <f>CLIENTS_CHURN[[#This Row],[Duree_Cumulee_Panne_Min]]/60</f>
        <v>5.5666666666666664</v>
      </c>
    </row>
    <row r="218" spans="1:10" x14ac:dyDescent="0.35">
      <c r="A218" s="3" t="s">
        <v>39</v>
      </c>
      <c r="B218" t="s">
        <v>1468</v>
      </c>
      <c r="C218" t="s">
        <v>87</v>
      </c>
      <c r="D218">
        <v>55</v>
      </c>
      <c r="E218" t="s">
        <v>13</v>
      </c>
      <c r="F218">
        <v>394</v>
      </c>
      <c r="G218">
        <v>26.8</v>
      </c>
      <c r="H218">
        <v>4</v>
      </c>
      <c r="I218" s="3">
        <f>CLIENTS_CHURN[[#This Row],[Anciennete_Mois]]/12</f>
        <v>4.583333333333333</v>
      </c>
      <c r="J218" s="3">
        <f>CLIENTS_CHURN[[#This Row],[Duree_Cumulee_Panne_Min]]/60</f>
        <v>6.5666666666666664</v>
      </c>
    </row>
    <row r="219" spans="1:10" x14ac:dyDescent="0.35">
      <c r="A219" s="3" t="s">
        <v>39</v>
      </c>
      <c r="B219" t="s">
        <v>322</v>
      </c>
      <c r="C219" t="s">
        <v>87</v>
      </c>
      <c r="D219">
        <v>118</v>
      </c>
      <c r="E219" t="s">
        <v>31</v>
      </c>
      <c r="F219">
        <v>300</v>
      </c>
      <c r="G219">
        <v>98.22</v>
      </c>
      <c r="H219">
        <v>4</v>
      </c>
      <c r="I219" s="3">
        <f>CLIENTS_CHURN[[#This Row],[Anciennete_Mois]]/12</f>
        <v>9.8333333333333339</v>
      </c>
      <c r="J219" s="3">
        <f>CLIENTS_CHURN[[#This Row],[Duree_Cumulee_Panne_Min]]/60</f>
        <v>5</v>
      </c>
    </row>
    <row r="220" spans="1:10" x14ac:dyDescent="0.35">
      <c r="A220" s="3" t="s">
        <v>39</v>
      </c>
      <c r="B220" t="s">
        <v>1469</v>
      </c>
      <c r="C220" t="s">
        <v>87</v>
      </c>
      <c r="D220">
        <v>23</v>
      </c>
      <c r="E220" t="s">
        <v>20</v>
      </c>
      <c r="F220">
        <v>262</v>
      </c>
      <c r="G220">
        <v>46.3</v>
      </c>
      <c r="H220">
        <v>1</v>
      </c>
      <c r="I220" s="3">
        <f>CLIENTS_CHURN[[#This Row],[Anciennete_Mois]]/12</f>
        <v>1.9166666666666667</v>
      </c>
      <c r="J220" s="3">
        <f>CLIENTS_CHURN[[#This Row],[Duree_Cumulee_Panne_Min]]/60</f>
        <v>4.3666666666666663</v>
      </c>
    </row>
    <row r="221" spans="1:10" x14ac:dyDescent="0.35">
      <c r="A221" s="3" t="s">
        <v>32</v>
      </c>
      <c r="B221" t="s">
        <v>648</v>
      </c>
      <c r="C221" t="s">
        <v>87</v>
      </c>
      <c r="D221">
        <v>11</v>
      </c>
      <c r="E221" t="s">
        <v>31</v>
      </c>
      <c r="F221">
        <v>52</v>
      </c>
      <c r="G221">
        <v>76.53</v>
      </c>
      <c r="H221">
        <v>5</v>
      </c>
      <c r="I221" s="3">
        <f>CLIENTS_CHURN[[#This Row],[Anciennete_Mois]]/12</f>
        <v>0.91666666666666663</v>
      </c>
      <c r="J221" s="3">
        <f>CLIENTS_CHURN[[#This Row],[Duree_Cumulee_Panne_Min]]/60</f>
        <v>0.8666666666666667</v>
      </c>
    </row>
    <row r="222" spans="1:10" x14ac:dyDescent="0.35">
      <c r="A222" s="3" t="s">
        <v>35</v>
      </c>
      <c r="B222" t="s">
        <v>1475</v>
      </c>
      <c r="C222" t="s">
        <v>87</v>
      </c>
      <c r="D222">
        <v>32</v>
      </c>
      <c r="E222" t="s">
        <v>20</v>
      </c>
      <c r="F222">
        <v>4</v>
      </c>
      <c r="G222">
        <v>39</v>
      </c>
      <c r="H222">
        <v>0</v>
      </c>
      <c r="I222" s="3">
        <f>CLIENTS_CHURN[[#This Row],[Anciennete_Mois]]/12</f>
        <v>2.6666666666666665</v>
      </c>
      <c r="J222" s="3">
        <f>CLIENTS_CHURN[[#This Row],[Duree_Cumulee_Panne_Min]]/60</f>
        <v>6.6666666666666666E-2</v>
      </c>
    </row>
    <row r="223" spans="1:10" x14ac:dyDescent="0.35">
      <c r="A223" s="3" t="s">
        <v>35</v>
      </c>
      <c r="B223" t="s">
        <v>192</v>
      </c>
      <c r="C223" t="s">
        <v>87</v>
      </c>
      <c r="D223">
        <v>55</v>
      </c>
      <c r="E223" t="s">
        <v>20</v>
      </c>
      <c r="F223">
        <v>389</v>
      </c>
      <c r="G223">
        <v>67.430000000000007</v>
      </c>
      <c r="H223">
        <v>3</v>
      </c>
      <c r="I223" s="3">
        <f>CLIENTS_CHURN[[#This Row],[Anciennete_Mois]]/12</f>
        <v>4.583333333333333</v>
      </c>
      <c r="J223" s="3">
        <f>CLIENTS_CHURN[[#This Row],[Duree_Cumulee_Panne_Min]]/60</f>
        <v>6.4833333333333334</v>
      </c>
    </row>
    <row r="224" spans="1:10" x14ac:dyDescent="0.35">
      <c r="A224" s="3" t="s">
        <v>14</v>
      </c>
      <c r="B224" t="s">
        <v>268</v>
      </c>
      <c r="C224" t="s">
        <v>87</v>
      </c>
      <c r="D224">
        <v>19</v>
      </c>
      <c r="E224" t="s">
        <v>17</v>
      </c>
      <c r="F224">
        <v>334</v>
      </c>
      <c r="G224">
        <v>96.91</v>
      </c>
      <c r="H224">
        <v>1</v>
      </c>
      <c r="I224" s="3">
        <f>CLIENTS_CHURN[[#This Row],[Anciennete_Mois]]/12</f>
        <v>1.5833333333333333</v>
      </c>
      <c r="J224" s="3">
        <f>CLIENTS_CHURN[[#This Row],[Duree_Cumulee_Panne_Min]]/60</f>
        <v>5.5666666666666664</v>
      </c>
    </row>
    <row r="225" spans="1:10" x14ac:dyDescent="0.35">
      <c r="A225" s="3" t="s">
        <v>21</v>
      </c>
      <c r="B225" t="s">
        <v>97</v>
      </c>
      <c r="C225" t="s">
        <v>87</v>
      </c>
      <c r="D225">
        <v>68</v>
      </c>
      <c r="E225" t="s">
        <v>20</v>
      </c>
      <c r="F225">
        <v>462</v>
      </c>
      <c r="G225">
        <v>41.91</v>
      </c>
      <c r="H225">
        <v>1</v>
      </c>
      <c r="I225" s="3">
        <f>CLIENTS_CHURN[[#This Row],[Anciennete_Mois]]/12</f>
        <v>5.666666666666667</v>
      </c>
      <c r="J225" s="3">
        <f>CLIENTS_CHURN[[#This Row],[Duree_Cumulee_Panne_Min]]/60</f>
        <v>7.7</v>
      </c>
    </row>
    <row r="226" spans="1:10" x14ac:dyDescent="0.35">
      <c r="A226" s="3" t="s">
        <v>21</v>
      </c>
      <c r="B226" t="s">
        <v>408</v>
      </c>
      <c r="C226" t="s">
        <v>87</v>
      </c>
      <c r="D226">
        <v>49</v>
      </c>
      <c r="E226" t="s">
        <v>20</v>
      </c>
      <c r="F226">
        <v>229</v>
      </c>
      <c r="G226">
        <v>53.94</v>
      </c>
      <c r="H226">
        <v>5</v>
      </c>
      <c r="I226" s="3">
        <f>CLIENTS_CHURN[[#This Row],[Anciennete_Mois]]/12</f>
        <v>4.083333333333333</v>
      </c>
      <c r="J226" s="3">
        <f>CLIENTS_CHURN[[#This Row],[Duree_Cumulee_Panne_Min]]/60</f>
        <v>3.8166666666666669</v>
      </c>
    </row>
    <row r="227" spans="1:10" x14ac:dyDescent="0.35">
      <c r="A227" s="3" t="s">
        <v>61</v>
      </c>
      <c r="B227" t="s">
        <v>698</v>
      </c>
      <c r="C227" t="s">
        <v>87</v>
      </c>
      <c r="D227">
        <v>43</v>
      </c>
      <c r="E227" t="s">
        <v>31</v>
      </c>
      <c r="F227">
        <v>20</v>
      </c>
      <c r="G227">
        <v>66.680000000000007</v>
      </c>
      <c r="H227">
        <v>5</v>
      </c>
      <c r="I227" s="3">
        <f>CLIENTS_CHURN[[#This Row],[Anciennete_Mois]]/12</f>
        <v>3.5833333333333335</v>
      </c>
      <c r="J227" s="3">
        <f>CLIENTS_CHURN[[#This Row],[Duree_Cumulee_Panne_Min]]/60</f>
        <v>0.33333333333333331</v>
      </c>
    </row>
    <row r="228" spans="1:10" x14ac:dyDescent="0.35">
      <c r="A228" s="3" t="s">
        <v>61</v>
      </c>
      <c r="B228" t="s">
        <v>318</v>
      </c>
      <c r="C228" t="s">
        <v>87</v>
      </c>
      <c r="D228">
        <v>36</v>
      </c>
      <c r="E228" t="s">
        <v>31</v>
      </c>
      <c r="F228">
        <v>303</v>
      </c>
      <c r="G228">
        <v>89.56</v>
      </c>
      <c r="H228">
        <v>1</v>
      </c>
      <c r="I228" s="3">
        <f>CLIENTS_CHURN[[#This Row],[Anciennete_Mois]]/12</f>
        <v>3</v>
      </c>
      <c r="J228" s="3">
        <f>CLIENTS_CHURN[[#This Row],[Duree_Cumulee_Panne_Min]]/60</f>
        <v>5.05</v>
      </c>
    </row>
    <row r="229" spans="1:10" x14ac:dyDescent="0.35">
      <c r="A229" s="3" t="s">
        <v>61</v>
      </c>
      <c r="B229" t="s">
        <v>557</v>
      </c>
      <c r="C229" t="s">
        <v>87</v>
      </c>
      <c r="D229">
        <v>56</v>
      </c>
      <c r="E229" t="s">
        <v>31</v>
      </c>
      <c r="F229">
        <v>114</v>
      </c>
      <c r="G229">
        <v>64.39</v>
      </c>
      <c r="H229">
        <v>1</v>
      </c>
      <c r="I229" s="3">
        <f>CLIENTS_CHURN[[#This Row],[Anciennete_Mois]]/12</f>
        <v>4.666666666666667</v>
      </c>
      <c r="J229" s="3">
        <f>CLIENTS_CHURN[[#This Row],[Duree_Cumulee_Panne_Min]]/60</f>
        <v>1.9</v>
      </c>
    </row>
    <row r="230" spans="1:10" x14ac:dyDescent="0.35">
      <c r="A230" s="3" t="s">
        <v>61</v>
      </c>
      <c r="B230" t="s">
        <v>359</v>
      </c>
      <c r="C230" t="s">
        <v>87</v>
      </c>
      <c r="D230">
        <v>7</v>
      </c>
      <c r="E230" t="s">
        <v>20</v>
      </c>
      <c r="F230">
        <v>268</v>
      </c>
      <c r="G230">
        <v>33.04</v>
      </c>
      <c r="H230">
        <v>5</v>
      </c>
      <c r="I230" s="3">
        <f>CLIENTS_CHURN[[#This Row],[Anciennete_Mois]]/12</f>
        <v>0.58333333333333337</v>
      </c>
      <c r="J230" s="3">
        <f>CLIENTS_CHURN[[#This Row],[Duree_Cumulee_Panne_Min]]/60</f>
        <v>4.4666666666666668</v>
      </c>
    </row>
    <row r="231" spans="1:10" x14ac:dyDescent="0.35">
      <c r="A231" s="3" t="s">
        <v>28</v>
      </c>
      <c r="B231" t="s">
        <v>108</v>
      </c>
      <c r="C231" t="s">
        <v>87</v>
      </c>
      <c r="D231">
        <v>47</v>
      </c>
      <c r="E231" t="s">
        <v>13</v>
      </c>
      <c r="F231">
        <v>457</v>
      </c>
      <c r="G231">
        <v>84.93</v>
      </c>
      <c r="H231">
        <v>2</v>
      </c>
      <c r="I231" s="3">
        <f>CLIENTS_CHURN[[#This Row],[Anciennete_Mois]]/12</f>
        <v>3.9166666666666665</v>
      </c>
      <c r="J231" s="3">
        <f>CLIENTS_CHURN[[#This Row],[Duree_Cumulee_Panne_Min]]/60</f>
        <v>7.6166666666666663</v>
      </c>
    </row>
    <row r="232" spans="1:10" x14ac:dyDescent="0.35">
      <c r="A232" s="3" t="s">
        <v>10</v>
      </c>
      <c r="B232" t="s">
        <v>287</v>
      </c>
      <c r="C232" t="s">
        <v>87</v>
      </c>
      <c r="D232">
        <v>7</v>
      </c>
      <c r="E232" t="s">
        <v>20</v>
      </c>
      <c r="F232">
        <v>323</v>
      </c>
      <c r="G232">
        <v>82.81</v>
      </c>
      <c r="H232">
        <v>5</v>
      </c>
      <c r="I232" s="3">
        <f>CLIENTS_CHURN[[#This Row],[Anciennete_Mois]]/12</f>
        <v>0.58333333333333337</v>
      </c>
      <c r="J232" s="3">
        <f>CLIENTS_CHURN[[#This Row],[Duree_Cumulee_Panne_Min]]/60</f>
        <v>5.3833333333333337</v>
      </c>
    </row>
    <row r="233" spans="1:10" x14ac:dyDescent="0.35">
      <c r="A233" s="3" t="s">
        <v>100</v>
      </c>
      <c r="B233" t="s">
        <v>1518</v>
      </c>
      <c r="C233" t="s">
        <v>87</v>
      </c>
      <c r="D233">
        <v>39</v>
      </c>
      <c r="E233" t="s">
        <v>20</v>
      </c>
      <c r="F233">
        <v>289</v>
      </c>
      <c r="G233">
        <v>86.7</v>
      </c>
      <c r="H233">
        <v>3</v>
      </c>
      <c r="I233" s="3">
        <f>CLIENTS_CHURN[[#This Row],[Anciennete_Mois]]/12</f>
        <v>3.25</v>
      </c>
      <c r="J233" s="3">
        <f>CLIENTS_CHURN[[#This Row],[Duree_Cumulee_Panne_Min]]/60</f>
        <v>4.8166666666666664</v>
      </c>
    </row>
    <row r="234" spans="1:10" x14ac:dyDescent="0.35">
      <c r="A234" s="3" t="s">
        <v>100</v>
      </c>
      <c r="B234" t="s">
        <v>681</v>
      </c>
      <c r="C234" t="s">
        <v>87</v>
      </c>
      <c r="D234">
        <v>85</v>
      </c>
      <c r="E234" t="s">
        <v>20</v>
      </c>
      <c r="F234">
        <v>28</v>
      </c>
      <c r="G234">
        <v>83.82</v>
      </c>
      <c r="H234">
        <v>0</v>
      </c>
      <c r="I234" s="3">
        <f>CLIENTS_CHURN[[#This Row],[Anciennete_Mois]]/12</f>
        <v>7.083333333333333</v>
      </c>
      <c r="J234" s="3">
        <f>CLIENTS_CHURN[[#This Row],[Duree_Cumulee_Panne_Min]]/60</f>
        <v>0.46666666666666667</v>
      </c>
    </row>
    <row r="235" spans="1:10" x14ac:dyDescent="0.35">
      <c r="A235" s="3" t="s">
        <v>100</v>
      </c>
      <c r="B235" t="s">
        <v>295</v>
      </c>
      <c r="C235" t="s">
        <v>87</v>
      </c>
      <c r="D235">
        <v>72</v>
      </c>
      <c r="E235" t="s">
        <v>20</v>
      </c>
      <c r="F235">
        <v>317</v>
      </c>
      <c r="G235">
        <v>54.58</v>
      </c>
      <c r="H235">
        <v>1</v>
      </c>
      <c r="I235" s="3">
        <f>CLIENTS_CHURN[[#This Row],[Anciennete_Mois]]/12</f>
        <v>6</v>
      </c>
      <c r="J235" s="3">
        <f>CLIENTS_CHURN[[#This Row],[Duree_Cumulee_Panne_Min]]/60</f>
        <v>5.2833333333333332</v>
      </c>
    </row>
    <row r="236" spans="1:10" x14ac:dyDescent="0.35">
      <c r="A236" s="3" t="s">
        <v>85</v>
      </c>
      <c r="B236" t="s">
        <v>292</v>
      </c>
      <c r="C236" t="s">
        <v>56</v>
      </c>
      <c r="D236">
        <v>97</v>
      </c>
      <c r="E236" t="s">
        <v>20</v>
      </c>
      <c r="F236">
        <v>319</v>
      </c>
      <c r="G236">
        <v>31.25</v>
      </c>
      <c r="H236">
        <v>1</v>
      </c>
      <c r="I236" s="3">
        <f>CLIENTS_CHURN[[#This Row],[Anciennete_Mois]]/12</f>
        <v>8.0833333333333339</v>
      </c>
      <c r="J236" s="3">
        <f>CLIENTS_CHURN[[#This Row],[Duree_Cumulee_Panne_Min]]/60</f>
        <v>5.3166666666666664</v>
      </c>
    </row>
    <row r="237" spans="1:10" x14ac:dyDescent="0.35">
      <c r="A237" s="3" t="s">
        <v>85</v>
      </c>
      <c r="B237" t="s">
        <v>490</v>
      </c>
      <c r="C237" t="s">
        <v>56</v>
      </c>
      <c r="D237">
        <v>117</v>
      </c>
      <c r="E237" t="s">
        <v>17</v>
      </c>
      <c r="F237">
        <v>171</v>
      </c>
      <c r="G237">
        <v>50.89</v>
      </c>
      <c r="H237">
        <v>4</v>
      </c>
      <c r="I237" s="3">
        <f>CLIENTS_CHURN[[#This Row],[Anciennete_Mois]]/12</f>
        <v>9.75</v>
      </c>
      <c r="J237" s="3">
        <f>CLIENTS_CHURN[[#This Row],[Duree_Cumulee_Panne_Min]]/60</f>
        <v>2.85</v>
      </c>
    </row>
    <row r="238" spans="1:10" x14ac:dyDescent="0.35">
      <c r="A238" s="3" t="s">
        <v>69</v>
      </c>
      <c r="B238" t="s">
        <v>174</v>
      </c>
      <c r="C238" t="s">
        <v>56</v>
      </c>
      <c r="D238">
        <v>79</v>
      </c>
      <c r="E238" t="s">
        <v>17</v>
      </c>
      <c r="F238">
        <v>403</v>
      </c>
      <c r="G238">
        <v>21.49</v>
      </c>
      <c r="H238">
        <v>0</v>
      </c>
      <c r="I238" s="3">
        <f>CLIENTS_CHURN[[#This Row],[Anciennete_Mois]]/12</f>
        <v>6.583333333333333</v>
      </c>
      <c r="J238" s="3">
        <f>CLIENTS_CHURN[[#This Row],[Duree_Cumulee_Panne_Min]]/60</f>
        <v>6.7166666666666668</v>
      </c>
    </row>
    <row r="239" spans="1:10" x14ac:dyDescent="0.35">
      <c r="A239" s="3" t="s">
        <v>69</v>
      </c>
      <c r="B239" t="s">
        <v>262</v>
      </c>
      <c r="C239" t="s">
        <v>56</v>
      </c>
      <c r="D239">
        <v>33</v>
      </c>
      <c r="E239" t="s">
        <v>17</v>
      </c>
      <c r="F239">
        <v>337</v>
      </c>
      <c r="G239">
        <v>62.61</v>
      </c>
      <c r="H239">
        <v>2</v>
      </c>
      <c r="I239" s="3">
        <f>CLIENTS_CHURN[[#This Row],[Anciennete_Mois]]/12</f>
        <v>2.75</v>
      </c>
      <c r="J239" s="3">
        <f>CLIENTS_CHURN[[#This Row],[Duree_Cumulee_Panne_Min]]/60</f>
        <v>5.6166666666666663</v>
      </c>
    </row>
    <row r="240" spans="1:10" x14ac:dyDescent="0.35">
      <c r="A240" s="3" t="s">
        <v>69</v>
      </c>
      <c r="B240" t="s">
        <v>536</v>
      </c>
      <c r="C240" t="s">
        <v>56</v>
      </c>
      <c r="D240">
        <v>25</v>
      </c>
      <c r="E240" t="s">
        <v>31</v>
      </c>
      <c r="F240">
        <v>131</v>
      </c>
      <c r="G240">
        <v>67.489999999999995</v>
      </c>
      <c r="H240">
        <v>0</v>
      </c>
      <c r="I240" s="3">
        <f>CLIENTS_CHURN[[#This Row],[Anciennete_Mois]]/12</f>
        <v>2.0833333333333335</v>
      </c>
      <c r="J240" s="3">
        <f>CLIENTS_CHURN[[#This Row],[Duree_Cumulee_Panne_Min]]/60</f>
        <v>2.1833333333333331</v>
      </c>
    </row>
    <row r="241" spans="1:10" x14ac:dyDescent="0.35">
      <c r="A241" s="3" t="s">
        <v>39</v>
      </c>
      <c r="B241" t="s">
        <v>162</v>
      </c>
      <c r="C241" t="s">
        <v>56</v>
      </c>
      <c r="D241">
        <v>29</v>
      </c>
      <c r="E241" t="s">
        <v>17</v>
      </c>
      <c r="F241">
        <v>416</v>
      </c>
      <c r="G241">
        <v>61.26</v>
      </c>
      <c r="H241">
        <v>0</v>
      </c>
      <c r="I241" s="3">
        <f>CLIENTS_CHURN[[#This Row],[Anciennete_Mois]]/12</f>
        <v>2.4166666666666665</v>
      </c>
      <c r="J241" s="3">
        <f>CLIENTS_CHURN[[#This Row],[Duree_Cumulee_Panne_Min]]/60</f>
        <v>6.9333333333333336</v>
      </c>
    </row>
    <row r="242" spans="1:10" x14ac:dyDescent="0.35">
      <c r="A242" s="3" t="s">
        <v>39</v>
      </c>
      <c r="B242" t="s">
        <v>204</v>
      </c>
      <c r="C242" t="s">
        <v>56</v>
      </c>
      <c r="D242">
        <v>61</v>
      </c>
      <c r="E242" t="s">
        <v>31</v>
      </c>
      <c r="F242">
        <v>383</v>
      </c>
      <c r="G242">
        <v>39.72</v>
      </c>
      <c r="H242">
        <v>4</v>
      </c>
      <c r="I242" s="3">
        <f>CLIENTS_CHURN[[#This Row],[Anciennete_Mois]]/12</f>
        <v>5.083333333333333</v>
      </c>
      <c r="J242" s="3">
        <f>CLIENTS_CHURN[[#This Row],[Duree_Cumulee_Panne_Min]]/60</f>
        <v>6.3833333333333337</v>
      </c>
    </row>
    <row r="243" spans="1:10" x14ac:dyDescent="0.35">
      <c r="A243" s="3" t="s">
        <v>32</v>
      </c>
      <c r="B243" t="s">
        <v>601</v>
      </c>
      <c r="C243" t="s">
        <v>56</v>
      </c>
      <c r="D243">
        <v>82</v>
      </c>
      <c r="E243" t="s">
        <v>13</v>
      </c>
      <c r="F243">
        <v>88</v>
      </c>
      <c r="G243">
        <v>86.64</v>
      </c>
      <c r="H243">
        <v>1</v>
      </c>
      <c r="I243" s="3">
        <f>CLIENTS_CHURN[[#This Row],[Anciennete_Mois]]/12</f>
        <v>6.833333333333333</v>
      </c>
      <c r="J243" s="3">
        <f>CLIENTS_CHURN[[#This Row],[Duree_Cumulee_Panne_Min]]/60</f>
        <v>1.4666666666666666</v>
      </c>
    </row>
    <row r="244" spans="1:10" x14ac:dyDescent="0.35">
      <c r="A244" s="3" t="s">
        <v>32</v>
      </c>
      <c r="B244" t="s">
        <v>293</v>
      </c>
      <c r="C244" t="s">
        <v>56</v>
      </c>
      <c r="D244">
        <v>15</v>
      </c>
      <c r="E244" t="s">
        <v>31</v>
      </c>
      <c r="F244">
        <v>319</v>
      </c>
      <c r="G244">
        <v>78.150000000000006</v>
      </c>
      <c r="H244">
        <v>4</v>
      </c>
      <c r="I244" s="3">
        <f>CLIENTS_CHURN[[#This Row],[Anciennete_Mois]]/12</f>
        <v>1.25</v>
      </c>
      <c r="J244" s="3">
        <f>CLIENTS_CHURN[[#This Row],[Duree_Cumulee_Panne_Min]]/60</f>
        <v>5.3166666666666664</v>
      </c>
    </row>
    <row r="245" spans="1:10" x14ac:dyDescent="0.35">
      <c r="A245" s="3" t="s">
        <v>14</v>
      </c>
      <c r="B245" t="s">
        <v>701</v>
      </c>
      <c r="C245" t="s">
        <v>56</v>
      </c>
      <c r="D245">
        <v>105</v>
      </c>
      <c r="E245" t="s">
        <v>13</v>
      </c>
      <c r="F245">
        <v>17</v>
      </c>
      <c r="G245">
        <v>60.05</v>
      </c>
      <c r="H245">
        <v>4</v>
      </c>
      <c r="I245" s="3">
        <f>CLIENTS_CHURN[[#This Row],[Anciennete_Mois]]/12</f>
        <v>8.75</v>
      </c>
      <c r="J245" s="3">
        <f>CLIENTS_CHURN[[#This Row],[Duree_Cumulee_Panne_Min]]/60</f>
        <v>0.28333333333333333</v>
      </c>
    </row>
    <row r="246" spans="1:10" x14ac:dyDescent="0.35">
      <c r="A246" s="3" t="s">
        <v>14</v>
      </c>
      <c r="B246" t="s">
        <v>543</v>
      </c>
      <c r="C246" t="s">
        <v>56</v>
      </c>
      <c r="D246">
        <v>19</v>
      </c>
      <c r="E246" t="s">
        <v>31</v>
      </c>
      <c r="F246">
        <v>125</v>
      </c>
      <c r="G246">
        <v>11.78</v>
      </c>
      <c r="H246">
        <v>4</v>
      </c>
      <c r="I246" s="3">
        <f>CLIENTS_CHURN[[#This Row],[Anciennete_Mois]]/12</f>
        <v>1.5833333333333333</v>
      </c>
      <c r="J246" s="3">
        <f>CLIENTS_CHURN[[#This Row],[Duree_Cumulee_Panne_Min]]/60</f>
        <v>2.0833333333333335</v>
      </c>
    </row>
    <row r="247" spans="1:10" x14ac:dyDescent="0.35">
      <c r="A247" s="3" t="s">
        <v>14</v>
      </c>
      <c r="B247" t="s">
        <v>682</v>
      </c>
      <c r="C247" t="s">
        <v>56</v>
      </c>
      <c r="D247">
        <v>99</v>
      </c>
      <c r="E247" t="s">
        <v>31</v>
      </c>
      <c r="F247">
        <v>28</v>
      </c>
      <c r="G247">
        <v>70.19</v>
      </c>
      <c r="H247">
        <v>1</v>
      </c>
      <c r="I247" s="3">
        <f>CLIENTS_CHURN[[#This Row],[Anciennete_Mois]]/12</f>
        <v>8.25</v>
      </c>
      <c r="J247" s="3">
        <f>CLIENTS_CHURN[[#This Row],[Duree_Cumulee_Panne_Min]]/60</f>
        <v>0.46666666666666667</v>
      </c>
    </row>
    <row r="248" spans="1:10" x14ac:dyDescent="0.35">
      <c r="A248" s="3" t="s">
        <v>21</v>
      </c>
      <c r="B248" t="s">
        <v>640</v>
      </c>
      <c r="C248" t="s">
        <v>56</v>
      </c>
      <c r="D248">
        <v>78</v>
      </c>
      <c r="E248" t="s">
        <v>31</v>
      </c>
      <c r="F248">
        <v>57</v>
      </c>
      <c r="G248">
        <v>49.47</v>
      </c>
      <c r="H248">
        <v>0</v>
      </c>
      <c r="I248" s="3">
        <f>CLIENTS_CHURN[[#This Row],[Anciennete_Mois]]/12</f>
        <v>6.5</v>
      </c>
      <c r="J248" s="3">
        <f>CLIENTS_CHURN[[#This Row],[Duree_Cumulee_Panne_Min]]/60</f>
        <v>0.95</v>
      </c>
    </row>
    <row r="249" spans="1:10" x14ac:dyDescent="0.35">
      <c r="A249" s="3" t="s">
        <v>61</v>
      </c>
      <c r="B249" t="s">
        <v>1490</v>
      </c>
      <c r="C249" t="s">
        <v>56</v>
      </c>
      <c r="D249">
        <v>17</v>
      </c>
      <c r="E249" t="s">
        <v>31</v>
      </c>
      <c r="F249">
        <v>404</v>
      </c>
      <c r="G249">
        <v>83.4</v>
      </c>
      <c r="H249">
        <v>1</v>
      </c>
      <c r="I249" s="3">
        <f>CLIENTS_CHURN[[#This Row],[Anciennete_Mois]]/12</f>
        <v>1.4166666666666667</v>
      </c>
      <c r="J249" s="3">
        <f>CLIENTS_CHURN[[#This Row],[Duree_Cumulee_Panne_Min]]/60</f>
        <v>6.7333333333333334</v>
      </c>
    </row>
    <row r="250" spans="1:10" x14ac:dyDescent="0.35">
      <c r="A250" s="3" t="s">
        <v>61</v>
      </c>
      <c r="B250" t="s">
        <v>511</v>
      </c>
      <c r="C250" t="s">
        <v>56</v>
      </c>
      <c r="D250">
        <v>37</v>
      </c>
      <c r="E250" t="s">
        <v>17</v>
      </c>
      <c r="F250">
        <v>151</v>
      </c>
      <c r="G250">
        <v>62.49</v>
      </c>
      <c r="H250">
        <v>3</v>
      </c>
      <c r="I250" s="3">
        <f>CLIENTS_CHURN[[#This Row],[Anciennete_Mois]]/12</f>
        <v>3.0833333333333335</v>
      </c>
      <c r="J250" s="3">
        <f>CLIENTS_CHURN[[#This Row],[Duree_Cumulee_Panne_Min]]/60</f>
        <v>2.5166666666666666</v>
      </c>
    </row>
    <row r="251" spans="1:10" x14ac:dyDescent="0.35">
      <c r="A251" s="3" t="s">
        <v>61</v>
      </c>
      <c r="B251" t="s">
        <v>1492</v>
      </c>
      <c r="C251" t="s">
        <v>56</v>
      </c>
      <c r="D251">
        <v>15</v>
      </c>
      <c r="E251" t="s">
        <v>17</v>
      </c>
      <c r="F251">
        <v>81</v>
      </c>
      <c r="G251" t="s">
        <v>1493</v>
      </c>
      <c r="H251">
        <v>4</v>
      </c>
      <c r="I251" s="3">
        <f>CLIENTS_CHURN[[#This Row],[Anciennete_Mois]]/12</f>
        <v>1.25</v>
      </c>
      <c r="J251" s="3">
        <f>CLIENTS_CHURN[[#This Row],[Duree_Cumulee_Panne_Min]]/60</f>
        <v>1.35</v>
      </c>
    </row>
    <row r="252" spans="1:10" x14ac:dyDescent="0.35">
      <c r="A252" s="3" t="s">
        <v>61</v>
      </c>
      <c r="B252" t="s">
        <v>125</v>
      </c>
      <c r="C252" t="s">
        <v>56</v>
      </c>
      <c r="D252">
        <v>111</v>
      </c>
      <c r="E252" t="s">
        <v>20</v>
      </c>
      <c r="F252">
        <v>447</v>
      </c>
      <c r="G252">
        <v>51.35</v>
      </c>
      <c r="H252">
        <v>0</v>
      </c>
      <c r="I252" s="3">
        <f>CLIENTS_CHURN[[#This Row],[Anciennete_Mois]]/12</f>
        <v>9.25</v>
      </c>
      <c r="J252" s="3">
        <f>CLIENTS_CHURN[[#This Row],[Duree_Cumulee_Panne_Min]]/60</f>
        <v>7.45</v>
      </c>
    </row>
    <row r="253" spans="1:10" x14ac:dyDescent="0.35">
      <c r="A253" s="3" t="s">
        <v>51</v>
      </c>
      <c r="B253" t="s">
        <v>129</v>
      </c>
      <c r="C253" t="s">
        <v>56</v>
      </c>
      <c r="D253">
        <v>35</v>
      </c>
      <c r="E253" t="s">
        <v>20</v>
      </c>
      <c r="F253">
        <v>445</v>
      </c>
      <c r="G253">
        <v>24.11</v>
      </c>
      <c r="H253">
        <v>2</v>
      </c>
      <c r="I253" s="3">
        <f>CLIENTS_CHURN[[#This Row],[Anciennete_Mois]]/12</f>
        <v>2.9166666666666665</v>
      </c>
      <c r="J253" s="3">
        <f>CLIENTS_CHURN[[#This Row],[Duree_Cumulee_Panne_Min]]/60</f>
        <v>7.416666666666667</v>
      </c>
    </row>
    <row r="254" spans="1:10" x14ac:dyDescent="0.35">
      <c r="A254" s="3" t="s">
        <v>51</v>
      </c>
      <c r="B254" t="s">
        <v>1495</v>
      </c>
      <c r="C254" t="s">
        <v>56</v>
      </c>
      <c r="D254">
        <v>84</v>
      </c>
      <c r="E254" t="s">
        <v>31</v>
      </c>
      <c r="F254">
        <v>380</v>
      </c>
      <c r="G254">
        <v>82.3</v>
      </c>
      <c r="H254">
        <v>1</v>
      </c>
      <c r="I254" s="3">
        <f>CLIENTS_CHURN[[#This Row],[Anciennete_Mois]]/12</f>
        <v>7</v>
      </c>
      <c r="J254" s="3">
        <f>CLIENTS_CHURN[[#This Row],[Duree_Cumulee_Panne_Min]]/60</f>
        <v>6.333333333333333</v>
      </c>
    </row>
    <row r="255" spans="1:10" x14ac:dyDescent="0.35">
      <c r="A255" s="3" t="s">
        <v>51</v>
      </c>
      <c r="B255" t="s">
        <v>706</v>
      </c>
      <c r="C255" t="s">
        <v>56</v>
      </c>
      <c r="D255">
        <v>64</v>
      </c>
      <c r="E255" t="s">
        <v>20</v>
      </c>
      <c r="F255">
        <v>15</v>
      </c>
      <c r="G255">
        <v>56.94</v>
      </c>
      <c r="H255">
        <v>4</v>
      </c>
      <c r="I255" s="3">
        <f>CLIENTS_CHURN[[#This Row],[Anciennete_Mois]]/12</f>
        <v>5.333333333333333</v>
      </c>
      <c r="J255" s="3">
        <f>CLIENTS_CHURN[[#This Row],[Duree_Cumulee_Panne_Min]]/60</f>
        <v>0.25</v>
      </c>
    </row>
    <row r="256" spans="1:10" x14ac:dyDescent="0.35">
      <c r="A256" s="3" t="s">
        <v>51</v>
      </c>
      <c r="B256" t="s">
        <v>719</v>
      </c>
      <c r="C256" t="s">
        <v>56</v>
      </c>
      <c r="D256">
        <v>92</v>
      </c>
      <c r="E256" t="s">
        <v>31</v>
      </c>
      <c r="F256">
        <v>6</v>
      </c>
      <c r="G256">
        <v>77.14</v>
      </c>
      <c r="H256">
        <v>5</v>
      </c>
      <c r="I256" s="3">
        <f>CLIENTS_CHURN[[#This Row],[Anciennete_Mois]]/12</f>
        <v>7.666666666666667</v>
      </c>
      <c r="J256" s="3">
        <f>CLIENTS_CHURN[[#This Row],[Duree_Cumulee_Panne_Min]]/60</f>
        <v>0.1</v>
      </c>
    </row>
    <row r="257" spans="1:10" x14ac:dyDescent="0.35">
      <c r="A257" s="3" t="s">
        <v>28</v>
      </c>
      <c r="B257" t="s">
        <v>257</v>
      </c>
      <c r="C257" t="s">
        <v>56</v>
      </c>
      <c r="D257">
        <v>6</v>
      </c>
      <c r="E257" t="s">
        <v>20</v>
      </c>
      <c r="F257">
        <v>342</v>
      </c>
      <c r="G257">
        <v>50.55</v>
      </c>
      <c r="H257">
        <v>5</v>
      </c>
      <c r="I257" s="3">
        <f>CLIENTS_CHURN[[#This Row],[Anciennete_Mois]]/12</f>
        <v>0.5</v>
      </c>
      <c r="J257" s="3">
        <f>CLIENTS_CHURN[[#This Row],[Duree_Cumulee_Panne_Min]]/60</f>
        <v>5.7</v>
      </c>
    </row>
    <row r="258" spans="1:10" x14ac:dyDescent="0.35">
      <c r="A258" s="3" t="s">
        <v>10</v>
      </c>
      <c r="B258" t="s">
        <v>370</v>
      </c>
      <c r="C258" t="s">
        <v>56</v>
      </c>
      <c r="D258">
        <v>101</v>
      </c>
      <c r="E258" t="s">
        <v>31</v>
      </c>
      <c r="F258">
        <v>262</v>
      </c>
      <c r="G258">
        <v>83.74</v>
      </c>
      <c r="H258">
        <v>5</v>
      </c>
      <c r="I258" s="3">
        <f>CLIENTS_CHURN[[#This Row],[Anciennete_Mois]]/12</f>
        <v>8.4166666666666661</v>
      </c>
      <c r="J258" s="3">
        <f>CLIENTS_CHURN[[#This Row],[Duree_Cumulee_Panne_Min]]/60</f>
        <v>4.3666666666666663</v>
      </c>
    </row>
    <row r="259" spans="1:10" x14ac:dyDescent="0.35">
      <c r="A259" s="3" t="s">
        <v>10</v>
      </c>
      <c r="B259" t="s">
        <v>628</v>
      </c>
      <c r="C259" t="s">
        <v>56</v>
      </c>
      <c r="D259">
        <v>81</v>
      </c>
      <c r="E259" t="s">
        <v>17</v>
      </c>
      <c r="F259">
        <v>64</v>
      </c>
      <c r="G259">
        <v>43.45</v>
      </c>
      <c r="H259">
        <v>2</v>
      </c>
      <c r="I259" s="3">
        <f>CLIENTS_CHURN[[#This Row],[Anciennete_Mois]]/12</f>
        <v>6.75</v>
      </c>
      <c r="J259" s="3">
        <f>CLIENTS_CHURN[[#This Row],[Duree_Cumulee_Panne_Min]]/60</f>
        <v>1.0666666666666667</v>
      </c>
    </row>
    <row r="260" spans="1:10" x14ac:dyDescent="0.35">
      <c r="A260" s="3" t="s">
        <v>10</v>
      </c>
      <c r="B260" t="s">
        <v>208</v>
      </c>
      <c r="C260" t="s">
        <v>56</v>
      </c>
      <c r="D260">
        <v>56</v>
      </c>
      <c r="E260" t="s">
        <v>31</v>
      </c>
      <c r="F260">
        <v>379</v>
      </c>
      <c r="G260">
        <v>49.01</v>
      </c>
      <c r="H260">
        <v>0</v>
      </c>
      <c r="I260" s="3">
        <f>CLIENTS_CHURN[[#This Row],[Anciennete_Mois]]/12</f>
        <v>4.666666666666667</v>
      </c>
      <c r="J260" s="3">
        <f>CLIENTS_CHURN[[#This Row],[Duree_Cumulee_Panne_Min]]/60</f>
        <v>6.3166666666666664</v>
      </c>
    </row>
    <row r="261" spans="1:10" x14ac:dyDescent="0.35">
      <c r="A261" s="3" t="s">
        <v>10</v>
      </c>
      <c r="B261" t="s">
        <v>508</v>
      </c>
      <c r="C261" t="s">
        <v>56</v>
      </c>
      <c r="D261">
        <v>51</v>
      </c>
      <c r="E261" t="s">
        <v>17</v>
      </c>
      <c r="F261">
        <v>152</v>
      </c>
      <c r="G261">
        <v>34.630000000000003</v>
      </c>
      <c r="H261">
        <v>2</v>
      </c>
      <c r="I261" s="3">
        <f>CLIENTS_CHURN[[#This Row],[Anciennete_Mois]]/12</f>
        <v>4.25</v>
      </c>
      <c r="J261" s="3">
        <f>CLIENTS_CHURN[[#This Row],[Duree_Cumulee_Panne_Min]]/60</f>
        <v>2.5333333333333332</v>
      </c>
    </row>
    <row r="262" spans="1:10" x14ac:dyDescent="0.35">
      <c r="A262" s="3" t="s">
        <v>74</v>
      </c>
      <c r="B262" t="s">
        <v>597</v>
      </c>
      <c r="C262" t="s">
        <v>56</v>
      </c>
      <c r="D262">
        <v>41</v>
      </c>
      <c r="E262" t="s">
        <v>17</v>
      </c>
      <c r="F262">
        <v>90</v>
      </c>
      <c r="G262">
        <v>97.26</v>
      </c>
      <c r="H262">
        <v>1</v>
      </c>
      <c r="I262" s="3">
        <f>CLIENTS_CHURN[[#This Row],[Anciennete_Mois]]/12</f>
        <v>3.4166666666666665</v>
      </c>
      <c r="J262" s="3">
        <f>CLIENTS_CHURN[[#This Row],[Duree_Cumulee_Panne_Min]]/60</f>
        <v>1.5</v>
      </c>
    </row>
    <row r="263" spans="1:10" x14ac:dyDescent="0.35">
      <c r="A263" s="3" t="s">
        <v>45</v>
      </c>
      <c r="B263" t="s">
        <v>72</v>
      </c>
      <c r="C263" t="s">
        <v>56</v>
      </c>
      <c r="D263">
        <v>21</v>
      </c>
      <c r="E263" t="s">
        <v>31</v>
      </c>
      <c r="F263">
        <v>475</v>
      </c>
      <c r="G263">
        <v>15.12</v>
      </c>
      <c r="H263">
        <v>2</v>
      </c>
      <c r="I263" s="3">
        <f>CLIENTS_CHURN[[#This Row],[Anciennete_Mois]]/12</f>
        <v>1.75</v>
      </c>
      <c r="J263" s="3">
        <f>CLIENTS_CHURN[[#This Row],[Duree_Cumulee_Panne_Min]]/60</f>
        <v>7.916666666666667</v>
      </c>
    </row>
    <row r="264" spans="1:10" x14ac:dyDescent="0.35">
      <c r="A264" s="3" t="s">
        <v>45</v>
      </c>
      <c r="B264" t="s">
        <v>1525</v>
      </c>
      <c r="C264" t="s">
        <v>56</v>
      </c>
      <c r="D264">
        <v>26</v>
      </c>
      <c r="E264" t="s">
        <v>31</v>
      </c>
      <c r="F264">
        <v>413</v>
      </c>
      <c r="G264">
        <v>10.9</v>
      </c>
      <c r="H264">
        <v>5</v>
      </c>
      <c r="I264" s="3">
        <f>CLIENTS_CHURN[[#This Row],[Anciennete_Mois]]/12</f>
        <v>2.1666666666666665</v>
      </c>
      <c r="J264" s="3">
        <f>CLIENTS_CHURN[[#This Row],[Duree_Cumulee_Panne_Min]]/60</f>
        <v>6.8833333333333337</v>
      </c>
    </row>
    <row r="265" spans="1:10" x14ac:dyDescent="0.35">
      <c r="A265" s="3" t="s">
        <v>45</v>
      </c>
      <c r="B265" t="s">
        <v>55</v>
      </c>
      <c r="C265" t="s">
        <v>56</v>
      </c>
      <c r="D265">
        <v>102</v>
      </c>
      <c r="E265" t="s">
        <v>31</v>
      </c>
      <c r="F265">
        <v>484</v>
      </c>
      <c r="G265">
        <v>64.22</v>
      </c>
      <c r="H265">
        <v>2</v>
      </c>
      <c r="I265" s="3">
        <f>CLIENTS_CHURN[[#This Row],[Anciennete_Mois]]/12</f>
        <v>8.5</v>
      </c>
      <c r="J265" s="3">
        <f>CLIENTS_CHURN[[#This Row],[Duree_Cumulee_Panne_Min]]/60</f>
        <v>8.0666666666666664</v>
      </c>
    </row>
    <row r="266" spans="1:10" x14ac:dyDescent="0.35">
      <c r="A266" s="3" t="s">
        <v>85</v>
      </c>
      <c r="B266" t="s">
        <v>412</v>
      </c>
      <c r="C266" t="s">
        <v>30</v>
      </c>
      <c r="D266">
        <v>79</v>
      </c>
      <c r="E266" t="s">
        <v>13</v>
      </c>
      <c r="F266">
        <v>226</v>
      </c>
      <c r="G266">
        <v>94.38</v>
      </c>
      <c r="H266">
        <v>3</v>
      </c>
      <c r="I266" s="3">
        <f>CLIENTS_CHURN[[#This Row],[Anciennete_Mois]]/12</f>
        <v>6.583333333333333</v>
      </c>
      <c r="J266" s="3">
        <f>CLIENTS_CHURN[[#This Row],[Duree_Cumulee_Panne_Min]]/60</f>
        <v>3.7666666666666666</v>
      </c>
    </row>
    <row r="267" spans="1:10" x14ac:dyDescent="0.35">
      <c r="A267" s="3" t="s">
        <v>25</v>
      </c>
      <c r="B267" t="s">
        <v>373</v>
      </c>
      <c r="C267" t="s">
        <v>30</v>
      </c>
      <c r="D267">
        <v>80</v>
      </c>
      <c r="E267" t="s">
        <v>31</v>
      </c>
      <c r="F267">
        <v>260</v>
      </c>
      <c r="G267">
        <v>65.87</v>
      </c>
      <c r="H267">
        <v>3</v>
      </c>
      <c r="I267" s="3">
        <f>CLIENTS_CHURN[[#This Row],[Anciennete_Mois]]/12</f>
        <v>6.666666666666667</v>
      </c>
      <c r="J267" s="3">
        <f>CLIENTS_CHURN[[#This Row],[Duree_Cumulee_Panne_Min]]/60</f>
        <v>4.333333333333333</v>
      </c>
    </row>
    <row r="268" spans="1:10" x14ac:dyDescent="0.35">
      <c r="A268" s="3" t="s">
        <v>25</v>
      </c>
      <c r="B268" t="s">
        <v>709</v>
      </c>
      <c r="C268" t="s">
        <v>30</v>
      </c>
      <c r="D268">
        <v>83</v>
      </c>
      <c r="E268" t="s">
        <v>17</v>
      </c>
      <c r="F268">
        <v>14</v>
      </c>
      <c r="G268">
        <v>58.07</v>
      </c>
      <c r="H268">
        <v>3</v>
      </c>
      <c r="I268" s="3">
        <f>CLIENTS_CHURN[[#This Row],[Anciennete_Mois]]/12</f>
        <v>6.916666666666667</v>
      </c>
      <c r="J268" s="3">
        <f>CLIENTS_CHURN[[#This Row],[Duree_Cumulee_Panne_Min]]/60</f>
        <v>0.23333333333333334</v>
      </c>
    </row>
    <row r="269" spans="1:10" x14ac:dyDescent="0.35">
      <c r="A269" s="3" t="s">
        <v>69</v>
      </c>
      <c r="B269" t="s">
        <v>589</v>
      </c>
      <c r="C269" t="s">
        <v>30</v>
      </c>
      <c r="D269">
        <v>95</v>
      </c>
      <c r="E269" t="s">
        <v>20</v>
      </c>
      <c r="F269">
        <v>95</v>
      </c>
      <c r="G269">
        <v>82.65</v>
      </c>
      <c r="H269">
        <v>2</v>
      </c>
      <c r="I269" s="3">
        <f>CLIENTS_CHURN[[#This Row],[Anciennete_Mois]]/12</f>
        <v>7.916666666666667</v>
      </c>
      <c r="J269" s="3">
        <f>CLIENTS_CHURN[[#This Row],[Duree_Cumulee_Panne_Min]]/60</f>
        <v>1.5833333333333333</v>
      </c>
    </row>
    <row r="270" spans="1:10" x14ac:dyDescent="0.35">
      <c r="A270" s="3" t="s">
        <v>69</v>
      </c>
      <c r="B270" t="s">
        <v>294</v>
      </c>
      <c r="C270" t="s">
        <v>30</v>
      </c>
      <c r="D270">
        <v>7</v>
      </c>
      <c r="E270" t="s">
        <v>13</v>
      </c>
      <c r="F270">
        <v>317</v>
      </c>
      <c r="G270">
        <v>97.32</v>
      </c>
      <c r="H270">
        <v>1</v>
      </c>
      <c r="I270" s="3">
        <f>CLIENTS_CHURN[[#This Row],[Anciennete_Mois]]/12</f>
        <v>0.58333333333333337</v>
      </c>
      <c r="J270" s="3">
        <f>CLIENTS_CHURN[[#This Row],[Duree_Cumulee_Panne_Min]]/60</f>
        <v>5.2833333333333332</v>
      </c>
    </row>
    <row r="271" spans="1:10" x14ac:dyDescent="0.35">
      <c r="A271" s="3" t="s">
        <v>35</v>
      </c>
      <c r="B271" t="s">
        <v>529</v>
      </c>
      <c r="C271" t="s">
        <v>30</v>
      </c>
      <c r="D271">
        <v>62</v>
      </c>
      <c r="E271" t="s">
        <v>17</v>
      </c>
      <c r="F271">
        <v>136</v>
      </c>
      <c r="G271">
        <v>88.61</v>
      </c>
      <c r="H271">
        <v>2</v>
      </c>
      <c r="I271" s="3">
        <f>CLIENTS_CHURN[[#This Row],[Anciennete_Mois]]/12</f>
        <v>5.166666666666667</v>
      </c>
      <c r="J271" s="3">
        <f>CLIENTS_CHURN[[#This Row],[Duree_Cumulee_Panne_Min]]/60</f>
        <v>2.2666666666666666</v>
      </c>
    </row>
    <row r="272" spans="1:10" x14ac:dyDescent="0.35">
      <c r="A272" s="3" t="s">
        <v>35</v>
      </c>
      <c r="B272" t="s">
        <v>194</v>
      </c>
      <c r="C272" t="s">
        <v>30</v>
      </c>
      <c r="D272">
        <v>114</v>
      </c>
      <c r="E272" t="s">
        <v>31</v>
      </c>
      <c r="F272">
        <v>388</v>
      </c>
      <c r="G272">
        <v>40.29</v>
      </c>
      <c r="H272">
        <v>5</v>
      </c>
      <c r="I272" s="3">
        <f>CLIENTS_CHURN[[#This Row],[Anciennete_Mois]]/12</f>
        <v>9.5</v>
      </c>
      <c r="J272" s="3">
        <f>CLIENTS_CHURN[[#This Row],[Duree_Cumulee_Panne_Min]]/60</f>
        <v>6.4666666666666668</v>
      </c>
    </row>
    <row r="273" spans="1:10" x14ac:dyDescent="0.35">
      <c r="A273" s="3" t="s">
        <v>35</v>
      </c>
      <c r="B273" t="s">
        <v>677</v>
      </c>
      <c r="C273" t="s">
        <v>30</v>
      </c>
      <c r="D273">
        <v>32</v>
      </c>
      <c r="E273" t="s">
        <v>17</v>
      </c>
      <c r="F273">
        <v>31</v>
      </c>
      <c r="G273">
        <v>67.040000000000006</v>
      </c>
      <c r="H273">
        <v>1</v>
      </c>
      <c r="I273" s="3">
        <f>CLIENTS_CHURN[[#This Row],[Anciennete_Mois]]/12</f>
        <v>2.6666666666666665</v>
      </c>
      <c r="J273" s="3">
        <f>CLIENTS_CHURN[[#This Row],[Duree_Cumulee_Panne_Min]]/60</f>
        <v>0.51666666666666672</v>
      </c>
    </row>
    <row r="274" spans="1:10" x14ac:dyDescent="0.35">
      <c r="A274" s="3" t="s">
        <v>14</v>
      </c>
      <c r="B274" t="s">
        <v>396</v>
      </c>
      <c r="C274" t="s">
        <v>30</v>
      </c>
      <c r="D274">
        <v>40</v>
      </c>
      <c r="E274" t="s">
        <v>13</v>
      </c>
      <c r="F274">
        <v>237</v>
      </c>
      <c r="G274">
        <v>24.51</v>
      </c>
      <c r="H274">
        <v>1</v>
      </c>
      <c r="I274" s="3">
        <f>CLIENTS_CHURN[[#This Row],[Anciennete_Mois]]/12</f>
        <v>3.3333333333333335</v>
      </c>
      <c r="J274" s="3">
        <f>CLIENTS_CHURN[[#This Row],[Duree_Cumulee_Panne_Min]]/60</f>
        <v>3.95</v>
      </c>
    </row>
    <row r="275" spans="1:10" x14ac:dyDescent="0.35">
      <c r="A275" s="3" t="s">
        <v>21</v>
      </c>
      <c r="B275" t="s">
        <v>463</v>
      </c>
      <c r="C275" t="s">
        <v>30</v>
      </c>
      <c r="D275">
        <v>71</v>
      </c>
      <c r="E275" t="s">
        <v>13</v>
      </c>
      <c r="F275">
        <v>191</v>
      </c>
      <c r="G275">
        <v>83.04</v>
      </c>
      <c r="H275">
        <v>4</v>
      </c>
      <c r="I275" s="3">
        <f>CLIENTS_CHURN[[#This Row],[Anciennete_Mois]]/12</f>
        <v>5.916666666666667</v>
      </c>
      <c r="J275" s="3">
        <f>CLIENTS_CHURN[[#This Row],[Duree_Cumulee_Panne_Min]]/60</f>
        <v>3.1833333333333331</v>
      </c>
    </row>
    <row r="276" spans="1:10" x14ac:dyDescent="0.35">
      <c r="A276" s="3" t="s">
        <v>61</v>
      </c>
      <c r="B276" t="s">
        <v>547</v>
      </c>
      <c r="C276" t="s">
        <v>30</v>
      </c>
      <c r="D276">
        <v>63</v>
      </c>
      <c r="E276" t="s">
        <v>20</v>
      </c>
      <c r="F276">
        <v>121</v>
      </c>
      <c r="G276">
        <v>39.18</v>
      </c>
      <c r="H276">
        <v>2</v>
      </c>
      <c r="I276" s="3">
        <f>CLIENTS_CHURN[[#This Row],[Anciennete_Mois]]/12</f>
        <v>5.25</v>
      </c>
      <c r="J276" s="3">
        <f>CLIENTS_CHURN[[#This Row],[Duree_Cumulee_Panne_Min]]/60</f>
        <v>2.0166666666666666</v>
      </c>
    </row>
    <row r="277" spans="1:10" x14ac:dyDescent="0.35">
      <c r="A277" s="3" t="s">
        <v>51</v>
      </c>
      <c r="B277" t="s">
        <v>313</v>
      </c>
      <c r="C277" t="s">
        <v>30</v>
      </c>
      <c r="D277">
        <v>14</v>
      </c>
      <c r="E277" t="s">
        <v>17</v>
      </c>
      <c r="F277">
        <v>304</v>
      </c>
      <c r="G277">
        <v>48.13</v>
      </c>
      <c r="H277">
        <v>2</v>
      </c>
      <c r="I277" s="3">
        <f>CLIENTS_CHURN[[#This Row],[Anciennete_Mois]]/12</f>
        <v>1.1666666666666667</v>
      </c>
      <c r="J277" s="3">
        <f>CLIENTS_CHURN[[#This Row],[Duree_Cumulee_Panne_Min]]/60</f>
        <v>5.0666666666666664</v>
      </c>
    </row>
    <row r="278" spans="1:10" x14ac:dyDescent="0.35">
      <c r="A278" s="3" t="s">
        <v>51</v>
      </c>
      <c r="B278" t="s">
        <v>464</v>
      </c>
      <c r="C278" t="s">
        <v>30</v>
      </c>
      <c r="D278">
        <v>115</v>
      </c>
      <c r="E278" t="s">
        <v>20</v>
      </c>
      <c r="F278">
        <v>190</v>
      </c>
      <c r="G278">
        <v>10.98</v>
      </c>
      <c r="H278">
        <v>0</v>
      </c>
      <c r="I278" s="3">
        <f>CLIENTS_CHURN[[#This Row],[Anciennete_Mois]]/12</f>
        <v>9.5833333333333339</v>
      </c>
      <c r="J278" s="3">
        <f>CLIENTS_CHURN[[#This Row],[Duree_Cumulee_Panne_Min]]/60</f>
        <v>3.1666666666666665</v>
      </c>
    </row>
    <row r="279" spans="1:10" x14ac:dyDescent="0.35">
      <c r="A279" s="3" t="s">
        <v>51</v>
      </c>
      <c r="B279" t="s">
        <v>608</v>
      </c>
      <c r="C279" t="s">
        <v>30</v>
      </c>
      <c r="D279">
        <v>118</v>
      </c>
      <c r="E279" t="s">
        <v>20</v>
      </c>
      <c r="F279">
        <v>80</v>
      </c>
      <c r="G279">
        <v>97.58</v>
      </c>
      <c r="H279">
        <v>3</v>
      </c>
      <c r="I279" s="3">
        <f>CLIENTS_CHURN[[#This Row],[Anciennete_Mois]]/12</f>
        <v>9.8333333333333339</v>
      </c>
      <c r="J279" s="3">
        <f>CLIENTS_CHURN[[#This Row],[Duree_Cumulee_Panne_Min]]/60</f>
        <v>1.3333333333333333</v>
      </c>
    </row>
    <row r="280" spans="1:10" x14ac:dyDescent="0.35">
      <c r="A280" s="3" t="s">
        <v>28</v>
      </c>
      <c r="B280" t="s">
        <v>29</v>
      </c>
      <c r="C280" t="s">
        <v>30</v>
      </c>
      <c r="D280">
        <v>57</v>
      </c>
      <c r="E280" t="s">
        <v>31</v>
      </c>
      <c r="F280">
        <v>493</v>
      </c>
      <c r="G280">
        <v>43.98</v>
      </c>
      <c r="H280">
        <v>3</v>
      </c>
      <c r="I280" s="3">
        <f>CLIENTS_CHURN[[#This Row],[Anciennete_Mois]]/12</f>
        <v>4.75</v>
      </c>
      <c r="J280" s="3">
        <f>CLIENTS_CHURN[[#This Row],[Duree_Cumulee_Panne_Min]]/60</f>
        <v>8.2166666666666668</v>
      </c>
    </row>
    <row r="281" spans="1:10" x14ac:dyDescent="0.35">
      <c r="A281" s="3" t="s">
        <v>10</v>
      </c>
      <c r="B281" t="s">
        <v>469</v>
      </c>
      <c r="C281" t="s">
        <v>30</v>
      </c>
      <c r="D281">
        <v>118</v>
      </c>
      <c r="E281" t="s">
        <v>31</v>
      </c>
      <c r="F281">
        <v>186</v>
      </c>
      <c r="G281">
        <v>46.88</v>
      </c>
      <c r="H281">
        <v>1</v>
      </c>
      <c r="I281" s="3">
        <f>CLIENTS_CHURN[[#This Row],[Anciennete_Mois]]/12</f>
        <v>9.8333333333333339</v>
      </c>
      <c r="J281" s="3">
        <f>CLIENTS_CHURN[[#This Row],[Duree_Cumulee_Panne_Min]]/60</f>
        <v>3.1</v>
      </c>
    </row>
    <row r="282" spans="1:10" x14ac:dyDescent="0.35">
      <c r="A282" s="3" t="s">
        <v>10</v>
      </c>
      <c r="B282" t="s">
        <v>726</v>
      </c>
      <c r="C282" t="s">
        <v>30</v>
      </c>
      <c r="D282">
        <v>41</v>
      </c>
      <c r="E282" t="s">
        <v>31</v>
      </c>
      <c r="F282">
        <v>2</v>
      </c>
      <c r="G282">
        <v>24.91</v>
      </c>
      <c r="H282">
        <v>1</v>
      </c>
      <c r="I282" s="3">
        <f>CLIENTS_CHURN[[#This Row],[Anciennete_Mois]]/12</f>
        <v>3.4166666666666665</v>
      </c>
      <c r="J282" s="3">
        <f>CLIENTS_CHURN[[#This Row],[Duree_Cumulee_Panne_Min]]/60</f>
        <v>3.3333333333333333E-2</v>
      </c>
    </row>
    <row r="283" spans="1:10" x14ac:dyDescent="0.35">
      <c r="A283" s="3" t="s">
        <v>10</v>
      </c>
      <c r="B283" t="s">
        <v>133</v>
      </c>
      <c r="C283" t="s">
        <v>30</v>
      </c>
      <c r="D283">
        <v>81</v>
      </c>
      <c r="E283" t="s">
        <v>20</v>
      </c>
      <c r="F283">
        <v>443</v>
      </c>
      <c r="G283">
        <v>32.78</v>
      </c>
      <c r="H283">
        <v>1</v>
      </c>
      <c r="I283" s="3">
        <f>CLIENTS_CHURN[[#This Row],[Anciennete_Mois]]/12</f>
        <v>6.75</v>
      </c>
      <c r="J283" s="3">
        <f>CLIENTS_CHURN[[#This Row],[Duree_Cumulee_Panne_Min]]/60</f>
        <v>7.3833333333333337</v>
      </c>
    </row>
    <row r="284" spans="1:10" x14ac:dyDescent="0.35">
      <c r="A284" s="3" t="s">
        <v>10</v>
      </c>
      <c r="B284" t="s">
        <v>191</v>
      </c>
      <c r="C284" t="s">
        <v>30</v>
      </c>
      <c r="D284">
        <v>51</v>
      </c>
      <c r="E284" t="s">
        <v>20</v>
      </c>
      <c r="F284">
        <v>389</v>
      </c>
      <c r="G284">
        <v>50.45</v>
      </c>
      <c r="H284">
        <v>3</v>
      </c>
      <c r="I284" s="3">
        <f>CLIENTS_CHURN[[#This Row],[Anciennete_Mois]]/12</f>
        <v>4.25</v>
      </c>
      <c r="J284" s="3">
        <f>CLIENTS_CHURN[[#This Row],[Duree_Cumulee_Panne_Min]]/60</f>
        <v>6.4833333333333334</v>
      </c>
    </row>
    <row r="285" spans="1:10" x14ac:dyDescent="0.35">
      <c r="A285" s="3" t="s">
        <v>74</v>
      </c>
      <c r="B285" t="s">
        <v>641</v>
      </c>
      <c r="C285" t="s">
        <v>30</v>
      </c>
      <c r="D285">
        <v>93</v>
      </c>
      <c r="E285" t="s">
        <v>20</v>
      </c>
      <c r="F285">
        <v>56</v>
      </c>
      <c r="G285">
        <v>96.31</v>
      </c>
      <c r="H285">
        <v>4</v>
      </c>
      <c r="I285" s="3">
        <f>CLIENTS_CHURN[[#This Row],[Anciennete_Mois]]/12</f>
        <v>7.75</v>
      </c>
      <c r="J285" s="3">
        <f>CLIENTS_CHURN[[#This Row],[Duree_Cumulee_Panne_Min]]/60</f>
        <v>0.93333333333333335</v>
      </c>
    </row>
    <row r="286" spans="1:10" x14ac:dyDescent="0.35">
      <c r="A286" s="3" t="s">
        <v>74</v>
      </c>
      <c r="B286" t="s">
        <v>399</v>
      </c>
      <c r="C286" t="s">
        <v>30</v>
      </c>
      <c r="D286">
        <v>14</v>
      </c>
      <c r="E286" t="s">
        <v>20</v>
      </c>
      <c r="F286">
        <v>236</v>
      </c>
      <c r="G286">
        <v>54.43</v>
      </c>
      <c r="H286">
        <v>3</v>
      </c>
      <c r="I286" s="3">
        <f>CLIENTS_CHURN[[#This Row],[Anciennete_Mois]]/12</f>
        <v>1.1666666666666667</v>
      </c>
      <c r="J286" s="3">
        <f>CLIENTS_CHURN[[#This Row],[Duree_Cumulee_Panne_Min]]/60</f>
        <v>3.9333333333333331</v>
      </c>
    </row>
    <row r="287" spans="1:10" x14ac:dyDescent="0.35">
      <c r="A287" s="3" t="s">
        <v>74</v>
      </c>
      <c r="B287" t="s">
        <v>407</v>
      </c>
      <c r="C287" t="s">
        <v>30</v>
      </c>
      <c r="D287">
        <v>116</v>
      </c>
      <c r="E287" t="s">
        <v>17</v>
      </c>
      <c r="F287">
        <v>231</v>
      </c>
      <c r="G287">
        <v>19.12</v>
      </c>
      <c r="H287">
        <v>5</v>
      </c>
      <c r="I287" s="3">
        <f>CLIENTS_CHURN[[#This Row],[Anciennete_Mois]]/12</f>
        <v>9.6666666666666661</v>
      </c>
      <c r="J287" s="3">
        <f>CLIENTS_CHURN[[#This Row],[Duree_Cumulee_Panne_Min]]/60</f>
        <v>3.85</v>
      </c>
    </row>
    <row r="288" spans="1:10" x14ac:dyDescent="0.35">
      <c r="A288" s="3" t="s">
        <v>74</v>
      </c>
      <c r="B288" t="s">
        <v>443</v>
      </c>
      <c r="C288" t="s">
        <v>30</v>
      </c>
      <c r="D288">
        <v>17</v>
      </c>
      <c r="E288" t="s">
        <v>20</v>
      </c>
      <c r="F288">
        <v>206</v>
      </c>
      <c r="G288">
        <v>63.46</v>
      </c>
      <c r="H288">
        <v>3</v>
      </c>
      <c r="I288" s="3">
        <f>CLIENTS_CHURN[[#This Row],[Anciennete_Mois]]/12</f>
        <v>1.4166666666666667</v>
      </c>
      <c r="J288" s="3">
        <f>CLIENTS_CHURN[[#This Row],[Duree_Cumulee_Panne_Min]]/60</f>
        <v>3.4333333333333331</v>
      </c>
    </row>
    <row r="289" spans="1:10" x14ac:dyDescent="0.35">
      <c r="A289" s="3" t="s">
        <v>74</v>
      </c>
      <c r="B289" t="s">
        <v>519</v>
      </c>
      <c r="C289" t="s">
        <v>30</v>
      </c>
      <c r="D289">
        <v>19</v>
      </c>
      <c r="E289" t="s">
        <v>31</v>
      </c>
      <c r="F289">
        <v>141</v>
      </c>
      <c r="G289">
        <v>53.95</v>
      </c>
      <c r="H289">
        <v>1</v>
      </c>
      <c r="I289" s="3">
        <f>CLIENTS_CHURN[[#This Row],[Anciennete_Mois]]/12</f>
        <v>1.5833333333333333</v>
      </c>
      <c r="J289" s="3">
        <f>CLIENTS_CHURN[[#This Row],[Duree_Cumulee_Panne_Min]]/60</f>
        <v>2.35</v>
      </c>
    </row>
    <row r="290" spans="1:10" x14ac:dyDescent="0.35">
      <c r="A290" s="3" t="s">
        <v>100</v>
      </c>
      <c r="B290" t="s">
        <v>209</v>
      </c>
      <c r="C290" t="s">
        <v>30</v>
      </c>
      <c r="D290">
        <v>92</v>
      </c>
      <c r="E290" t="s">
        <v>31</v>
      </c>
      <c r="F290">
        <v>379</v>
      </c>
      <c r="G290">
        <v>70.08</v>
      </c>
      <c r="H290">
        <v>5</v>
      </c>
      <c r="I290" s="3">
        <f>CLIENTS_CHURN[[#This Row],[Anciennete_Mois]]/12</f>
        <v>7.666666666666667</v>
      </c>
      <c r="J290" s="3">
        <f>CLIENTS_CHURN[[#This Row],[Duree_Cumulee_Panne_Min]]/60</f>
        <v>6.3166666666666664</v>
      </c>
    </row>
    <row r="291" spans="1:10" x14ac:dyDescent="0.35">
      <c r="A291" s="3" t="s">
        <v>45</v>
      </c>
      <c r="B291" t="s">
        <v>231</v>
      </c>
      <c r="C291" t="s">
        <v>30</v>
      </c>
      <c r="D291">
        <v>74</v>
      </c>
      <c r="E291" t="s">
        <v>17</v>
      </c>
      <c r="F291">
        <v>359</v>
      </c>
      <c r="G291">
        <v>92.63</v>
      </c>
      <c r="H291">
        <v>0</v>
      </c>
      <c r="I291" s="3">
        <f>CLIENTS_CHURN[[#This Row],[Anciennete_Mois]]/12</f>
        <v>6.166666666666667</v>
      </c>
      <c r="J291" s="3">
        <f>CLIENTS_CHURN[[#This Row],[Duree_Cumulee_Panne_Min]]/60</f>
        <v>5.9833333333333334</v>
      </c>
    </row>
    <row r="292" spans="1:10" x14ac:dyDescent="0.35">
      <c r="A292" s="3" t="s">
        <v>85</v>
      </c>
      <c r="B292" t="s">
        <v>1450</v>
      </c>
      <c r="C292" t="s">
        <v>104</v>
      </c>
      <c r="D292">
        <v>65</v>
      </c>
      <c r="E292" t="s">
        <v>13</v>
      </c>
      <c r="F292">
        <v>397</v>
      </c>
      <c r="G292">
        <v>22.6</v>
      </c>
      <c r="H292">
        <v>5</v>
      </c>
      <c r="I292" s="3">
        <f>CLIENTS_CHURN[[#This Row],[Anciennete_Mois]]/12</f>
        <v>5.416666666666667</v>
      </c>
      <c r="J292" s="3">
        <f>CLIENTS_CHURN[[#This Row],[Duree_Cumulee_Panne_Min]]/60</f>
        <v>6.6166666666666663</v>
      </c>
    </row>
    <row r="293" spans="1:10" x14ac:dyDescent="0.35">
      <c r="A293" s="3" t="s">
        <v>85</v>
      </c>
      <c r="B293" t="s">
        <v>270</v>
      </c>
      <c r="C293" t="s">
        <v>104</v>
      </c>
      <c r="D293">
        <v>101</v>
      </c>
      <c r="E293" t="s">
        <v>20</v>
      </c>
      <c r="F293">
        <v>333</v>
      </c>
      <c r="G293">
        <v>74.319999999999993</v>
      </c>
      <c r="H293">
        <v>1</v>
      </c>
      <c r="I293" s="3">
        <f>CLIENTS_CHURN[[#This Row],[Anciennete_Mois]]/12</f>
        <v>8.4166666666666661</v>
      </c>
      <c r="J293" s="3">
        <f>CLIENTS_CHURN[[#This Row],[Duree_Cumulee_Panne_Min]]/60</f>
        <v>5.55</v>
      </c>
    </row>
    <row r="294" spans="1:10" x14ac:dyDescent="0.35">
      <c r="A294" s="3" t="s">
        <v>25</v>
      </c>
      <c r="B294" t="s">
        <v>103</v>
      </c>
      <c r="C294" t="s">
        <v>104</v>
      </c>
      <c r="D294">
        <v>86</v>
      </c>
      <c r="E294" t="s">
        <v>31</v>
      </c>
      <c r="F294">
        <v>460</v>
      </c>
      <c r="G294">
        <v>22.81</v>
      </c>
      <c r="H294">
        <v>4</v>
      </c>
      <c r="I294" s="3">
        <f>CLIENTS_CHURN[[#This Row],[Anciennete_Mois]]/12</f>
        <v>7.166666666666667</v>
      </c>
      <c r="J294" s="3">
        <f>CLIENTS_CHURN[[#This Row],[Duree_Cumulee_Panne_Min]]/60</f>
        <v>7.666666666666667</v>
      </c>
    </row>
    <row r="295" spans="1:10" x14ac:dyDescent="0.35">
      <c r="A295" s="3" t="s">
        <v>25</v>
      </c>
      <c r="B295" t="s">
        <v>1458</v>
      </c>
      <c r="C295" t="s">
        <v>104</v>
      </c>
      <c r="D295">
        <v>70</v>
      </c>
      <c r="E295" t="s">
        <v>31</v>
      </c>
      <c r="F295">
        <v>31</v>
      </c>
      <c r="G295">
        <v>71.2</v>
      </c>
      <c r="H295">
        <v>4</v>
      </c>
      <c r="I295" s="3">
        <f>CLIENTS_CHURN[[#This Row],[Anciennete_Mois]]/12</f>
        <v>5.833333333333333</v>
      </c>
      <c r="J295" s="3">
        <f>CLIENTS_CHURN[[#This Row],[Duree_Cumulee_Panne_Min]]/60</f>
        <v>0.51666666666666672</v>
      </c>
    </row>
    <row r="296" spans="1:10" x14ac:dyDescent="0.35">
      <c r="A296" s="3" t="s">
        <v>25</v>
      </c>
      <c r="B296" t="s">
        <v>115</v>
      </c>
      <c r="C296" t="s">
        <v>104</v>
      </c>
      <c r="D296">
        <v>4</v>
      </c>
      <c r="E296" t="s">
        <v>31</v>
      </c>
      <c r="F296">
        <v>453</v>
      </c>
      <c r="G296">
        <v>75.260000000000005</v>
      </c>
      <c r="H296">
        <v>5</v>
      </c>
      <c r="I296" s="3">
        <f>CLIENTS_CHURN[[#This Row],[Anciennete_Mois]]/12</f>
        <v>0.33333333333333331</v>
      </c>
      <c r="J296" s="3">
        <f>CLIENTS_CHURN[[#This Row],[Duree_Cumulee_Panne_Min]]/60</f>
        <v>7.55</v>
      </c>
    </row>
    <row r="297" spans="1:10" x14ac:dyDescent="0.35">
      <c r="A297" s="3" t="s">
        <v>69</v>
      </c>
      <c r="B297" t="s">
        <v>1462</v>
      </c>
      <c r="C297" t="s">
        <v>104</v>
      </c>
      <c r="D297">
        <v>114</v>
      </c>
      <c r="E297" t="s">
        <v>13</v>
      </c>
      <c r="F297">
        <v>232</v>
      </c>
      <c r="G297">
        <v>42.2</v>
      </c>
      <c r="H297">
        <v>2</v>
      </c>
      <c r="I297" s="3">
        <f>CLIENTS_CHURN[[#This Row],[Anciennete_Mois]]/12</f>
        <v>9.5</v>
      </c>
      <c r="J297" s="3">
        <f>CLIENTS_CHURN[[#This Row],[Duree_Cumulee_Panne_Min]]/60</f>
        <v>3.8666666666666667</v>
      </c>
    </row>
    <row r="298" spans="1:10" x14ac:dyDescent="0.35">
      <c r="A298" s="3" t="s">
        <v>39</v>
      </c>
      <c r="B298" t="s">
        <v>572</v>
      </c>
      <c r="C298" t="s">
        <v>104</v>
      </c>
      <c r="D298">
        <v>35</v>
      </c>
      <c r="E298" t="s">
        <v>17</v>
      </c>
      <c r="F298">
        <v>107</v>
      </c>
      <c r="G298">
        <v>66.69</v>
      </c>
      <c r="H298">
        <v>4</v>
      </c>
      <c r="I298" s="3">
        <f>CLIENTS_CHURN[[#This Row],[Anciennete_Mois]]/12</f>
        <v>2.9166666666666665</v>
      </c>
      <c r="J298" s="3">
        <f>CLIENTS_CHURN[[#This Row],[Duree_Cumulee_Panne_Min]]/60</f>
        <v>1.7833333333333334</v>
      </c>
    </row>
    <row r="299" spans="1:10" x14ac:dyDescent="0.35">
      <c r="A299" s="3" t="s">
        <v>39</v>
      </c>
      <c r="B299" t="s">
        <v>398</v>
      </c>
      <c r="C299" t="s">
        <v>104</v>
      </c>
      <c r="D299">
        <v>115</v>
      </c>
      <c r="E299" t="s">
        <v>31</v>
      </c>
      <c r="F299">
        <v>236</v>
      </c>
      <c r="G299">
        <v>50.64</v>
      </c>
      <c r="H299">
        <v>1</v>
      </c>
      <c r="I299" s="3">
        <f>CLIENTS_CHURN[[#This Row],[Anciennete_Mois]]/12</f>
        <v>9.5833333333333339</v>
      </c>
      <c r="J299" s="3">
        <f>CLIENTS_CHURN[[#This Row],[Duree_Cumulee_Panne_Min]]/60</f>
        <v>3.9333333333333331</v>
      </c>
    </row>
    <row r="300" spans="1:10" x14ac:dyDescent="0.35">
      <c r="A300" s="3" t="s">
        <v>32</v>
      </c>
      <c r="B300" t="s">
        <v>274</v>
      </c>
      <c r="C300" t="s">
        <v>104</v>
      </c>
      <c r="D300">
        <v>33</v>
      </c>
      <c r="E300" t="s">
        <v>31</v>
      </c>
      <c r="F300">
        <v>332</v>
      </c>
      <c r="G300">
        <v>76.41</v>
      </c>
      <c r="H300">
        <v>1</v>
      </c>
      <c r="I300" s="3">
        <f>CLIENTS_CHURN[[#This Row],[Anciennete_Mois]]/12</f>
        <v>2.75</v>
      </c>
      <c r="J300" s="3">
        <f>CLIENTS_CHURN[[#This Row],[Duree_Cumulee_Panne_Min]]/60</f>
        <v>5.5333333333333332</v>
      </c>
    </row>
    <row r="301" spans="1:10" x14ac:dyDescent="0.35">
      <c r="A301" s="3" t="s">
        <v>14</v>
      </c>
      <c r="B301" t="s">
        <v>160</v>
      </c>
      <c r="C301" t="s">
        <v>104</v>
      </c>
      <c r="D301">
        <v>89</v>
      </c>
      <c r="E301" t="s">
        <v>17</v>
      </c>
      <c r="F301">
        <v>418</v>
      </c>
      <c r="G301">
        <v>86.63</v>
      </c>
      <c r="H301">
        <v>4</v>
      </c>
      <c r="I301" s="3">
        <f>CLIENTS_CHURN[[#This Row],[Anciennete_Mois]]/12</f>
        <v>7.416666666666667</v>
      </c>
      <c r="J301" s="3">
        <f>CLIENTS_CHURN[[#This Row],[Duree_Cumulee_Panne_Min]]/60</f>
        <v>6.9666666666666668</v>
      </c>
    </row>
    <row r="302" spans="1:10" x14ac:dyDescent="0.35">
      <c r="A302" s="3" t="s">
        <v>61</v>
      </c>
      <c r="B302" t="s">
        <v>638</v>
      </c>
      <c r="C302" t="s">
        <v>104</v>
      </c>
      <c r="D302">
        <v>78</v>
      </c>
      <c r="E302" t="s">
        <v>13</v>
      </c>
      <c r="F302">
        <v>60</v>
      </c>
      <c r="G302">
        <v>33.159999999999997</v>
      </c>
      <c r="H302">
        <v>5</v>
      </c>
      <c r="I302" s="3">
        <f>CLIENTS_CHURN[[#This Row],[Anciennete_Mois]]/12</f>
        <v>6.5</v>
      </c>
      <c r="J302" s="3">
        <f>CLIENTS_CHURN[[#This Row],[Duree_Cumulee_Panne_Min]]/60</f>
        <v>1</v>
      </c>
    </row>
    <row r="303" spans="1:10" x14ac:dyDescent="0.35">
      <c r="A303" s="3" t="s">
        <v>61</v>
      </c>
      <c r="B303" t="s">
        <v>613</v>
      </c>
      <c r="C303" t="s">
        <v>104</v>
      </c>
      <c r="D303">
        <v>15</v>
      </c>
      <c r="E303" t="s">
        <v>13</v>
      </c>
      <c r="F303">
        <v>75</v>
      </c>
      <c r="G303">
        <v>45.59</v>
      </c>
      <c r="H303">
        <v>0</v>
      </c>
      <c r="I303" s="3">
        <f>CLIENTS_CHURN[[#This Row],[Anciennete_Mois]]/12</f>
        <v>1.25</v>
      </c>
      <c r="J303" s="3">
        <f>CLIENTS_CHURN[[#This Row],[Duree_Cumulee_Panne_Min]]/60</f>
        <v>1.25</v>
      </c>
    </row>
    <row r="304" spans="1:10" x14ac:dyDescent="0.35">
      <c r="A304" s="3" t="s">
        <v>61</v>
      </c>
      <c r="B304" t="s">
        <v>156</v>
      </c>
      <c r="C304" t="s">
        <v>104</v>
      </c>
      <c r="D304">
        <v>104</v>
      </c>
      <c r="E304" t="s">
        <v>20</v>
      </c>
      <c r="F304">
        <v>421</v>
      </c>
      <c r="G304">
        <v>26.24</v>
      </c>
      <c r="H304">
        <v>3</v>
      </c>
      <c r="I304" s="3">
        <f>CLIENTS_CHURN[[#This Row],[Anciennete_Mois]]/12</f>
        <v>8.6666666666666661</v>
      </c>
      <c r="J304" s="3">
        <f>CLIENTS_CHURN[[#This Row],[Duree_Cumulee_Panne_Min]]/60</f>
        <v>7.0166666666666666</v>
      </c>
    </row>
    <row r="305" spans="1:10" x14ac:dyDescent="0.35">
      <c r="A305" s="3" t="s">
        <v>51</v>
      </c>
      <c r="B305" t="s">
        <v>488</v>
      </c>
      <c r="C305" t="s">
        <v>104</v>
      </c>
      <c r="D305">
        <v>105</v>
      </c>
      <c r="E305" t="s">
        <v>17</v>
      </c>
      <c r="F305">
        <v>172</v>
      </c>
      <c r="G305">
        <v>15.88</v>
      </c>
      <c r="H305">
        <v>5</v>
      </c>
      <c r="I305" s="3">
        <f>CLIENTS_CHURN[[#This Row],[Anciennete_Mois]]/12</f>
        <v>8.75</v>
      </c>
      <c r="J305" s="3">
        <f>CLIENTS_CHURN[[#This Row],[Duree_Cumulee_Panne_Min]]/60</f>
        <v>2.8666666666666667</v>
      </c>
    </row>
    <row r="306" spans="1:10" x14ac:dyDescent="0.35">
      <c r="A306" s="3" t="s">
        <v>51</v>
      </c>
      <c r="B306" t="s">
        <v>687</v>
      </c>
      <c r="C306" t="s">
        <v>104</v>
      </c>
      <c r="D306">
        <v>86</v>
      </c>
      <c r="E306" t="s">
        <v>13</v>
      </c>
      <c r="F306">
        <v>27</v>
      </c>
      <c r="G306">
        <v>84.94</v>
      </c>
      <c r="H306">
        <v>4</v>
      </c>
      <c r="I306" s="3">
        <f>CLIENTS_CHURN[[#This Row],[Anciennete_Mois]]/12</f>
        <v>7.166666666666667</v>
      </c>
      <c r="J306" s="3">
        <f>CLIENTS_CHURN[[#This Row],[Duree_Cumulee_Panne_Min]]/60</f>
        <v>0.45</v>
      </c>
    </row>
    <row r="307" spans="1:10" x14ac:dyDescent="0.35">
      <c r="A307" s="3" t="s">
        <v>28</v>
      </c>
      <c r="B307" t="s">
        <v>406</v>
      </c>
      <c r="C307" t="s">
        <v>104</v>
      </c>
      <c r="D307">
        <v>119</v>
      </c>
      <c r="E307" t="s">
        <v>17</v>
      </c>
      <c r="F307">
        <v>231</v>
      </c>
      <c r="G307">
        <v>20.22</v>
      </c>
      <c r="H307">
        <v>2</v>
      </c>
      <c r="I307" s="3">
        <f>CLIENTS_CHURN[[#This Row],[Anciennete_Mois]]/12</f>
        <v>9.9166666666666661</v>
      </c>
      <c r="J307" s="3">
        <f>CLIENTS_CHURN[[#This Row],[Duree_Cumulee_Panne_Min]]/60</f>
        <v>3.85</v>
      </c>
    </row>
    <row r="308" spans="1:10" x14ac:dyDescent="0.35">
      <c r="A308" s="3" t="s">
        <v>10</v>
      </c>
      <c r="B308" t="s">
        <v>564</v>
      </c>
      <c r="C308" t="s">
        <v>104</v>
      </c>
      <c r="D308">
        <v>98</v>
      </c>
      <c r="E308" t="s">
        <v>17</v>
      </c>
      <c r="F308">
        <v>110</v>
      </c>
      <c r="G308">
        <v>96.23</v>
      </c>
      <c r="H308">
        <v>2</v>
      </c>
      <c r="I308" s="3">
        <f>CLIENTS_CHURN[[#This Row],[Anciennete_Mois]]/12</f>
        <v>8.1666666666666661</v>
      </c>
      <c r="J308" s="3">
        <f>CLIENTS_CHURN[[#This Row],[Duree_Cumulee_Panne_Min]]/60</f>
        <v>1.8333333333333333</v>
      </c>
    </row>
    <row r="309" spans="1:10" x14ac:dyDescent="0.35">
      <c r="A309" s="3" t="s">
        <v>74</v>
      </c>
      <c r="B309" t="s">
        <v>590</v>
      </c>
      <c r="C309" t="s">
        <v>104</v>
      </c>
      <c r="D309">
        <v>25</v>
      </c>
      <c r="E309" t="s">
        <v>31</v>
      </c>
      <c r="F309">
        <v>95</v>
      </c>
      <c r="G309">
        <v>15.93</v>
      </c>
      <c r="H309">
        <v>4</v>
      </c>
      <c r="I309" s="3">
        <f>CLIENTS_CHURN[[#This Row],[Anciennete_Mois]]/12</f>
        <v>2.0833333333333335</v>
      </c>
      <c r="J309" s="3">
        <f>CLIENTS_CHURN[[#This Row],[Duree_Cumulee_Panne_Min]]/60</f>
        <v>1.5833333333333333</v>
      </c>
    </row>
    <row r="310" spans="1:10" x14ac:dyDescent="0.35">
      <c r="A310" s="3" t="s">
        <v>74</v>
      </c>
      <c r="B310" t="s">
        <v>315</v>
      </c>
      <c r="C310" t="s">
        <v>104</v>
      </c>
      <c r="D310">
        <v>111</v>
      </c>
      <c r="E310" t="s">
        <v>13</v>
      </c>
      <c r="F310">
        <v>304</v>
      </c>
      <c r="G310">
        <v>62.48</v>
      </c>
      <c r="H310">
        <v>5</v>
      </c>
      <c r="I310" s="3">
        <f>CLIENTS_CHURN[[#This Row],[Anciennete_Mois]]/12</f>
        <v>9.25</v>
      </c>
      <c r="J310" s="3">
        <f>CLIENTS_CHURN[[#This Row],[Duree_Cumulee_Panne_Min]]/60</f>
        <v>5.0666666666666664</v>
      </c>
    </row>
    <row r="311" spans="1:10" x14ac:dyDescent="0.35">
      <c r="A311" s="3" t="s">
        <v>74</v>
      </c>
      <c r="B311" t="s">
        <v>465</v>
      </c>
      <c r="C311" t="s">
        <v>104</v>
      </c>
      <c r="D311">
        <v>102</v>
      </c>
      <c r="E311" t="s">
        <v>31</v>
      </c>
      <c r="F311">
        <v>189</v>
      </c>
      <c r="G311">
        <v>26.86</v>
      </c>
      <c r="H311">
        <v>5</v>
      </c>
      <c r="I311" s="3">
        <f>CLIENTS_CHURN[[#This Row],[Anciennete_Mois]]/12</f>
        <v>8.5</v>
      </c>
      <c r="J311" s="3">
        <f>CLIENTS_CHURN[[#This Row],[Duree_Cumulee_Panne_Min]]/60</f>
        <v>3.15</v>
      </c>
    </row>
    <row r="312" spans="1:10" x14ac:dyDescent="0.35">
      <c r="A312" s="3" t="s">
        <v>74</v>
      </c>
      <c r="B312" t="s">
        <v>388</v>
      </c>
      <c r="C312" t="s">
        <v>104</v>
      </c>
      <c r="D312">
        <v>104</v>
      </c>
      <c r="E312" t="s">
        <v>31</v>
      </c>
      <c r="F312">
        <v>243</v>
      </c>
      <c r="G312">
        <v>65.819999999999993</v>
      </c>
      <c r="H312">
        <v>0</v>
      </c>
      <c r="I312" s="3">
        <f>CLIENTS_CHURN[[#This Row],[Anciennete_Mois]]/12</f>
        <v>8.6666666666666661</v>
      </c>
      <c r="J312" s="3">
        <f>CLIENTS_CHURN[[#This Row],[Duree_Cumulee_Panne_Min]]/60</f>
        <v>4.05</v>
      </c>
    </row>
    <row r="313" spans="1:10" x14ac:dyDescent="0.35">
      <c r="A313" s="3" t="s">
        <v>100</v>
      </c>
      <c r="B313" t="s">
        <v>522</v>
      </c>
      <c r="C313" t="s">
        <v>104</v>
      </c>
      <c r="D313">
        <v>107</v>
      </c>
      <c r="E313" t="s">
        <v>17</v>
      </c>
      <c r="F313">
        <v>138</v>
      </c>
      <c r="G313">
        <v>85.75</v>
      </c>
      <c r="H313">
        <v>1</v>
      </c>
      <c r="I313" s="3">
        <f>CLIENTS_CHURN[[#This Row],[Anciennete_Mois]]/12</f>
        <v>8.9166666666666661</v>
      </c>
      <c r="J313" s="3">
        <f>CLIENTS_CHURN[[#This Row],[Duree_Cumulee_Panne_Min]]/60</f>
        <v>2.2999999999999998</v>
      </c>
    </row>
    <row r="314" spans="1:10" x14ac:dyDescent="0.35">
      <c r="A314" s="3" t="s">
        <v>45</v>
      </c>
      <c r="B314" t="s">
        <v>300</v>
      </c>
      <c r="C314" t="s">
        <v>104</v>
      </c>
      <c r="D314">
        <v>82</v>
      </c>
      <c r="E314" t="s">
        <v>20</v>
      </c>
      <c r="F314">
        <v>312</v>
      </c>
      <c r="G314">
        <v>40.880000000000003</v>
      </c>
      <c r="H314">
        <v>0</v>
      </c>
      <c r="I314" s="3">
        <f>CLIENTS_CHURN[[#This Row],[Anciennete_Mois]]/12</f>
        <v>6.833333333333333</v>
      </c>
      <c r="J314" s="3">
        <f>CLIENTS_CHURN[[#This Row],[Duree_Cumulee_Panne_Min]]/60</f>
        <v>5.2</v>
      </c>
    </row>
    <row r="315" spans="1:10" x14ac:dyDescent="0.35">
      <c r="A315" s="3" t="s">
        <v>85</v>
      </c>
      <c r="B315" t="s">
        <v>117</v>
      </c>
      <c r="C315" t="s">
        <v>24</v>
      </c>
      <c r="D315">
        <v>22</v>
      </c>
      <c r="E315" t="s">
        <v>17</v>
      </c>
      <c r="F315">
        <v>451</v>
      </c>
      <c r="G315">
        <v>76.38</v>
      </c>
      <c r="H315">
        <v>3</v>
      </c>
      <c r="I315" s="3">
        <f>CLIENTS_CHURN[[#This Row],[Anciennete_Mois]]/12</f>
        <v>1.8333333333333333</v>
      </c>
      <c r="J315" s="3">
        <f>CLIENTS_CHURN[[#This Row],[Duree_Cumulee_Panne_Min]]/60</f>
        <v>7.5166666666666666</v>
      </c>
    </row>
    <row r="316" spans="1:10" x14ac:dyDescent="0.35">
      <c r="A316" s="3" t="s">
        <v>85</v>
      </c>
      <c r="B316" t="s">
        <v>155</v>
      </c>
      <c r="C316" t="s">
        <v>24</v>
      </c>
      <c r="D316">
        <v>110</v>
      </c>
      <c r="E316" t="s">
        <v>20</v>
      </c>
      <c r="F316">
        <v>423</v>
      </c>
      <c r="G316">
        <v>37.35</v>
      </c>
      <c r="H316">
        <v>4</v>
      </c>
      <c r="I316" s="3">
        <f>CLIENTS_CHURN[[#This Row],[Anciennete_Mois]]/12</f>
        <v>9.1666666666666661</v>
      </c>
      <c r="J316" s="3">
        <f>CLIENTS_CHURN[[#This Row],[Duree_Cumulee_Panne_Min]]/60</f>
        <v>7.05</v>
      </c>
    </row>
    <row r="317" spans="1:10" x14ac:dyDescent="0.35">
      <c r="A317" s="3" t="s">
        <v>25</v>
      </c>
      <c r="B317" t="s">
        <v>88</v>
      </c>
      <c r="C317" t="s">
        <v>24</v>
      </c>
      <c r="D317">
        <v>91</v>
      </c>
      <c r="E317" t="s">
        <v>13</v>
      </c>
      <c r="F317">
        <v>467</v>
      </c>
      <c r="G317">
        <v>84.74</v>
      </c>
      <c r="H317">
        <v>1</v>
      </c>
      <c r="I317" s="3">
        <f>CLIENTS_CHURN[[#This Row],[Anciennete_Mois]]/12</f>
        <v>7.583333333333333</v>
      </c>
      <c r="J317" s="3">
        <f>CLIENTS_CHURN[[#This Row],[Duree_Cumulee_Panne_Min]]/60</f>
        <v>7.7833333333333332</v>
      </c>
    </row>
    <row r="318" spans="1:10" x14ac:dyDescent="0.35">
      <c r="A318" s="3" t="s">
        <v>69</v>
      </c>
      <c r="B318" t="s">
        <v>1461</v>
      </c>
      <c r="C318" t="s">
        <v>24</v>
      </c>
      <c r="D318">
        <v>-36</v>
      </c>
      <c r="E318" t="s">
        <v>31</v>
      </c>
      <c r="F318">
        <v>404</v>
      </c>
      <c r="G318">
        <v>40.21</v>
      </c>
      <c r="H318">
        <v>1</v>
      </c>
      <c r="I318" s="3">
        <f>CLIENTS_CHURN[[#This Row],[Anciennete_Mois]]/12</f>
        <v>-3</v>
      </c>
      <c r="J318" s="3">
        <f>CLIENTS_CHURN[[#This Row],[Duree_Cumulee_Panne_Min]]/60</f>
        <v>6.7333333333333334</v>
      </c>
    </row>
    <row r="319" spans="1:10" x14ac:dyDescent="0.35">
      <c r="A319" s="3" t="s">
        <v>69</v>
      </c>
      <c r="B319" t="s">
        <v>329</v>
      </c>
      <c r="C319" t="s">
        <v>24</v>
      </c>
      <c r="D319">
        <v>58</v>
      </c>
      <c r="E319" t="s">
        <v>31</v>
      </c>
      <c r="F319">
        <v>293</v>
      </c>
      <c r="G319">
        <v>88.85</v>
      </c>
      <c r="H319">
        <v>5</v>
      </c>
      <c r="I319" s="3">
        <f>CLIENTS_CHURN[[#This Row],[Anciennete_Mois]]/12</f>
        <v>4.833333333333333</v>
      </c>
      <c r="J319" s="3">
        <f>CLIENTS_CHURN[[#This Row],[Duree_Cumulee_Panne_Min]]/60</f>
        <v>4.8833333333333337</v>
      </c>
    </row>
    <row r="320" spans="1:10" x14ac:dyDescent="0.35">
      <c r="A320" s="3" t="s">
        <v>39</v>
      </c>
      <c r="B320" t="s">
        <v>337</v>
      </c>
      <c r="C320" t="s">
        <v>24</v>
      </c>
      <c r="D320">
        <v>33</v>
      </c>
      <c r="E320" t="s">
        <v>13</v>
      </c>
      <c r="F320">
        <v>285</v>
      </c>
      <c r="G320">
        <v>56.67</v>
      </c>
      <c r="H320">
        <v>2</v>
      </c>
      <c r="I320" s="3">
        <f>CLIENTS_CHURN[[#This Row],[Anciennete_Mois]]/12</f>
        <v>2.75</v>
      </c>
      <c r="J320" s="3">
        <f>CLIENTS_CHURN[[#This Row],[Duree_Cumulee_Panne_Min]]/60</f>
        <v>4.75</v>
      </c>
    </row>
    <row r="321" spans="1:10" x14ac:dyDescent="0.35">
      <c r="A321" s="3" t="s">
        <v>39</v>
      </c>
      <c r="B321" t="s">
        <v>235</v>
      </c>
      <c r="C321" t="s">
        <v>24</v>
      </c>
      <c r="D321">
        <v>49</v>
      </c>
      <c r="E321" t="s">
        <v>13</v>
      </c>
      <c r="F321">
        <v>357</v>
      </c>
      <c r="G321">
        <v>96.67</v>
      </c>
      <c r="H321">
        <v>3</v>
      </c>
      <c r="I321" s="3">
        <f>CLIENTS_CHURN[[#This Row],[Anciennete_Mois]]/12</f>
        <v>4.083333333333333</v>
      </c>
      <c r="J321" s="3">
        <f>CLIENTS_CHURN[[#This Row],[Duree_Cumulee_Panne_Min]]/60</f>
        <v>5.95</v>
      </c>
    </row>
    <row r="322" spans="1:10" x14ac:dyDescent="0.35">
      <c r="A322" s="3" t="s">
        <v>39</v>
      </c>
      <c r="B322" t="s">
        <v>328</v>
      </c>
      <c r="C322" t="s">
        <v>24</v>
      </c>
      <c r="D322">
        <v>97</v>
      </c>
      <c r="E322" t="s">
        <v>13</v>
      </c>
      <c r="F322">
        <v>296</v>
      </c>
      <c r="G322">
        <v>10.87</v>
      </c>
      <c r="H322">
        <v>4</v>
      </c>
      <c r="I322" s="3">
        <f>CLIENTS_CHURN[[#This Row],[Anciennete_Mois]]/12</f>
        <v>8.0833333333333339</v>
      </c>
      <c r="J322" s="3">
        <f>CLIENTS_CHURN[[#This Row],[Duree_Cumulee_Panne_Min]]/60</f>
        <v>4.9333333333333336</v>
      </c>
    </row>
    <row r="323" spans="1:10" x14ac:dyDescent="0.35">
      <c r="A323" s="3" t="s">
        <v>32</v>
      </c>
      <c r="B323" t="s">
        <v>603</v>
      </c>
      <c r="C323" t="s">
        <v>24</v>
      </c>
      <c r="D323">
        <v>61</v>
      </c>
      <c r="E323" t="s">
        <v>17</v>
      </c>
      <c r="F323">
        <v>87</v>
      </c>
      <c r="G323">
        <v>68.319999999999993</v>
      </c>
      <c r="H323">
        <v>2</v>
      </c>
      <c r="I323" s="3">
        <f>CLIENTS_CHURN[[#This Row],[Anciennete_Mois]]/12</f>
        <v>5.083333333333333</v>
      </c>
      <c r="J323" s="3">
        <f>CLIENTS_CHURN[[#This Row],[Duree_Cumulee_Panne_Min]]/60</f>
        <v>1.45</v>
      </c>
    </row>
    <row r="324" spans="1:10" x14ac:dyDescent="0.35">
      <c r="A324" s="3" t="s">
        <v>32</v>
      </c>
      <c r="B324" t="s">
        <v>505</v>
      </c>
      <c r="C324" t="s">
        <v>24</v>
      </c>
      <c r="D324">
        <v>60</v>
      </c>
      <c r="E324" t="s">
        <v>17</v>
      </c>
      <c r="F324">
        <v>154</v>
      </c>
      <c r="G324">
        <v>13.41</v>
      </c>
      <c r="H324">
        <v>5</v>
      </c>
      <c r="I324" s="3">
        <f>CLIENTS_CHURN[[#This Row],[Anciennete_Mois]]/12</f>
        <v>5</v>
      </c>
      <c r="J324" s="3">
        <f>CLIENTS_CHURN[[#This Row],[Duree_Cumulee_Panne_Min]]/60</f>
        <v>2.5666666666666669</v>
      </c>
    </row>
    <row r="325" spans="1:10" x14ac:dyDescent="0.35">
      <c r="A325" s="3" t="s">
        <v>35</v>
      </c>
      <c r="B325" t="s">
        <v>128</v>
      </c>
      <c r="C325" t="s">
        <v>24</v>
      </c>
      <c r="D325">
        <v>50</v>
      </c>
      <c r="E325" t="s">
        <v>17</v>
      </c>
      <c r="F325">
        <v>446</v>
      </c>
      <c r="G325">
        <v>31.56</v>
      </c>
      <c r="H325">
        <v>5</v>
      </c>
      <c r="I325" s="3">
        <f>CLIENTS_CHURN[[#This Row],[Anciennete_Mois]]/12</f>
        <v>4.166666666666667</v>
      </c>
      <c r="J325" s="3">
        <f>CLIENTS_CHURN[[#This Row],[Duree_Cumulee_Panne_Min]]/60</f>
        <v>7.4333333333333336</v>
      </c>
    </row>
    <row r="326" spans="1:10" x14ac:dyDescent="0.35">
      <c r="A326" s="3" t="s">
        <v>35</v>
      </c>
      <c r="B326" t="s">
        <v>323</v>
      </c>
      <c r="C326" t="s">
        <v>24</v>
      </c>
      <c r="D326">
        <v>90</v>
      </c>
      <c r="E326" t="s">
        <v>20</v>
      </c>
      <c r="F326">
        <v>299</v>
      </c>
      <c r="G326">
        <v>71.760000000000005</v>
      </c>
      <c r="H326">
        <v>1</v>
      </c>
      <c r="I326" s="3">
        <f>CLIENTS_CHURN[[#This Row],[Anciennete_Mois]]/12</f>
        <v>7.5</v>
      </c>
      <c r="J326" s="3">
        <f>CLIENTS_CHURN[[#This Row],[Duree_Cumulee_Panne_Min]]/60</f>
        <v>4.9833333333333334</v>
      </c>
    </row>
    <row r="327" spans="1:10" x14ac:dyDescent="0.35">
      <c r="A327" s="3" t="s">
        <v>14</v>
      </c>
      <c r="B327" t="s">
        <v>390</v>
      </c>
      <c r="C327" t="s">
        <v>24</v>
      </c>
      <c r="D327">
        <v>120</v>
      </c>
      <c r="E327" t="s">
        <v>17</v>
      </c>
      <c r="F327">
        <v>242</v>
      </c>
      <c r="G327">
        <v>61.54</v>
      </c>
      <c r="H327">
        <v>1</v>
      </c>
      <c r="I327" s="3">
        <f>CLIENTS_CHURN[[#This Row],[Anciennete_Mois]]/12</f>
        <v>10</v>
      </c>
      <c r="J327" s="3">
        <f>CLIENTS_CHURN[[#This Row],[Duree_Cumulee_Panne_Min]]/60</f>
        <v>4.0333333333333332</v>
      </c>
    </row>
    <row r="328" spans="1:10" x14ac:dyDescent="0.35">
      <c r="A328" s="3" t="s">
        <v>14</v>
      </c>
      <c r="B328" t="s">
        <v>249</v>
      </c>
      <c r="C328" t="s">
        <v>24</v>
      </c>
      <c r="D328">
        <v>109</v>
      </c>
      <c r="E328" t="s">
        <v>17</v>
      </c>
      <c r="F328">
        <v>347</v>
      </c>
      <c r="G328">
        <v>43.06</v>
      </c>
      <c r="H328">
        <v>4</v>
      </c>
      <c r="I328" s="3">
        <f>CLIENTS_CHURN[[#This Row],[Anciennete_Mois]]/12</f>
        <v>9.0833333333333339</v>
      </c>
      <c r="J328" s="3">
        <f>CLIENTS_CHURN[[#This Row],[Duree_Cumulee_Panne_Min]]/60</f>
        <v>5.7833333333333332</v>
      </c>
    </row>
    <row r="329" spans="1:10" x14ac:dyDescent="0.35">
      <c r="A329" s="3" t="s">
        <v>14</v>
      </c>
      <c r="B329" t="s">
        <v>243</v>
      </c>
      <c r="C329" t="s">
        <v>24</v>
      </c>
      <c r="D329">
        <v>59</v>
      </c>
      <c r="E329" t="s">
        <v>13</v>
      </c>
      <c r="F329">
        <v>352</v>
      </c>
      <c r="G329">
        <v>74.239999999999995</v>
      </c>
      <c r="H329">
        <v>0</v>
      </c>
      <c r="I329" s="3">
        <f>CLIENTS_CHURN[[#This Row],[Anciennete_Mois]]/12</f>
        <v>4.916666666666667</v>
      </c>
      <c r="J329" s="3">
        <f>CLIENTS_CHURN[[#This Row],[Duree_Cumulee_Panne_Min]]/60</f>
        <v>5.8666666666666663</v>
      </c>
    </row>
    <row r="330" spans="1:10" x14ac:dyDescent="0.35">
      <c r="A330" s="3" t="s">
        <v>14</v>
      </c>
      <c r="B330" t="s">
        <v>1481</v>
      </c>
      <c r="C330" t="s">
        <v>24</v>
      </c>
      <c r="D330">
        <v>64</v>
      </c>
      <c r="E330" t="s">
        <v>31</v>
      </c>
      <c r="F330">
        <v>250</v>
      </c>
      <c r="G330">
        <v>56.7</v>
      </c>
      <c r="H330">
        <v>0</v>
      </c>
      <c r="I330" s="3">
        <f>CLIENTS_CHURN[[#This Row],[Anciennete_Mois]]/12</f>
        <v>5.333333333333333</v>
      </c>
      <c r="J330" s="3">
        <f>CLIENTS_CHURN[[#This Row],[Duree_Cumulee_Panne_Min]]/60</f>
        <v>4.166666666666667</v>
      </c>
    </row>
    <row r="331" spans="1:10" x14ac:dyDescent="0.35">
      <c r="A331" s="3" t="s">
        <v>21</v>
      </c>
      <c r="B331" t="s">
        <v>23</v>
      </c>
      <c r="C331" t="s">
        <v>24</v>
      </c>
      <c r="D331">
        <v>29</v>
      </c>
      <c r="E331" t="s">
        <v>20</v>
      </c>
      <c r="F331">
        <v>493</v>
      </c>
      <c r="G331">
        <v>42.02</v>
      </c>
      <c r="H331">
        <v>1</v>
      </c>
      <c r="I331" s="3">
        <f>CLIENTS_CHURN[[#This Row],[Anciennete_Mois]]/12</f>
        <v>2.4166666666666665</v>
      </c>
      <c r="J331" s="3">
        <f>CLIENTS_CHURN[[#This Row],[Duree_Cumulee_Panne_Min]]/60</f>
        <v>8.2166666666666668</v>
      </c>
    </row>
    <row r="332" spans="1:10" x14ac:dyDescent="0.35">
      <c r="A332" s="3" t="s">
        <v>21</v>
      </c>
      <c r="B332" t="s">
        <v>120</v>
      </c>
      <c r="C332" t="s">
        <v>24</v>
      </c>
      <c r="D332">
        <v>19</v>
      </c>
      <c r="E332" t="s">
        <v>17</v>
      </c>
      <c r="F332">
        <v>450</v>
      </c>
      <c r="G332">
        <v>37.43</v>
      </c>
      <c r="H332">
        <v>2</v>
      </c>
      <c r="I332" s="3">
        <f>CLIENTS_CHURN[[#This Row],[Anciennete_Mois]]/12</f>
        <v>1.5833333333333333</v>
      </c>
      <c r="J332" s="3">
        <f>CLIENTS_CHURN[[#This Row],[Duree_Cumulee_Panne_Min]]/60</f>
        <v>7.5</v>
      </c>
    </row>
    <row r="333" spans="1:10" x14ac:dyDescent="0.35">
      <c r="A333" s="3" t="s">
        <v>21</v>
      </c>
      <c r="B333" t="s">
        <v>137</v>
      </c>
      <c r="C333" t="s">
        <v>24</v>
      </c>
      <c r="D333">
        <v>45</v>
      </c>
      <c r="E333" t="s">
        <v>31</v>
      </c>
      <c r="F333">
        <v>439</v>
      </c>
      <c r="G333">
        <v>13.62</v>
      </c>
      <c r="H333">
        <v>4</v>
      </c>
      <c r="I333" s="3">
        <f>CLIENTS_CHURN[[#This Row],[Anciennete_Mois]]/12</f>
        <v>3.75</v>
      </c>
      <c r="J333" s="3">
        <f>CLIENTS_CHURN[[#This Row],[Duree_Cumulee_Panne_Min]]/60</f>
        <v>7.3166666666666664</v>
      </c>
    </row>
    <row r="334" spans="1:10" x14ac:dyDescent="0.35">
      <c r="A334" s="3" t="s">
        <v>21</v>
      </c>
      <c r="B334" t="s">
        <v>484</v>
      </c>
      <c r="C334" t="s">
        <v>24</v>
      </c>
      <c r="D334">
        <v>13</v>
      </c>
      <c r="E334" t="s">
        <v>20</v>
      </c>
      <c r="F334">
        <v>173</v>
      </c>
      <c r="G334">
        <v>85.54</v>
      </c>
      <c r="H334">
        <v>3</v>
      </c>
      <c r="I334" s="3">
        <f>CLIENTS_CHURN[[#This Row],[Anciennete_Mois]]/12</f>
        <v>1.0833333333333333</v>
      </c>
      <c r="J334" s="3">
        <f>CLIENTS_CHURN[[#This Row],[Duree_Cumulee_Panne_Min]]/60</f>
        <v>2.8833333333333333</v>
      </c>
    </row>
    <row r="335" spans="1:10" x14ac:dyDescent="0.35">
      <c r="A335" s="3" t="s">
        <v>61</v>
      </c>
      <c r="B335" t="s">
        <v>281</v>
      </c>
      <c r="C335" t="s">
        <v>24</v>
      </c>
      <c r="D335">
        <v>39</v>
      </c>
      <c r="E335" t="s">
        <v>17</v>
      </c>
      <c r="F335">
        <v>327</v>
      </c>
      <c r="G335">
        <v>87.24</v>
      </c>
      <c r="H335">
        <v>4</v>
      </c>
      <c r="I335" s="3">
        <f>CLIENTS_CHURN[[#This Row],[Anciennete_Mois]]/12</f>
        <v>3.25</v>
      </c>
      <c r="J335" s="3">
        <f>CLIENTS_CHURN[[#This Row],[Duree_Cumulee_Panne_Min]]/60</f>
        <v>5.45</v>
      </c>
    </row>
    <row r="336" spans="1:10" x14ac:dyDescent="0.35">
      <c r="A336" s="3" t="s">
        <v>51</v>
      </c>
      <c r="B336" t="s">
        <v>1499</v>
      </c>
      <c r="C336" t="s">
        <v>24</v>
      </c>
      <c r="D336">
        <v>50</v>
      </c>
      <c r="E336" t="s">
        <v>17</v>
      </c>
      <c r="F336">
        <v>357</v>
      </c>
      <c r="G336">
        <v>17</v>
      </c>
      <c r="H336">
        <v>3</v>
      </c>
      <c r="I336" s="3">
        <f>CLIENTS_CHURN[[#This Row],[Anciennete_Mois]]/12</f>
        <v>4.166666666666667</v>
      </c>
      <c r="J336" s="3">
        <f>CLIENTS_CHURN[[#This Row],[Duree_Cumulee_Panne_Min]]/60</f>
        <v>5.95</v>
      </c>
    </row>
    <row r="337" spans="1:10" x14ac:dyDescent="0.35">
      <c r="A337" s="3" t="s">
        <v>51</v>
      </c>
      <c r="B337" t="s">
        <v>1501</v>
      </c>
      <c r="C337" t="s">
        <v>24</v>
      </c>
      <c r="D337">
        <v>62</v>
      </c>
      <c r="E337" t="s">
        <v>17</v>
      </c>
      <c r="F337">
        <v>369</v>
      </c>
      <c r="G337" t="s">
        <v>1502</v>
      </c>
      <c r="H337">
        <v>1</v>
      </c>
      <c r="I337" s="3">
        <f>CLIENTS_CHURN[[#This Row],[Anciennete_Mois]]/12</f>
        <v>5.166666666666667</v>
      </c>
      <c r="J337" s="3">
        <f>CLIENTS_CHURN[[#This Row],[Duree_Cumulee_Panne_Min]]/60</f>
        <v>6.15</v>
      </c>
    </row>
    <row r="338" spans="1:10" x14ac:dyDescent="0.35">
      <c r="A338" s="3" t="s">
        <v>28</v>
      </c>
      <c r="B338" t="s">
        <v>152</v>
      </c>
      <c r="C338" t="s">
        <v>24</v>
      </c>
      <c r="D338">
        <v>52</v>
      </c>
      <c r="E338" t="s">
        <v>13</v>
      </c>
      <c r="F338">
        <v>425</v>
      </c>
      <c r="G338">
        <v>97.25</v>
      </c>
      <c r="H338">
        <v>0</v>
      </c>
      <c r="I338" s="3">
        <f>CLIENTS_CHURN[[#This Row],[Anciennete_Mois]]/12</f>
        <v>4.333333333333333</v>
      </c>
      <c r="J338" s="3">
        <f>CLIENTS_CHURN[[#This Row],[Duree_Cumulee_Panne_Min]]/60</f>
        <v>7.083333333333333</v>
      </c>
    </row>
    <row r="339" spans="1:10" x14ac:dyDescent="0.35">
      <c r="A339" s="3" t="s">
        <v>28</v>
      </c>
      <c r="B339" t="s">
        <v>428</v>
      </c>
      <c r="C339" t="s">
        <v>24</v>
      </c>
      <c r="D339">
        <v>11</v>
      </c>
      <c r="E339" t="s">
        <v>20</v>
      </c>
      <c r="F339">
        <v>214</v>
      </c>
      <c r="G339">
        <v>11.46</v>
      </c>
      <c r="H339">
        <v>5</v>
      </c>
      <c r="I339" s="3">
        <f>CLIENTS_CHURN[[#This Row],[Anciennete_Mois]]/12</f>
        <v>0.91666666666666663</v>
      </c>
      <c r="J339" s="3">
        <f>CLIENTS_CHURN[[#This Row],[Duree_Cumulee_Panne_Min]]/60</f>
        <v>3.5666666666666669</v>
      </c>
    </row>
    <row r="340" spans="1:10" x14ac:dyDescent="0.35">
      <c r="A340" s="3" t="s">
        <v>74</v>
      </c>
      <c r="B340" t="s">
        <v>417</v>
      </c>
      <c r="C340" t="s">
        <v>24</v>
      </c>
      <c r="D340">
        <v>39</v>
      </c>
      <c r="E340" t="s">
        <v>13</v>
      </c>
      <c r="F340">
        <v>220</v>
      </c>
      <c r="G340">
        <v>52.91</v>
      </c>
      <c r="H340">
        <v>0</v>
      </c>
      <c r="I340" s="3">
        <f>CLIENTS_CHURN[[#This Row],[Anciennete_Mois]]/12</f>
        <v>3.25</v>
      </c>
      <c r="J340" s="3">
        <f>CLIENTS_CHURN[[#This Row],[Duree_Cumulee_Panne_Min]]/60</f>
        <v>3.6666666666666665</v>
      </c>
    </row>
    <row r="341" spans="1:10" x14ac:dyDescent="0.35">
      <c r="A341" s="3" t="s">
        <v>74</v>
      </c>
      <c r="B341" t="s">
        <v>475</v>
      </c>
      <c r="C341" t="s">
        <v>24</v>
      </c>
      <c r="D341">
        <v>69</v>
      </c>
      <c r="E341" t="s">
        <v>31</v>
      </c>
      <c r="F341">
        <v>180</v>
      </c>
      <c r="G341">
        <v>76.05</v>
      </c>
      <c r="H341">
        <v>2</v>
      </c>
      <c r="I341" s="3">
        <f>CLIENTS_CHURN[[#This Row],[Anciennete_Mois]]/12</f>
        <v>5.75</v>
      </c>
      <c r="J341" s="3">
        <f>CLIENTS_CHURN[[#This Row],[Duree_Cumulee_Panne_Min]]/60</f>
        <v>3</v>
      </c>
    </row>
    <row r="342" spans="1:10" x14ac:dyDescent="0.35">
      <c r="A342" s="3" t="s">
        <v>100</v>
      </c>
      <c r="B342" t="s">
        <v>101</v>
      </c>
      <c r="C342" t="s">
        <v>24</v>
      </c>
      <c r="D342">
        <v>21</v>
      </c>
      <c r="E342" t="s">
        <v>17</v>
      </c>
      <c r="F342">
        <v>460</v>
      </c>
      <c r="G342">
        <v>70.81</v>
      </c>
      <c r="H342">
        <v>2</v>
      </c>
      <c r="I342" s="3">
        <f>CLIENTS_CHURN[[#This Row],[Anciennete_Mois]]/12</f>
        <v>1.75</v>
      </c>
      <c r="J342" s="3">
        <f>CLIENTS_CHURN[[#This Row],[Duree_Cumulee_Panne_Min]]/60</f>
        <v>7.666666666666667</v>
      </c>
    </row>
    <row r="343" spans="1:10" x14ac:dyDescent="0.35">
      <c r="A343" s="3" t="s">
        <v>45</v>
      </c>
      <c r="B343" t="s">
        <v>531</v>
      </c>
      <c r="C343" t="s">
        <v>24</v>
      </c>
      <c r="D343">
        <v>119</v>
      </c>
      <c r="E343" t="s">
        <v>31</v>
      </c>
      <c r="F343">
        <v>133</v>
      </c>
      <c r="G343">
        <v>30.27</v>
      </c>
      <c r="H343">
        <v>5</v>
      </c>
      <c r="I343" s="3">
        <f>CLIENTS_CHURN[[#This Row],[Anciennete_Mois]]/12</f>
        <v>9.9166666666666661</v>
      </c>
      <c r="J343" s="3">
        <f>CLIENTS_CHURN[[#This Row],[Duree_Cumulee_Panne_Min]]/60</f>
        <v>2.2166666666666668</v>
      </c>
    </row>
    <row r="344" spans="1:10" x14ac:dyDescent="0.35">
      <c r="A344" s="3" t="s">
        <v>45</v>
      </c>
      <c r="B344" t="s">
        <v>95</v>
      </c>
      <c r="C344" t="s">
        <v>24</v>
      </c>
      <c r="D344">
        <v>18</v>
      </c>
      <c r="E344" t="s">
        <v>31</v>
      </c>
      <c r="F344">
        <v>463</v>
      </c>
      <c r="G344">
        <v>41.66</v>
      </c>
      <c r="H344">
        <v>4</v>
      </c>
      <c r="I344" s="3">
        <f>CLIENTS_CHURN[[#This Row],[Anciennete_Mois]]/12</f>
        <v>1.5</v>
      </c>
      <c r="J344" s="3">
        <f>CLIENTS_CHURN[[#This Row],[Duree_Cumulee_Panne_Min]]/60</f>
        <v>7.7166666666666668</v>
      </c>
    </row>
    <row r="345" spans="1:10" x14ac:dyDescent="0.35">
      <c r="A345" s="3" t="s">
        <v>85</v>
      </c>
      <c r="B345" t="s">
        <v>700</v>
      </c>
      <c r="C345" t="s">
        <v>34</v>
      </c>
      <c r="D345">
        <v>112</v>
      </c>
      <c r="E345" t="s">
        <v>20</v>
      </c>
      <c r="F345">
        <v>18</v>
      </c>
      <c r="G345">
        <v>27.33</v>
      </c>
      <c r="H345">
        <v>5</v>
      </c>
      <c r="I345" s="3">
        <f>CLIENTS_CHURN[[#This Row],[Anciennete_Mois]]/12</f>
        <v>9.3333333333333339</v>
      </c>
      <c r="J345" s="3">
        <f>CLIENTS_CHURN[[#This Row],[Duree_Cumulee_Panne_Min]]/60</f>
        <v>0.3</v>
      </c>
    </row>
    <row r="346" spans="1:10" x14ac:dyDescent="0.35">
      <c r="A346" s="3" t="s">
        <v>85</v>
      </c>
      <c r="B346" t="s">
        <v>450</v>
      </c>
      <c r="C346" t="s">
        <v>34</v>
      </c>
      <c r="D346">
        <v>47</v>
      </c>
      <c r="E346" t="s">
        <v>31</v>
      </c>
      <c r="F346">
        <v>199</v>
      </c>
      <c r="G346">
        <v>23.19</v>
      </c>
      <c r="H346">
        <v>2</v>
      </c>
      <c r="I346" s="3">
        <f>CLIENTS_CHURN[[#This Row],[Anciennete_Mois]]/12</f>
        <v>3.9166666666666665</v>
      </c>
      <c r="J346" s="3">
        <f>CLIENTS_CHURN[[#This Row],[Duree_Cumulee_Panne_Min]]/60</f>
        <v>3.3166666666666669</v>
      </c>
    </row>
    <row r="347" spans="1:10" x14ac:dyDescent="0.35">
      <c r="A347" s="3" t="s">
        <v>85</v>
      </c>
      <c r="B347" t="s">
        <v>409</v>
      </c>
      <c r="C347" t="s">
        <v>34</v>
      </c>
      <c r="D347">
        <v>119</v>
      </c>
      <c r="E347" t="s">
        <v>17</v>
      </c>
      <c r="F347">
        <v>228</v>
      </c>
      <c r="G347">
        <v>94.72</v>
      </c>
      <c r="H347">
        <v>3</v>
      </c>
      <c r="I347" s="3">
        <f>CLIENTS_CHURN[[#This Row],[Anciennete_Mois]]/12</f>
        <v>9.9166666666666661</v>
      </c>
      <c r="J347" s="3">
        <f>CLIENTS_CHURN[[#This Row],[Duree_Cumulee_Panne_Min]]/60</f>
        <v>3.8</v>
      </c>
    </row>
    <row r="348" spans="1:10" x14ac:dyDescent="0.35">
      <c r="A348" s="3" t="s">
        <v>25</v>
      </c>
      <c r="B348" t="s">
        <v>534</v>
      </c>
      <c r="C348" t="s">
        <v>34</v>
      </c>
      <c r="D348">
        <v>82</v>
      </c>
      <c r="E348" t="s">
        <v>31</v>
      </c>
      <c r="F348">
        <v>132</v>
      </c>
      <c r="G348">
        <v>50.14</v>
      </c>
      <c r="H348">
        <v>5</v>
      </c>
      <c r="I348" s="3">
        <f>CLIENTS_CHURN[[#This Row],[Anciennete_Mois]]/12</f>
        <v>6.833333333333333</v>
      </c>
      <c r="J348" s="3">
        <f>CLIENTS_CHURN[[#This Row],[Duree_Cumulee_Panne_Min]]/60</f>
        <v>2.2000000000000002</v>
      </c>
    </row>
    <row r="349" spans="1:10" x14ac:dyDescent="0.35">
      <c r="A349" s="3" t="s">
        <v>25</v>
      </c>
      <c r="B349" t="s">
        <v>576</v>
      </c>
      <c r="C349" t="s">
        <v>34</v>
      </c>
      <c r="D349">
        <v>111</v>
      </c>
      <c r="E349" t="s">
        <v>13</v>
      </c>
      <c r="F349">
        <v>103</v>
      </c>
      <c r="G349">
        <v>32.06</v>
      </c>
      <c r="H349">
        <v>0</v>
      </c>
      <c r="I349" s="3">
        <f>CLIENTS_CHURN[[#This Row],[Anciennete_Mois]]/12</f>
        <v>9.25</v>
      </c>
      <c r="J349" s="3">
        <f>CLIENTS_CHURN[[#This Row],[Duree_Cumulee_Panne_Min]]/60</f>
        <v>1.7166666666666666</v>
      </c>
    </row>
    <row r="350" spans="1:10" x14ac:dyDescent="0.35">
      <c r="A350" s="3" t="s">
        <v>25</v>
      </c>
      <c r="B350" t="s">
        <v>436</v>
      </c>
      <c r="C350" t="s">
        <v>34</v>
      </c>
      <c r="D350">
        <v>12</v>
      </c>
      <c r="E350" t="s">
        <v>13</v>
      </c>
      <c r="F350">
        <v>208</v>
      </c>
      <c r="G350">
        <v>16.29</v>
      </c>
      <c r="H350">
        <v>4</v>
      </c>
      <c r="I350" s="3">
        <f>CLIENTS_CHURN[[#This Row],[Anciennete_Mois]]/12</f>
        <v>1</v>
      </c>
      <c r="J350" s="3">
        <f>CLIENTS_CHURN[[#This Row],[Duree_Cumulee_Panne_Min]]/60</f>
        <v>3.4666666666666668</v>
      </c>
    </row>
    <row r="351" spans="1:10" x14ac:dyDescent="0.35">
      <c r="A351" s="3" t="s">
        <v>69</v>
      </c>
      <c r="B351" t="s">
        <v>70</v>
      </c>
      <c r="C351" t="s">
        <v>34</v>
      </c>
      <c r="D351">
        <v>109</v>
      </c>
      <c r="E351" t="s">
        <v>20</v>
      </c>
      <c r="F351">
        <v>480</v>
      </c>
      <c r="G351">
        <v>31.36</v>
      </c>
      <c r="H351">
        <v>0</v>
      </c>
      <c r="I351" s="3">
        <f>CLIENTS_CHURN[[#This Row],[Anciennete_Mois]]/12</f>
        <v>9.0833333333333339</v>
      </c>
      <c r="J351" s="3">
        <f>CLIENTS_CHURN[[#This Row],[Duree_Cumulee_Panne_Min]]/60</f>
        <v>8</v>
      </c>
    </row>
    <row r="352" spans="1:10" x14ac:dyDescent="0.35">
      <c r="A352" s="3" t="s">
        <v>39</v>
      </c>
      <c r="B352" t="s">
        <v>196</v>
      </c>
      <c r="C352" t="s">
        <v>34</v>
      </c>
      <c r="D352">
        <v>66</v>
      </c>
      <c r="E352" t="s">
        <v>17</v>
      </c>
      <c r="F352">
        <v>387</v>
      </c>
      <c r="G352">
        <v>82.94</v>
      </c>
      <c r="H352">
        <v>3</v>
      </c>
      <c r="I352" s="3">
        <f>CLIENTS_CHURN[[#This Row],[Anciennete_Mois]]/12</f>
        <v>5.5</v>
      </c>
      <c r="J352" s="3">
        <f>CLIENTS_CHURN[[#This Row],[Duree_Cumulee_Panne_Min]]/60</f>
        <v>6.45</v>
      </c>
    </row>
    <row r="353" spans="1:10" x14ac:dyDescent="0.35">
      <c r="A353" s="3" t="s">
        <v>32</v>
      </c>
      <c r="B353" t="s">
        <v>265</v>
      </c>
      <c r="C353" t="s">
        <v>34</v>
      </c>
      <c r="D353">
        <v>51</v>
      </c>
      <c r="E353" t="s">
        <v>20</v>
      </c>
      <c r="F353">
        <v>336</v>
      </c>
      <c r="G353">
        <v>65.47</v>
      </c>
      <c r="H353">
        <v>1</v>
      </c>
      <c r="I353" s="3">
        <f>CLIENTS_CHURN[[#This Row],[Anciennete_Mois]]/12</f>
        <v>4.25</v>
      </c>
      <c r="J353" s="3">
        <f>CLIENTS_CHURN[[#This Row],[Duree_Cumulee_Panne_Min]]/60</f>
        <v>5.6</v>
      </c>
    </row>
    <row r="354" spans="1:10" x14ac:dyDescent="0.35">
      <c r="A354" s="3" t="s">
        <v>32</v>
      </c>
      <c r="B354" t="s">
        <v>33</v>
      </c>
      <c r="C354" t="s">
        <v>34</v>
      </c>
      <c r="D354">
        <v>36</v>
      </c>
      <c r="E354" t="s">
        <v>31</v>
      </c>
      <c r="F354">
        <v>491</v>
      </c>
      <c r="G354">
        <v>12.13</v>
      </c>
      <c r="H354">
        <v>4</v>
      </c>
      <c r="I354" s="3">
        <f>CLIENTS_CHURN[[#This Row],[Anciennete_Mois]]/12</f>
        <v>3</v>
      </c>
      <c r="J354" s="3">
        <f>CLIENTS_CHURN[[#This Row],[Duree_Cumulee_Panne_Min]]/60</f>
        <v>8.1833333333333336</v>
      </c>
    </row>
    <row r="355" spans="1:10" x14ac:dyDescent="0.35">
      <c r="A355" s="3" t="s">
        <v>32</v>
      </c>
      <c r="B355" t="s">
        <v>142</v>
      </c>
      <c r="C355" t="s">
        <v>34</v>
      </c>
      <c r="D355">
        <v>57</v>
      </c>
      <c r="E355" t="s">
        <v>17</v>
      </c>
      <c r="F355">
        <v>435</v>
      </c>
      <c r="G355">
        <v>56.88</v>
      </c>
      <c r="H355">
        <v>4</v>
      </c>
      <c r="I355" s="3">
        <f>CLIENTS_CHURN[[#This Row],[Anciennete_Mois]]/12</f>
        <v>4.75</v>
      </c>
      <c r="J355" s="3">
        <f>CLIENTS_CHURN[[#This Row],[Duree_Cumulee_Panne_Min]]/60</f>
        <v>7.25</v>
      </c>
    </row>
    <row r="356" spans="1:10" x14ac:dyDescent="0.35">
      <c r="A356" s="3" t="s">
        <v>14</v>
      </c>
      <c r="B356" t="s">
        <v>1479</v>
      </c>
      <c r="C356" t="s">
        <v>34</v>
      </c>
      <c r="D356">
        <v>108</v>
      </c>
      <c r="E356" t="s">
        <v>17</v>
      </c>
      <c r="F356">
        <v>123</v>
      </c>
      <c r="G356">
        <v>83.1</v>
      </c>
      <c r="H356">
        <v>1</v>
      </c>
      <c r="I356" s="3">
        <f>CLIENTS_CHURN[[#This Row],[Anciennete_Mois]]/12</f>
        <v>9</v>
      </c>
      <c r="J356" s="3">
        <f>CLIENTS_CHURN[[#This Row],[Duree_Cumulee_Panne_Min]]/60</f>
        <v>2.0499999999999998</v>
      </c>
    </row>
    <row r="357" spans="1:10" x14ac:dyDescent="0.35">
      <c r="A357" s="3" t="s">
        <v>14</v>
      </c>
      <c r="B357" t="s">
        <v>460</v>
      </c>
      <c r="C357" t="s">
        <v>34</v>
      </c>
      <c r="D357">
        <v>86</v>
      </c>
      <c r="E357" t="s">
        <v>20</v>
      </c>
      <c r="F357">
        <v>192</v>
      </c>
      <c r="G357">
        <v>26.26</v>
      </c>
      <c r="H357">
        <v>1</v>
      </c>
      <c r="I357" s="3">
        <f>CLIENTS_CHURN[[#This Row],[Anciennete_Mois]]/12</f>
        <v>7.166666666666667</v>
      </c>
      <c r="J357" s="3">
        <f>CLIENTS_CHURN[[#This Row],[Duree_Cumulee_Panne_Min]]/60</f>
        <v>3.2</v>
      </c>
    </row>
    <row r="358" spans="1:10" x14ac:dyDescent="0.35">
      <c r="A358" s="3" t="s">
        <v>14</v>
      </c>
      <c r="B358" t="s">
        <v>506</v>
      </c>
      <c r="C358" t="s">
        <v>34</v>
      </c>
      <c r="D358">
        <v>88</v>
      </c>
      <c r="E358" t="s">
        <v>17</v>
      </c>
      <c r="F358">
        <v>154</v>
      </c>
      <c r="G358">
        <v>62.62</v>
      </c>
      <c r="H358">
        <v>5</v>
      </c>
      <c r="I358" s="3">
        <f>CLIENTS_CHURN[[#This Row],[Anciennete_Mois]]/12</f>
        <v>7.333333333333333</v>
      </c>
      <c r="J358" s="3">
        <f>CLIENTS_CHURN[[#This Row],[Duree_Cumulee_Panne_Min]]/60</f>
        <v>2.5666666666666669</v>
      </c>
    </row>
    <row r="359" spans="1:10" x14ac:dyDescent="0.35">
      <c r="A359" s="3" t="s">
        <v>21</v>
      </c>
      <c r="B359" t="s">
        <v>153</v>
      </c>
      <c r="C359" t="s">
        <v>34</v>
      </c>
      <c r="D359">
        <v>41</v>
      </c>
      <c r="E359" t="s">
        <v>31</v>
      </c>
      <c r="F359">
        <v>425</v>
      </c>
      <c r="G359">
        <v>42.33</v>
      </c>
      <c r="H359">
        <v>3</v>
      </c>
      <c r="I359" s="3">
        <f>CLIENTS_CHURN[[#This Row],[Anciennete_Mois]]/12</f>
        <v>3.4166666666666665</v>
      </c>
      <c r="J359" s="3">
        <f>CLIENTS_CHURN[[#This Row],[Duree_Cumulee_Panne_Min]]/60</f>
        <v>7.083333333333333</v>
      </c>
    </row>
    <row r="360" spans="1:10" x14ac:dyDescent="0.35">
      <c r="A360" s="3" t="s">
        <v>21</v>
      </c>
      <c r="B360" t="s">
        <v>247</v>
      </c>
      <c r="C360" t="s">
        <v>34</v>
      </c>
      <c r="D360">
        <v>7</v>
      </c>
      <c r="E360" t="s">
        <v>20</v>
      </c>
      <c r="F360">
        <v>347</v>
      </c>
      <c r="G360">
        <v>41.84</v>
      </c>
      <c r="H360">
        <v>2</v>
      </c>
      <c r="I360" s="3">
        <f>CLIENTS_CHURN[[#This Row],[Anciennete_Mois]]/12</f>
        <v>0.58333333333333337</v>
      </c>
      <c r="J360" s="3">
        <f>CLIENTS_CHURN[[#This Row],[Duree_Cumulee_Panne_Min]]/60</f>
        <v>5.7833333333333332</v>
      </c>
    </row>
    <row r="361" spans="1:10" x14ac:dyDescent="0.35">
      <c r="A361" s="3" t="s">
        <v>61</v>
      </c>
      <c r="B361" t="s">
        <v>172</v>
      </c>
      <c r="C361" t="s">
        <v>34</v>
      </c>
      <c r="D361">
        <v>41</v>
      </c>
      <c r="E361" t="s">
        <v>17</v>
      </c>
      <c r="F361">
        <v>404</v>
      </c>
      <c r="G361">
        <v>98.67</v>
      </c>
      <c r="H361">
        <v>5</v>
      </c>
      <c r="I361" s="3">
        <f>CLIENTS_CHURN[[#This Row],[Anciennete_Mois]]/12</f>
        <v>3.4166666666666665</v>
      </c>
      <c r="J361" s="3">
        <f>CLIENTS_CHURN[[#This Row],[Duree_Cumulee_Panne_Min]]/60</f>
        <v>6.7333333333333334</v>
      </c>
    </row>
    <row r="362" spans="1:10" x14ac:dyDescent="0.35">
      <c r="A362" s="3" t="s">
        <v>61</v>
      </c>
      <c r="B362" t="s">
        <v>573</v>
      </c>
      <c r="C362" t="s">
        <v>34</v>
      </c>
      <c r="D362">
        <v>83</v>
      </c>
      <c r="E362" t="s">
        <v>13</v>
      </c>
      <c r="F362">
        <v>105</v>
      </c>
      <c r="G362">
        <v>20.46</v>
      </c>
      <c r="H362">
        <v>1</v>
      </c>
      <c r="I362" s="3">
        <f>CLIENTS_CHURN[[#This Row],[Anciennete_Mois]]/12</f>
        <v>6.916666666666667</v>
      </c>
      <c r="J362" s="3">
        <f>CLIENTS_CHURN[[#This Row],[Duree_Cumulee_Panne_Min]]/60</f>
        <v>1.75</v>
      </c>
    </row>
    <row r="363" spans="1:10" x14ac:dyDescent="0.35">
      <c r="A363" s="3" t="s">
        <v>61</v>
      </c>
      <c r="B363" t="s">
        <v>229</v>
      </c>
      <c r="C363" t="s">
        <v>34</v>
      </c>
      <c r="D363">
        <v>61</v>
      </c>
      <c r="E363" t="s">
        <v>20</v>
      </c>
      <c r="F363">
        <v>362</v>
      </c>
      <c r="G363">
        <v>75.03</v>
      </c>
      <c r="H363">
        <v>0</v>
      </c>
      <c r="I363" s="3">
        <f>CLIENTS_CHURN[[#This Row],[Anciennete_Mois]]/12</f>
        <v>5.083333333333333</v>
      </c>
      <c r="J363" s="3">
        <f>CLIENTS_CHURN[[#This Row],[Duree_Cumulee_Panne_Min]]/60</f>
        <v>6.0333333333333332</v>
      </c>
    </row>
    <row r="364" spans="1:10" x14ac:dyDescent="0.35">
      <c r="A364" s="3" t="s">
        <v>51</v>
      </c>
      <c r="B364" t="s">
        <v>327</v>
      </c>
      <c r="C364" t="s">
        <v>34</v>
      </c>
      <c r="D364">
        <v>105</v>
      </c>
      <c r="E364" t="s">
        <v>20</v>
      </c>
      <c r="F364">
        <v>297</v>
      </c>
      <c r="G364">
        <v>84.66</v>
      </c>
      <c r="H364">
        <v>2</v>
      </c>
      <c r="I364" s="3">
        <f>CLIENTS_CHURN[[#This Row],[Anciennete_Mois]]/12</f>
        <v>8.75</v>
      </c>
      <c r="J364" s="3">
        <f>CLIENTS_CHURN[[#This Row],[Duree_Cumulee_Panne_Min]]/60</f>
        <v>4.95</v>
      </c>
    </row>
    <row r="365" spans="1:10" x14ac:dyDescent="0.35">
      <c r="A365" s="3" t="s">
        <v>51</v>
      </c>
      <c r="B365" t="s">
        <v>612</v>
      </c>
      <c r="C365" t="s">
        <v>34</v>
      </c>
      <c r="D365">
        <v>111</v>
      </c>
      <c r="E365" t="s">
        <v>31</v>
      </c>
      <c r="F365">
        <v>76</v>
      </c>
      <c r="G365">
        <v>38.19</v>
      </c>
      <c r="H365">
        <v>5</v>
      </c>
      <c r="I365" s="3">
        <f>CLIENTS_CHURN[[#This Row],[Anciennete_Mois]]/12</f>
        <v>9.25</v>
      </c>
      <c r="J365" s="3">
        <f>CLIENTS_CHURN[[#This Row],[Duree_Cumulee_Panne_Min]]/60</f>
        <v>1.2666666666666666</v>
      </c>
    </row>
    <row r="366" spans="1:10" x14ac:dyDescent="0.35">
      <c r="A366" s="3" t="s">
        <v>51</v>
      </c>
      <c r="B366" t="s">
        <v>393</v>
      </c>
      <c r="C366" t="s">
        <v>34</v>
      </c>
      <c r="D366">
        <v>102</v>
      </c>
      <c r="E366" t="s">
        <v>17</v>
      </c>
      <c r="F366">
        <v>240</v>
      </c>
      <c r="G366">
        <v>12.52</v>
      </c>
      <c r="H366">
        <v>2</v>
      </c>
      <c r="I366" s="3">
        <f>CLIENTS_CHURN[[#This Row],[Anciennete_Mois]]/12</f>
        <v>8.5</v>
      </c>
      <c r="J366" s="3">
        <f>CLIENTS_CHURN[[#This Row],[Duree_Cumulee_Panne_Min]]/60</f>
        <v>4</v>
      </c>
    </row>
    <row r="367" spans="1:10" x14ac:dyDescent="0.35">
      <c r="A367" s="3" t="s">
        <v>51</v>
      </c>
      <c r="B367" t="s">
        <v>1498</v>
      </c>
      <c r="C367" t="s">
        <v>34</v>
      </c>
      <c r="D367">
        <v>19</v>
      </c>
      <c r="E367" t="s">
        <v>31</v>
      </c>
      <c r="F367">
        <v>71</v>
      </c>
      <c r="G367">
        <v>68.2</v>
      </c>
      <c r="H367">
        <v>0</v>
      </c>
      <c r="I367" s="3">
        <f>CLIENTS_CHURN[[#This Row],[Anciennete_Mois]]/12</f>
        <v>1.5833333333333333</v>
      </c>
      <c r="J367" s="3">
        <f>CLIENTS_CHURN[[#This Row],[Duree_Cumulee_Panne_Min]]/60</f>
        <v>1.1833333333333333</v>
      </c>
    </row>
    <row r="368" spans="1:10" x14ac:dyDescent="0.35">
      <c r="A368" s="3" t="s">
        <v>51</v>
      </c>
      <c r="B368" t="s">
        <v>232</v>
      </c>
      <c r="C368" t="s">
        <v>34</v>
      </c>
      <c r="D368">
        <v>88</v>
      </c>
      <c r="E368" t="s">
        <v>13</v>
      </c>
      <c r="F368">
        <v>359</v>
      </c>
      <c r="G368">
        <v>71.19</v>
      </c>
      <c r="H368">
        <v>3</v>
      </c>
      <c r="I368" s="3">
        <f>CLIENTS_CHURN[[#This Row],[Anciennete_Mois]]/12</f>
        <v>7.333333333333333</v>
      </c>
      <c r="J368" s="3">
        <f>CLIENTS_CHURN[[#This Row],[Duree_Cumulee_Panne_Min]]/60</f>
        <v>5.9833333333333334</v>
      </c>
    </row>
    <row r="369" spans="1:10" x14ac:dyDescent="0.35">
      <c r="A369" s="3" t="s">
        <v>51</v>
      </c>
      <c r="B369" t="s">
        <v>394</v>
      </c>
      <c r="C369" t="s">
        <v>34</v>
      </c>
      <c r="D369">
        <v>100</v>
      </c>
      <c r="E369" t="s">
        <v>17</v>
      </c>
      <c r="F369">
        <v>240</v>
      </c>
      <c r="G369">
        <v>24.83</v>
      </c>
      <c r="H369">
        <v>4</v>
      </c>
      <c r="I369" s="3">
        <f>CLIENTS_CHURN[[#This Row],[Anciennete_Mois]]/12</f>
        <v>8.3333333333333339</v>
      </c>
      <c r="J369" s="3">
        <f>CLIENTS_CHURN[[#This Row],[Duree_Cumulee_Panne_Min]]/60</f>
        <v>4</v>
      </c>
    </row>
    <row r="370" spans="1:10" x14ac:dyDescent="0.35">
      <c r="A370" s="3" t="s">
        <v>51</v>
      </c>
      <c r="B370" t="s">
        <v>1504</v>
      </c>
      <c r="C370" t="s">
        <v>34</v>
      </c>
      <c r="D370">
        <v>20</v>
      </c>
      <c r="E370" t="s">
        <v>17</v>
      </c>
      <c r="F370">
        <v>217</v>
      </c>
      <c r="G370">
        <v>55.3</v>
      </c>
      <c r="H370">
        <v>4</v>
      </c>
      <c r="I370" s="3">
        <f>CLIENTS_CHURN[[#This Row],[Anciennete_Mois]]/12</f>
        <v>1.6666666666666667</v>
      </c>
      <c r="J370" s="3">
        <f>CLIENTS_CHURN[[#This Row],[Duree_Cumulee_Panne_Min]]/60</f>
        <v>3.6166666666666667</v>
      </c>
    </row>
    <row r="371" spans="1:10" x14ac:dyDescent="0.35">
      <c r="A371" s="3" t="s">
        <v>28</v>
      </c>
      <c r="B371" t="s">
        <v>389</v>
      </c>
      <c r="C371" t="s">
        <v>34</v>
      </c>
      <c r="D371">
        <v>53</v>
      </c>
      <c r="E371" t="s">
        <v>13</v>
      </c>
      <c r="F371">
        <v>243</v>
      </c>
      <c r="G371">
        <v>55.19</v>
      </c>
      <c r="H371">
        <v>4</v>
      </c>
      <c r="I371" s="3">
        <f>CLIENTS_CHURN[[#This Row],[Anciennete_Mois]]/12</f>
        <v>4.416666666666667</v>
      </c>
      <c r="J371" s="3">
        <f>CLIENTS_CHURN[[#This Row],[Duree_Cumulee_Panne_Min]]/60</f>
        <v>4.05</v>
      </c>
    </row>
    <row r="372" spans="1:10" x14ac:dyDescent="0.35">
      <c r="A372" s="3" t="s">
        <v>28</v>
      </c>
      <c r="B372" t="s">
        <v>419</v>
      </c>
      <c r="C372" t="s">
        <v>34</v>
      </c>
      <c r="D372">
        <v>88</v>
      </c>
      <c r="E372" t="s">
        <v>13</v>
      </c>
      <c r="F372">
        <v>219</v>
      </c>
      <c r="G372">
        <v>59.15</v>
      </c>
      <c r="H372">
        <v>0</v>
      </c>
      <c r="I372" s="3">
        <f>CLIENTS_CHURN[[#This Row],[Anciennete_Mois]]/12</f>
        <v>7.333333333333333</v>
      </c>
      <c r="J372" s="3">
        <f>CLIENTS_CHURN[[#This Row],[Duree_Cumulee_Panne_Min]]/60</f>
        <v>3.65</v>
      </c>
    </row>
    <row r="373" spans="1:10" x14ac:dyDescent="0.35">
      <c r="A373" s="3" t="s">
        <v>10</v>
      </c>
      <c r="B373" t="s">
        <v>333</v>
      </c>
      <c r="C373" t="s">
        <v>34</v>
      </c>
      <c r="D373">
        <v>107</v>
      </c>
      <c r="E373" t="s">
        <v>17</v>
      </c>
      <c r="F373">
        <v>290</v>
      </c>
      <c r="G373">
        <v>52.03</v>
      </c>
      <c r="H373">
        <v>0</v>
      </c>
      <c r="I373" s="3">
        <f>CLIENTS_CHURN[[#This Row],[Anciennete_Mois]]/12</f>
        <v>8.9166666666666661</v>
      </c>
      <c r="J373" s="3">
        <f>CLIENTS_CHURN[[#This Row],[Duree_Cumulee_Panne_Min]]/60</f>
        <v>4.833333333333333</v>
      </c>
    </row>
    <row r="374" spans="1:10" x14ac:dyDescent="0.35">
      <c r="A374" s="3" t="s">
        <v>10</v>
      </c>
      <c r="B374" t="s">
        <v>138</v>
      </c>
      <c r="C374" t="s">
        <v>34</v>
      </c>
      <c r="D374">
        <v>120</v>
      </c>
      <c r="E374" t="s">
        <v>17</v>
      </c>
      <c r="F374">
        <v>437</v>
      </c>
      <c r="G374">
        <v>95.17</v>
      </c>
      <c r="H374">
        <v>1</v>
      </c>
      <c r="I374" s="3">
        <f>CLIENTS_CHURN[[#This Row],[Anciennete_Mois]]/12</f>
        <v>10</v>
      </c>
      <c r="J374" s="3">
        <f>CLIENTS_CHURN[[#This Row],[Duree_Cumulee_Panne_Min]]/60</f>
        <v>7.2833333333333332</v>
      </c>
    </row>
    <row r="375" spans="1:10" x14ac:dyDescent="0.35">
      <c r="A375" s="3" t="s">
        <v>74</v>
      </c>
      <c r="B375" t="s">
        <v>425</v>
      </c>
      <c r="C375" t="s">
        <v>34</v>
      </c>
      <c r="D375">
        <v>18</v>
      </c>
      <c r="E375" t="s">
        <v>20</v>
      </c>
      <c r="F375">
        <v>216</v>
      </c>
      <c r="G375">
        <v>33.74</v>
      </c>
      <c r="H375">
        <v>5</v>
      </c>
      <c r="I375" s="3">
        <f>CLIENTS_CHURN[[#This Row],[Anciennete_Mois]]/12</f>
        <v>1.5</v>
      </c>
      <c r="J375" s="3">
        <f>CLIENTS_CHURN[[#This Row],[Duree_Cumulee_Panne_Min]]/60</f>
        <v>3.6</v>
      </c>
    </row>
    <row r="376" spans="1:10" x14ac:dyDescent="0.35">
      <c r="A376" s="3" t="s">
        <v>74</v>
      </c>
      <c r="B376" t="s">
        <v>586</v>
      </c>
      <c r="C376" t="s">
        <v>34</v>
      </c>
      <c r="D376">
        <v>16</v>
      </c>
      <c r="E376" t="s">
        <v>13</v>
      </c>
      <c r="F376">
        <v>96</v>
      </c>
      <c r="G376">
        <v>86.78</v>
      </c>
      <c r="H376">
        <v>1</v>
      </c>
      <c r="I376" s="3">
        <f>CLIENTS_CHURN[[#This Row],[Anciennete_Mois]]/12</f>
        <v>1.3333333333333333</v>
      </c>
      <c r="J376" s="3">
        <f>CLIENTS_CHURN[[#This Row],[Duree_Cumulee_Panne_Min]]/60</f>
        <v>1.6</v>
      </c>
    </row>
    <row r="377" spans="1:10" x14ac:dyDescent="0.35">
      <c r="A377" s="3" t="s">
        <v>74</v>
      </c>
      <c r="B377" t="s">
        <v>635</v>
      </c>
      <c r="C377" t="s">
        <v>34</v>
      </c>
      <c r="D377">
        <v>120</v>
      </c>
      <c r="E377" t="s">
        <v>20</v>
      </c>
      <c r="F377">
        <v>60</v>
      </c>
      <c r="G377">
        <v>34.14</v>
      </c>
      <c r="H377">
        <v>3</v>
      </c>
      <c r="I377" s="3">
        <f>CLIENTS_CHURN[[#This Row],[Anciennete_Mois]]/12</f>
        <v>10</v>
      </c>
      <c r="J377" s="3">
        <f>CLIENTS_CHURN[[#This Row],[Duree_Cumulee_Panne_Min]]/60</f>
        <v>1</v>
      </c>
    </row>
    <row r="378" spans="1:10" x14ac:dyDescent="0.35">
      <c r="A378" s="3" t="s">
        <v>100</v>
      </c>
      <c r="B378" t="s">
        <v>654</v>
      </c>
      <c r="C378" t="s">
        <v>34</v>
      </c>
      <c r="D378">
        <v>113</v>
      </c>
      <c r="E378" t="s">
        <v>13</v>
      </c>
      <c r="F378">
        <v>49</v>
      </c>
      <c r="G378">
        <v>48.91</v>
      </c>
      <c r="H378">
        <v>5</v>
      </c>
      <c r="I378" s="3">
        <f>CLIENTS_CHURN[[#This Row],[Anciennete_Mois]]/12</f>
        <v>9.4166666666666661</v>
      </c>
      <c r="J378" s="3">
        <f>CLIENTS_CHURN[[#This Row],[Duree_Cumulee_Panne_Min]]/60</f>
        <v>0.81666666666666665</v>
      </c>
    </row>
    <row r="379" spans="1:10" x14ac:dyDescent="0.35">
      <c r="A379" s="3" t="s">
        <v>100</v>
      </c>
      <c r="B379" t="s">
        <v>1520</v>
      </c>
      <c r="C379" t="s">
        <v>34</v>
      </c>
      <c r="D379">
        <v>12</v>
      </c>
      <c r="E379" t="s">
        <v>31</v>
      </c>
      <c r="F379">
        <v>62</v>
      </c>
      <c r="G379">
        <v>36.1</v>
      </c>
      <c r="H379">
        <v>5</v>
      </c>
      <c r="I379" s="3">
        <f>CLIENTS_CHURN[[#This Row],[Anciennete_Mois]]/12</f>
        <v>1</v>
      </c>
      <c r="J379" s="3">
        <f>CLIENTS_CHURN[[#This Row],[Duree_Cumulee_Panne_Min]]/60</f>
        <v>1.0333333333333334</v>
      </c>
    </row>
    <row r="380" spans="1:10" x14ac:dyDescent="0.35">
      <c r="A380" s="3" t="s">
        <v>100</v>
      </c>
      <c r="B380" t="s">
        <v>684</v>
      </c>
      <c r="C380" t="s">
        <v>34</v>
      </c>
      <c r="D380">
        <v>9</v>
      </c>
      <c r="E380" t="s">
        <v>31</v>
      </c>
      <c r="F380">
        <v>27</v>
      </c>
      <c r="G380">
        <v>99.02</v>
      </c>
      <c r="H380">
        <v>3</v>
      </c>
      <c r="I380" s="3">
        <f>CLIENTS_CHURN[[#This Row],[Anciennete_Mois]]/12</f>
        <v>0.75</v>
      </c>
      <c r="J380" s="3">
        <f>CLIENTS_CHURN[[#This Row],[Duree_Cumulee_Panne_Min]]/60</f>
        <v>0.45</v>
      </c>
    </row>
    <row r="381" spans="1:10" x14ac:dyDescent="0.35">
      <c r="A381" s="3" t="s">
        <v>45</v>
      </c>
      <c r="B381" t="s">
        <v>1522</v>
      </c>
      <c r="C381" t="s">
        <v>34</v>
      </c>
      <c r="D381">
        <v>57</v>
      </c>
      <c r="E381" t="s">
        <v>13</v>
      </c>
      <c r="F381">
        <v>36</v>
      </c>
      <c r="G381">
        <v>82.7</v>
      </c>
      <c r="H381">
        <v>2</v>
      </c>
      <c r="I381" s="3">
        <f>CLIENTS_CHURN[[#This Row],[Anciennete_Mois]]/12</f>
        <v>4.75</v>
      </c>
      <c r="J381" s="3">
        <f>CLIENTS_CHURN[[#This Row],[Duree_Cumulee_Panne_Min]]/60</f>
        <v>0.6</v>
      </c>
    </row>
    <row r="382" spans="1:10" x14ac:dyDescent="0.35">
      <c r="A382" s="3" t="s">
        <v>45</v>
      </c>
      <c r="B382" t="s">
        <v>624</v>
      </c>
      <c r="C382" t="s">
        <v>34</v>
      </c>
      <c r="D382">
        <v>25</v>
      </c>
      <c r="E382" t="s">
        <v>20</v>
      </c>
      <c r="F382">
        <v>66</v>
      </c>
      <c r="G382">
        <v>90.14</v>
      </c>
      <c r="H382">
        <v>5</v>
      </c>
      <c r="I382" s="3">
        <f>CLIENTS_CHURN[[#This Row],[Anciennete_Mois]]/12</f>
        <v>2.0833333333333335</v>
      </c>
      <c r="J382" s="3">
        <f>CLIENTS_CHURN[[#This Row],[Duree_Cumulee_Panne_Min]]/60</f>
        <v>1.1000000000000001</v>
      </c>
    </row>
    <row r="383" spans="1:10" x14ac:dyDescent="0.35">
      <c r="A383" s="3" t="s">
        <v>45</v>
      </c>
      <c r="B383" t="s">
        <v>699</v>
      </c>
      <c r="C383" t="s">
        <v>34</v>
      </c>
      <c r="D383">
        <v>33</v>
      </c>
      <c r="E383" t="s">
        <v>17</v>
      </c>
      <c r="F383">
        <v>18</v>
      </c>
      <c r="G383">
        <v>47.18</v>
      </c>
      <c r="H383">
        <v>4</v>
      </c>
      <c r="I383" s="3">
        <f>CLIENTS_CHURN[[#This Row],[Anciennete_Mois]]/12</f>
        <v>2.75</v>
      </c>
      <c r="J383" s="3">
        <f>CLIENTS_CHURN[[#This Row],[Duree_Cumulee_Panne_Min]]/60</f>
        <v>0.3</v>
      </c>
    </row>
    <row r="384" spans="1:10" x14ac:dyDescent="0.35">
      <c r="A384" s="3" t="s">
        <v>85</v>
      </c>
      <c r="B384" t="s">
        <v>1453</v>
      </c>
      <c r="C384" t="s">
        <v>60</v>
      </c>
      <c r="D384">
        <v>101</v>
      </c>
      <c r="E384" t="s">
        <v>20</v>
      </c>
      <c r="F384">
        <v>176</v>
      </c>
      <c r="G384">
        <v>86</v>
      </c>
      <c r="H384">
        <v>3</v>
      </c>
      <c r="I384" s="3">
        <f>CLIENTS_CHURN[[#This Row],[Anciennete_Mois]]/12</f>
        <v>8.4166666666666661</v>
      </c>
      <c r="J384" s="3">
        <f>CLIENTS_CHURN[[#This Row],[Duree_Cumulee_Panne_Min]]/60</f>
        <v>2.9333333333333331</v>
      </c>
    </row>
    <row r="385" spans="1:10" x14ac:dyDescent="0.35">
      <c r="A385" s="3" t="s">
        <v>69</v>
      </c>
      <c r="B385" t="s">
        <v>250</v>
      </c>
      <c r="C385" t="s">
        <v>60</v>
      </c>
      <c r="D385">
        <v>53</v>
      </c>
      <c r="E385" t="s">
        <v>17</v>
      </c>
      <c r="F385">
        <v>345</v>
      </c>
      <c r="G385">
        <v>83.73</v>
      </c>
      <c r="H385">
        <v>0</v>
      </c>
      <c r="I385" s="3">
        <f>CLIENTS_CHURN[[#This Row],[Anciennete_Mois]]/12</f>
        <v>4.416666666666667</v>
      </c>
      <c r="J385" s="3">
        <f>CLIENTS_CHURN[[#This Row],[Duree_Cumulee_Panne_Min]]/60</f>
        <v>5.75</v>
      </c>
    </row>
    <row r="386" spans="1:10" x14ac:dyDescent="0.35">
      <c r="A386" s="3" t="s">
        <v>69</v>
      </c>
      <c r="B386" t="s">
        <v>218</v>
      </c>
      <c r="C386" t="s">
        <v>60</v>
      </c>
      <c r="D386">
        <v>74</v>
      </c>
      <c r="E386" t="s">
        <v>20</v>
      </c>
      <c r="F386">
        <v>371</v>
      </c>
      <c r="G386">
        <v>53.27</v>
      </c>
      <c r="H386">
        <v>3</v>
      </c>
      <c r="I386" s="3">
        <f>CLIENTS_CHURN[[#This Row],[Anciennete_Mois]]/12</f>
        <v>6.166666666666667</v>
      </c>
      <c r="J386" s="3">
        <f>CLIENTS_CHURN[[#This Row],[Duree_Cumulee_Panne_Min]]/60</f>
        <v>6.1833333333333336</v>
      </c>
    </row>
    <row r="387" spans="1:10" x14ac:dyDescent="0.35">
      <c r="A387" s="3" t="s">
        <v>69</v>
      </c>
      <c r="B387" t="s">
        <v>453</v>
      </c>
      <c r="C387" t="s">
        <v>60</v>
      </c>
      <c r="D387">
        <v>59</v>
      </c>
      <c r="E387" t="s">
        <v>31</v>
      </c>
      <c r="F387">
        <v>196</v>
      </c>
      <c r="G387">
        <v>62.53</v>
      </c>
      <c r="H387">
        <v>0</v>
      </c>
      <c r="I387" s="3">
        <f>CLIENTS_CHURN[[#This Row],[Anciennete_Mois]]/12</f>
        <v>4.916666666666667</v>
      </c>
      <c r="J387" s="3">
        <f>CLIENTS_CHURN[[#This Row],[Duree_Cumulee_Panne_Min]]/60</f>
        <v>3.2666666666666666</v>
      </c>
    </row>
    <row r="388" spans="1:10" x14ac:dyDescent="0.35">
      <c r="A388" s="3" t="s">
        <v>69</v>
      </c>
      <c r="B388" t="s">
        <v>282</v>
      </c>
      <c r="C388" t="s">
        <v>60</v>
      </c>
      <c r="D388">
        <v>1</v>
      </c>
      <c r="E388" t="s">
        <v>20</v>
      </c>
      <c r="F388">
        <v>326</v>
      </c>
      <c r="G388">
        <v>54.63</v>
      </c>
      <c r="H388">
        <v>3</v>
      </c>
      <c r="I388" s="3">
        <f>CLIENTS_CHURN[[#This Row],[Anciennete_Mois]]/12</f>
        <v>8.3333333333333329E-2</v>
      </c>
      <c r="J388" s="3">
        <f>CLIENTS_CHURN[[#This Row],[Duree_Cumulee_Panne_Min]]/60</f>
        <v>5.4333333333333336</v>
      </c>
    </row>
    <row r="389" spans="1:10" x14ac:dyDescent="0.35">
      <c r="A389" s="3" t="s">
        <v>39</v>
      </c>
      <c r="B389" t="s">
        <v>661</v>
      </c>
      <c r="C389" t="s">
        <v>60</v>
      </c>
      <c r="D389">
        <v>111</v>
      </c>
      <c r="E389" t="s">
        <v>13</v>
      </c>
      <c r="F389">
        <v>43</v>
      </c>
      <c r="G389">
        <v>19.39</v>
      </c>
      <c r="H389">
        <v>3</v>
      </c>
      <c r="I389" s="3">
        <f>CLIENTS_CHURN[[#This Row],[Anciennete_Mois]]/12</f>
        <v>9.25</v>
      </c>
      <c r="J389" s="3">
        <f>CLIENTS_CHURN[[#This Row],[Duree_Cumulee_Panne_Min]]/60</f>
        <v>0.71666666666666667</v>
      </c>
    </row>
    <row r="390" spans="1:10" x14ac:dyDescent="0.35">
      <c r="A390" s="3" t="s">
        <v>32</v>
      </c>
      <c r="B390" t="s">
        <v>695</v>
      </c>
      <c r="C390" t="s">
        <v>60</v>
      </c>
      <c r="D390">
        <v>118</v>
      </c>
      <c r="E390" t="s">
        <v>20</v>
      </c>
      <c r="F390">
        <v>22</v>
      </c>
      <c r="G390">
        <v>15.39</v>
      </c>
      <c r="H390">
        <v>1</v>
      </c>
      <c r="I390" s="3">
        <f>CLIENTS_CHURN[[#This Row],[Anciennete_Mois]]/12</f>
        <v>9.8333333333333339</v>
      </c>
      <c r="J390" s="3">
        <f>CLIENTS_CHURN[[#This Row],[Duree_Cumulee_Panne_Min]]/60</f>
        <v>0.36666666666666664</v>
      </c>
    </row>
    <row r="391" spans="1:10" x14ac:dyDescent="0.35">
      <c r="A391" s="3" t="s">
        <v>32</v>
      </c>
      <c r="B391" t="s">
        <v>80</v>
      </c>
      <c r="C391" t="s">
        <v>60</v>
      </c>
      <c r="D391">
        <v>23</v>
      </c>
      <c r="E391" t="s">
        <v>20</v>
      </c>
      <c r="F391">
        <v>473</v>
      </c>
      <c r="G391">
        <v>71.86</v>
      </c>
      <c r="H391">
        <v>3</v>
      </c>
      <c r="I391" s="3">
        <f>CLIENTS_CHURN[[#This Row],[Anciennete_Mois]]/12</f>
        <v>1.9166666666666667</v>
      </c>
      <c r="J391" s="3">
        <f>CLIENTS_CHURN[[#This Row],[Duree_Cumulee_Panne_Min]]/60</f>
        <v>7.8833333333333337</v>
      </c>
    </row>
    <row r="392" spans="1:10" x14ac:dyDescent="0.35">
      <c r="A392" s="3" t="s">
        <v>35</v>
      </c>
      <c r="B392" t="s">
        <v>605</v>
      </c>
      <c r="C392" t="s">
        <v>60</v>
      </c>
      <c r="D392">
        <v>117</v>
      </c>
      <c r="E392" t="s">
        <v>31</v>
      </c>
      <c r="F392">
        <v>85</v>
      </c>
      <c r="G392">
        <v>46.16</v>
      </c>
      <c r="H392">
        <v>3</v>
      </c>
      <c r="I392" s="3">
        <f>CLIENTS_CHURN[[#This Row],[Anciennete_Mois]]/12</f>
        <v>9.75</v>
      </c>
      <c r="J392" s="3">
        <f>CLIENTS_CHURN[[#This Row],[Duree_Cumulee_Panne_Min]]/60</f>
        <v>1.4166666666666667</v>
      </c>
    </row>
    <row r="393" spans="1:10" x14ac:dyDescent="0.35">
      <c r="A393" s="3" t="s">
        <v>14</v>
      </c>
      <c r="B393" t="s">
        <v>636</v>
      </c>
      <c r="C393" t="s">
        <v>60</v>
      </c>
      <c r="D393">
        <v>38</v>
      </c>
      <c r="E393" t="s">
        <v>13</v>
      </c>
      <c r="F393">
        <v>60</v>
      </c>
      <c r="G393">
        <v>58.28</v>
      </c>
      <c r="H393">
        <v>4</v>
      </c>
      <c r="I393" s="3">
        <f>CLIENTS_CHURN[[#This Row],[Anciennete_Mois]]/12</f>
        <v>3.1666666666666665</v>
      </c>
      <c r="J393" s="3">
        <f>CLIENTS_CHURN[[#This Row],[Duree_Cumulee_Panne_Min]]/60</f>
        <v>1</v>
      </c>
    </row>
    <row r="394" spans="1:10" x14ac:dyDescent="0.35">
      <c r="A394" s="3" t="s">
        <v>21</v>
      </c>
      <c r="B394" t="s">
        <v>542</v>
      </c>
      <c r="C394" t="s">
        <v>60</v>
      </c>
      <c r="D394">
        <v>12</v>
      </c>
      <c r="E394" t="s">
        <v>20</v>
      </c>
      <c r="F394">
        <v>125</v>
      </c>
      <c r="G394">
        <v>36.93</v>
      </c>
      <c r="H394">
        <v>0</v>
      </c>
      <c r="I394" s="3">
        <f>CLIENTS_CHURN[[#This Row],[Anciennete_Mois]]/12</f>
        <v>1</v>
      </c>
      <c r="J394" s="3">
        <f>CLIENTS_CHURN[[#This Row],[Duree_Cumulee_Panne_Min]]/60</f>
        <v>2.0833333333333335</v>
      </c>
    </row>
    <row r="395" spans="1:10" x14ac:dyDescent="0.35">
      <c r="A395" s="3" t="s">
        <v>21</v>
      </c>
      <c r="B395" t="s">
        <v>90</v>
      </c>
      <c r="C395" t="s">
        <v>60</v>
      </c>
      <c r="D395">
        <v>115</v>
      </c>
      <c r="E395" t="s">
        <v>17</v>
      </c>
      <c r="F395">
        <v>467</v>
      </c>
      <c r="G395">
        <v>24.57</v>
      </c>
      <c r="H395">
        <v>3</v>
      </c>
      <c r="I395" s="3">
        <f>CLIENTS_CHURN[[#This Row],[Anciennete_Mois]]/12</f>
        <v>9.5833333333333339</v>
      </c>
      <c r="J395" s="3">
        <f>CLIENTS_CHURN[[#This Row],[Duree_Cumulee_Panne_Min]]/60</f>
        <v>7.7833333333333332</v>
      </c>
    </row>
    <row r="396" spans="1:10" x14ac:dyDescent="0.35">
      <c r="A396" s="3" t="s">
        <v>21</v>
      </c>
      <c r="B396" t="s">
        <v>71</v>
      </c>
      <c r="C396" t="s">
        <v>60</v>
      </c>
      <c r="D396">
        <v>101</v>
      </c>
      <c r="E396" t="s">
        <v>13</v>
      </c>
      <c r="F396">
        <v>476</v>
      </c>
      <c r="G396">
        <v>41.85</v>
      </c>
      <c r="H396">
        <v>4</v>
      </c>
      <c r="I396" s="3">
        <f>CLIENTS_CHURN[[#This Row],[Anciennete_Mois]]/12</f>
        <v>8.4166666666666661</v>
      </c>
      <c r="J396" s="3">
        <f>CLIENTS_CHURN[[#This Row],[Duree_Cumulee_Panne_Min]]/60</f>
        <v>7.9333333333333336</v>
      </c>
    </row>
    <row r="397" spans="1:10" x14ac:dyDescent="0.35">
      <c r="A397" s="3" t="s">
        <v>21</v>
      </c>
      <c r="B397" t="s">
        <v>59</v>
      </c>
      <c r="C397" t="s">
        <v>60</v>
      </c>
      <c r="D397">
        <v>112</v>
      </c>
      <c r="E397" t="s">
        <v>17</v>
      </c>
      <c r="F397">
        <v>483</v>
      </c>
      <c r="G397">
        <v>93.98</v>
      </c>
      <c r="H397">
        <v>0</v>
      </c>
      <c r="I397" s="3">
        <f>CLIENTS_CHURN[[#This Row],[Anciennete_Mois]]/12</f>
        <v>9.3333333333333339</v>
      </c>
      <c r="J397" s="3">
        <f>CLIENTS_CHURN[[#This Row],[Duree_Cumulee_Panne_Min]]/60</f>
        <v>8.0500000000000007</v>
      </c>
    </row>
    <row r="398" spans="1:10" x14ac:dyDescent="0.35">
      <c r="A398" s="3" t="s">
        <v>61</v>
      </c>
      <c r="B398" t="s">
        <v>591</v>
      </c>
      <c r="C398" t="s">
        <v>60</v>
      </c>
      <c r="D398">
        <v>7</v>
      </c>
      <c r="E398" t="s">
        <v>17</v>
      </c>
      <c r="F398">
        <v>94</v>
      </c>
      <c r="G398">
        <v>68.38</v>
      </c>
      <c r="H398">
        <v>3</v>
      </c>
      <c r="I398" s="3">
        <f>CLIENTS_CHURN[[#This Row],[Anciennete_Mois]]/12</f>
        <v>0.58333333333333337</v>
      </c>
      <c r="J398" s="3">
        <f>CLIENTS_CHURN[[#This Row],[Duree_Cumulee_Panne_Min]]/60</f>
        <v>1.5666666666666667</v>
      </c>
    </row>
    <row r="399" spans="1:10" x14ac:dyDescent="0.35">
      <c r="A399" s="3" t="s">
        <v>61</v>
      </c>
      <c r="B399" t="s">
        <v>602</v>
      </c>
      <c r="C399" t="s">
        <v>60</v>
      </c>
      <c r="D399">
        <v>13</v>
      </c>
      <c r="E399" t="s">
        <v>20</v>
      </c>
      <c r="F399">
        <v>87</v>
      </c>
      <c r="G399">
        <v>66.36</v>
      </c>
      <c r="H399">
        <v>0</v>
      </c>
      <c r="I399" s="3">
        <f>CLIENTS_CHURN[[#This Row],[Anciennete_Mois]]/12</f>
        <v>1.0833333333333333</v>
      </c>
      <c r="J399" s="3">
        <f>CLIENTS_CHURN[[#This Row],[Duree_Cumulee_Panne_Min]]/60</f>
        <v>1.45</v>
      </c>
    </row>
    <row r="400" spans="1:10" x14ac:dyDescent="0.35">
      <c r="A400" s="3" t="s">
        <v>51</v>
      </c>
      <c r="B400" t="s">
        <v>1496</v>
      </c>
      <c r="C400" t="s">
        <v>60</v>
      </c>
      <c r="D400">
        <v>24</v>
      </c>
      <c r="E400" t="s">
        <v>31</v>
      </c>
      <c r="F400">
        <v>13</v>
      </c>
      <c r="G400">
        <v>89.3</v>
      </c>
      <c r="H400">
        <v>2</v>
      </c>
      <c r="I400" s="3">
        <f>CLIENTS_CHURN[[#This Row],[Anciennete_Mois]]/12</f>
        <v>2</v>
      </c>
      <c r="J400" s="3">
        <f>CLIENTS_CHURN[[#This Row],[Duree_Cumulee_Panne_Min]]/60</f>
        <v>0.21666666666666667</v>
      </c>
    </row>
    <row r="401" spans="1:10" x14ac:dyDescent="0.35">
      <c r="A401" s="3" t="s">
        <v>10</v>
      </c>
      <c r="B401" t="s">
        <v>304</v>
      </c>
      <c r="C401" t="s">
        <v>60</v>
      </c>
      <c r="D401">
        <v>17</v>
      </c>
      <c r="E401" t="s">
        <v>17</v>
      </c>
      <c r="F401">
        <v>310</v>
      </c>
      <c r="G401">
        <v>19.68</v>
      </c>
      <c r="H401">
        <v>5</v>
      </c>
      <c r="I401" s="3">
        <f>CLIENTS_CHURN[[#This Row],[Anciennete_Mois]]/12</f>
        <v>1.4166666666666667</v>
      </c>
      <c r="J401" s="3">
        <f>CLIENTS_CHURN[[#This Row],[Duree_Cumulee_Panne_Min]]/60</f>
        <v>5.166666666666667</v>
      </c>
    </row>
    <row r="402" spans="1:10" x14ac:dyDescent="0.35">
      <c r="A402" s="3" t="s">
        <v>10</v>
      </c>
      <c r="B402" t="s">
        <v>631</v>
      </c>
      <c r="C402" t="s">
        <v>60</v>
      </c>
      <c r="D402">
        <v>91</v>
      </c>
      <c r="E402" t="s">
        <v>31</v>
      </c>
      <c r="F402">
        <v>62</v>
      </c>
      <c r="G402">
        <v>34.450000000000003</v>
      </c>
      <c r="H402">
        <v>5</v>
      </c>
      <c r="I402" s="3">
        <f>CLIENTS_CHURN[[#This Row],[Anciennete_Mois]]/12</f>
        <v>7.583333333333333</v>
      </c>
      <c r="J402" s="3">
        <f>CLIENTS_CHURN[[#This Row],[Duree_Cumulee_Panne_Min]]/60</f>
        <v>1.0333333333333334</v>
      </c>
    </row>
    <row r="403" spans="1:10" x14ac:dyDescent="0.35">
      <c r="A403" s="3" t="s">
        <v>74</v>
      </c>
      <c r="B403" t="s">
        <v>418</v>
      </c>
      <c r="C403" t="s">
        <v>60</v>
      </c>
      <c r="D403">
        <v>114</v>
      </c>
      <c r="E403" t="s">
        <v>20</v>
      </c>
      <c r="F403">
        <v>220</v>
      </c>
      <c r="G403">
        <v>63.67</v>
      </c>
      <c r="H403">
        <v>5</v>
      </c>
      <c r="I403" s="3">
        <f>CLIENTS_CHURN[[#This Row],[Anciennete_Mois]]/12</f>
        <v>9.5</v>
      </c>
      <c r="J403" s="3">
        <f>CLIENTS_CHURN[[#This Row],[Duree_Cumulee_Panne_Min]]/60</f>
        <v>3.6666666666666665</v>
      </c>
    </row>
    <row r="404" spans="1:10" x14ac:dyDescent="0.35">
      <c r="A404" s="3" t="s">
        <v>100</v>
      </c>
      <c r="B404" t="s">
        <v>685</v>
      </c>
      <c r="C404" t="s">
        <v>60</v>
      </c>
      <c r="D404">
        <v>56</v>
      </c>
      <c r="E404" t="s">
        <v>31</v>
      </c>
      <c r="F404">
        <v>27</v>
      </c>
      <c r="G404">
        <v>46.41</v>
      </c>
      <c r="H404">
        <v>3</v>
      </c>
      <c r="I404" s="3">
        <f>CLIENTS_CHURN[[#This Row],[Anciennete_Mois]]/12</f>
        <v>4.666666666666667</v>
      </c>
      <c r="J404" s="3">
        <f>CLIENTS_CHURN[[#This Row],[Duree_Cumulee_Panne_Min]]/60</f>
        <v>0.45</v>
      </c>
    </row>
    <row r="405" spans="1:10" x14ac:dyDescent="0.35">
      <c r="A405" s="3" t="s">
        <v>100</v>
      </c>
      <c r="B405" t="s">
        <v>400</v>
      </c>
      <c r="C405" t="s">
        <v>60</v>
      </c>
      <c r="D405">
        <v>106</v>
      </c>
      <c r="E405" t="s">
        <v>17</v>
      </c>
      <c r="F405">
        <v>236</v>
      </c>
      <c r="G405">
        <v>18.72</v>
      </c>
      <c r="H405">
        <v>4</v>
      </c>
      <c r="I405" s="3">
        <f>CLIENTS_CHURN[[#This Row],[Anciennete_Mois]]/12</f>
        <v>8.8333333333333339</v>
      </c>
      <c r="J405" s="3">
        <f>CLIENTS_CHURN[[#This Row],[Duree_Cumulee_Panne_Min]]/60</f>
        <v>3.9333333333333331</v>
      </c>
    </row>
    <row r="406" spans="1:10" x14ac:dyDescent="0.35">
      <c r="A406" s="3" t="s">
        <v>100</v>
      </c>
      <c r="B406" t="s">
        <v>197</v>
      </c>
      <c r="C406" t="s">
        <v>60</v>
      </c>
      <c r="D406">
        <v>103</v>
      </c>
      <c r="E406" t="s">
        <v>13</v>
      </c>
      <c r="F406">
        <v>386</v>
      </c>
      <c r="G406">
        <v>10.58</v>
      </c>
      <c r="H406">
        <v>0</v>
      </c>
      <c r="I406" s="3">
        <f>CLIENTS_CHURN[[#This Row],[Anciennete_Mois]]/12</f>
        <v>8.5833333333333339</v>
      </c>
      <c r="J406" s="3">
        <f>CLIENTS_CHURN[[#This Row],[Duree_Cumulee_Panne_Min]]/60</f>
        <v>6.4333333333333336</v>
      </c>
    </row>
    <row r="407" spans="1:10" x14ac:dyDescent="0.35">
      <c r="A407" s="3" t="s">
        <v>45</v>
      </c>
      <c r="B407" t="s">
        <v>1523</v>
      </c>
      <c r="C407" t="s">
        <v>60</v>
      </c>
      <c r="D407">
        <v>81</v>
      </c>
      <c r="E407" t="s">
        <v>17</v>
      </c>
      <c r="F407">
        <v>339</v>
      </c>
      <c r="G407">
        <v>53.4</v>
      </c>
      <c r="H407">
        <v>2</v>
      </c>
      <c r="I407" s="3">
        <f>CLIENTS_CHURN[[#This Row],[Anciennete_Mois]]/12</f>
        <v>6.75</v>
      </c>
      <c r="J407" s="3">
        <f>CLIENTS_CHURN[[#This Row],[Duree_Cumulee_Panne_Min]]/60</f>
        <v>5.65</v>
      </c>
    </row>
    <row r="408" spans="1:10" x14ac:dyDescent="0.35">
      <c r="A408" s="3" t="s">
        <v>25</v>
      </c>
      <c r="B408" t="s">
        <v>502</v>
      </c>
      <c r="C408" t="s">
        <v>131</v>
      </c>
      <c r="D408">
        <v>80</v>
      </c>
      <c r="E408" t="s">
        <v>17</v>
      </c>
      <c r="F408">
        <v>155</v>
      </c>
      <c r="G408">
        <v>28.96</v>
      </c>
      <c r="H408">
        <v>2</v>
      </c>
      <c r="I408" s="3">
        <f>CLIENTS_CHURN[[#This Row],[Anciennete_Mois]]/12</f>
        <v>6.666666666666667</v>
      </c>
      <c r="J408" s="3">
        <f>CLIENTS_CHURN[[#This Row],[Duree_Cumulee_Panne_Min]]/60</f>
        <v>2.5833333333333335</v>
      </c>
    </row>
    <row r="409" spans="1:10" x14ac:dyDescent="0.35">
      <c r="A409" s="3" t="s">
        <v>39</v>
      </c>
      <c r="B409" t="s">
        <v>391</v>
      </c>
      <c r="C409" t="s">
        <v>131</v>
      </c>
      <c r="D409">
        <v>75</v>
      </c>
      <c r="E409" t="s">
        <v>20</v>
      </c>
      <c r="F409">
        <v>242</v>
      </c>
      <c r="G409">
        <v>64.27</v>
      </c>
      <c r="H409">
        <v>2</v>
      </c>
      <c r="I409" s="3">
        <f>CLIENTS_CHURN[[#This Row],[Anciennete_Mois]]/12</f>
        <v>6.25</v>
      </c>
      <c r="J409" s="3">
        <f>CLIENTS_CHURN[[#This Row],[Duree_Cumulee_Panne_Min]]/60</f>
        <v>4.0333333333333332</v>
      </c>
    </row>
    <row r="410" spans="1:10" x14ac:dyDescent="0.35">
      <c r="A410" s="3" t="s">
        <v>32</v>
      </c>
      <c r="B410" t="s">
        <v>1470</v>
      </c>
      <c r="C410" t="s">
        <v>131</v>
      </c>
      <c r="D410">
        <v>22</v>
      </c>
      <c r="E410" t="s">
        <v>13</v>
      </c>
      <c r="F410">
        <v>166</v>
      </c>
      <c r="G410">
        <v>31.8</v>
      </c>
      <c r="H410">
        <v>1</v>
      </c>
      <c r="I410" s="3">
        <f>CLIENTS_CHURN[[#This Row],[Anciennete_Mois]]/12</f>
        <v>1.8333333333333333</v>
      </c>
      <c r="J410" s="3">
        <f>CLIENTS_CHURN[[#This Row],[Duree_Cumulee_Panne_Min]]/60</f>
        <v>2.7666666666666666</v>
      </c>
    </row>
    <row r="411" spans="1:10" x14ac:dyDescent="0.35">
      <c r="A411" s="3" t="s">
        <v>32</v>
      </c>
      <c r="B411" t="s">
        <v>306</v>
      </c>
      <c r="C411" t="s">
        <v>131</v>
      </c>
      <c r="D411">
        <v>21</v>
      </c>
      <c r="E411" t="s">
        <v>31</v>
      </c>
      <c r="F411">
        <v>307</v>
      </c>
      <c r="G411">
        <v>39.81</v>
      </c>
      <c r="H411">
        <v>5</v>
      </c>
      <c r="I411" s="3">
        <f>CLIENTS_CHURN[[#This Row],[Anciennete_Mois]]/12</f>
        <v>1.75</v>
      </c>
      <c r="J411" s="3">
        <f>CLIENTS_CHURN[[#This Row],[Duree_Cumulee_Panne_Min]]/60</f>
        <v>5.1166666666666663</v>
      </c>
    </row>
    <row r="412" spans="1:10" x14ac:dyDescent="0.35">
      <c r="A412" s="3" t="s">
        <v>32</v>
      </c>
      <c r="B412" t="s">
        <v>539</v>
      </c>
      <c r="C412" t="s">
        <v>131</v>
      </c>
      <c r="D412">
        <v>106</v>
      </c>
      <c r="E412" t="s">
        <v>17</v>
      </c>
      <c r="F412">
        <v>128</v>
      </c>
      <c r="G412">
        <v>35.96</v>
      </c>
      <c r="H412">
        <v>2</v>
      </c>
      <c r="I412" s="3">
        <f>CLIENTS_CHURN[[#This Row],[Anciennete_Mois]]/12</f>
        <v>8.8333333333333339</v>
      </c>
      <c r="J412" s="3">
        <f>CLIENTS_CHURN[[#This Row],[Duree_Cumulee_Panne_Min]]/60</f>
        <v>2.1333333333333333</v>
      </c>
    </row>
    <row r="413" spans="1:10" x14ac:dyDescent="0.35">
      <c r="A413" s="3" t="s">
        <v>32</v>
      </c>
      <c r="B413" t="s">
        <v>171</v>
      </c>
      <c r="C413" t="s">
        <v>131</v>
      </c>
      <c r="D413">
        <v>32</v>
      </c>
      <c r="E413" t="s">
        <v>17</v>
      </c>
      <c r="F413">
        <v>405</v>
      </c>
      <c r="G413">
        <v>67.92</v>
      </c>
      <c r="H413">
        <v>3</v>
      </c>
      <c r="I413" s="3">
        <f>CLIENTS_CHURN[[#This Row],[Anciennete_Mois]]/12</f>
        <v>2.6666666666666665</v>
      </c>
      <c r="J413" s="3">
        <f>CLIENTS_CHURN[[#This Row],[Duree_Cumulee_Panne_Min]]/60</f>
        <v>6.75</v>
      </c>
    </row>
    <row r="414" spans="1:10" x14ac:dyDescent="0.35">
      <c r="A414" s="3" t="s">
        <v>35</v>
      </c>
      <c r="B414" t="s">
        <v>680</v>
      </c>
      <c r="C414" t="s">
        <v>131</v>
      </c>
      <c r="D414">
        <v>83</v>
      </c>
      <c r="E414" t="s">
        <v>17</v>
      </c>
      <c r="F414">
        <v>30</v>
      </c>
      <c r="G414">
        <v>33.93</v>
      </c>
      <c r="H414">
        <v>3</v>
      </c>
      <c r="I414" s="3">
        <f>CLIENTS_CHURN[[#This Row],[Anciennete_Mois]]/12</f>
        <v>6.916666666666667</v>
      </c>
      <c r="J414" s="3">
        <f>CLIENTS_CHURN[[#This Row],[Duree_Cumulee_Panne_Min]]/60</f>
        <v>0.5</v>
      </c>
    </row>
    <row r="415" spans="1:10" x14ac:dyDescent="0.35">
      <c r="A415" s="3" t="s">
        <v>35</v>
      </c>
      <c r="B415" t="s">
        <v>583</v>
      </c>
      <c r="C415" t="s">
        <v>131</v>
      </c>
      <c r="D415">
        <v>5</v>
      </c>
      <c r="E415" t="s">
        <v>20</v>
      </c>
      <c r="F415">
        <v>98</v>
      </c>
      <c r="G415">
        <v>71.37</v>
      </c>
      <c r="H415">
        <v>1</v>
      </c>
      <c r="I415" s="3">
        <f>CLIENTS_CHURN[[#This Row],[Anciennete_Mois]]/12</f>
        <v>0.41666666666666669</v>
      </c>
      <c r="J415" s="3">
        <f>CLIENTS_CHURN[[#This Row],[Duree_Cumulee_Panne_Min]]/60</f>
        <v>1.6333333333333333</v>
      </c>
    </row>
    <row r="416" spans="1:10" x14ac:dyDescent="0.35">
      <c r="A416" s="3" t="s">
        <v>35</v>
      </c>
      <c r="B416" t="s">
        <v>434</v>
      </c>
      <c r="C416" t="s">
        <v>131</v>
      </c>
      <c r="D416">
        <v>120</v>
      </c>
      <c r="E416" t="s">
        <v>20</v>
      </c>
      <c r="F416">
        <v>209</v>
      </c>
      <c r="G416">
        <v>42.51</v>
      </c>
      <c r="H416">
        <v>4</v>
      </c>
      <c r="I416" s="3">
        <f>CLIENTS_CHURN[[#This Row],[Anciennete_Mois]]/12</f>
        <v>10</v>
      </c>
      <c r="J416" s="3">
        <f>CLIENTS_CHURN[[#This Row],[Duree_Cumulee_Panne_Min]]/60</f>
        <v>3.4833333333333334</v>
      </c>
    </row>
    <row r="417" spans="1:10" x14ac:dyDescent="0.35">
      <c r="A417" s="3" t="s">
        <v>14</v>
      </c>
      <c r="B417" t="s">
        <v>471</v>
      </c>
      <c r="C417" t="s">
        <v>131</v>
      </c>
      <c r="D417">
        <v>103</v>
      </c>
      <c r="E417" t="s">
        <v>17</v>
      </c>
      <c r="F417">
        <v>182</v>
      </c>
      <c r="G417">
        <v>12.07</v>
      </c>
      <c r="H417">
        <v>5</v>
      </c>
      <c r="I417" s="3">
        <f>CLIENTS_CHURN[[#This Row],[Anciennete_Mois]]/12</f>
        <v>8.5833333333333339</v>
      </c>
      <c r="J417" s="3">
        <f>CLIENTS_CHURN[[#This Row],[Duree_Cumulee_Panne_Min]]/60</f>
        <v>3.0333333333333332</v>
      </c>
    </row>
    <row r="418" spans="1:10" x14ac:dyDescent="0.35">
      <c r="A418" s="3" t="s">
        <v>28</v>
      </c>
      <c r="B418" t="s">
        <v>429</v>
      </c>
      <c r="C418" t="s">
        <v>131</v>
      </c>
      <c r="D418">
        <v>16</v>
      </c>
      <c r="E418" t="s">
        <v>20</v>
      </c>
      <c r="F418">
        <v>214</v>
      </c>
      <c r="G418">
        <v>46.57</v>
      </c>
      <c r="H418">
        <v>5</v>
      </c>
      <c r="I418" s="3">
        <f>CLIENTS_CHURN[[#This Row],[Anciennete_Mois]]/12</f>
        <v>1.3333333333333333</v>
      </c>
      <c r="J418" s="3">
        <f>CLIENTS_CHURN[[#This Row],[Duree_Cumulee_Panne_Min]]/60</f>
        <v>3.5666666666666669</v>
      </c>
    </row>
    <row r="419" spans="1:10" x14ac:dyDescent="0.35">
      <c r="A419" s="3" t="s">
        <v>28</v>
      </c>
      <c r="B419" t="s">
        <v>598</v>
      </c>
      <c r="C419" t="s">
        <v>131</v>
      </c>
      <c r="D419">
        <v>91</v>
      </c>
      <c r="E419" t="s">
        <v>17</v>
      </c>
      <c r="F419">
        <v>90</v>
      </c>
      <c r="G419">
        <v>39.14</v>
      </c>
      <c r="H419">
        <v>3</v>
      </c>
      <c r="I419" s="3">
        <f>CLIENTS_CHURN[[#This Row],[Anciennete_Mois]]/12</f>
        <v>7.583333333333333</v>
      </c>
      <c r="J419" s="3">
        <f>CLIENTS_CHURN[[#This Row],[Duree_Cumulee_Panne_Min]]/60</f>
        <v>1.5</v>
      </c>
    </row>
    <row r="420" spans="1:10" x14ac:dyDescent="0.35">
      <c r="A420" s="3" t="s">
        <v>28</v>
      </c>
      <c r="B420" t="s">
        <v>130</v>
      </c>
      <c r="C420" t="s">
        <v>131</v>
      </c>
      <c r="D420">
        <v>21</v>
      </c>
      <c r="E420" t="s">
        <v>17</v>
      </c>
      <c r="F420">
        <v>444</v>
      </c>
      <c r="G420">
        <v>41.92</v>
      </c>
      <c r="H420">
        <v>3</v>
      </c>
      <c r="I420" s="3">
        <f>CLIENTS_CHURN[[#This Row],[Anciennete_Mois]]/12</f>
        <v>1.75</v>
      </c>
      <c r="J420" s="3">
        <f>CLIENTS_CHURN[[#This Row],[Duree_Cumulee_Panne_Min]]/60</f>
        <v>7.4</v>
      </c>
    </row>
    <row r="421" spans="1:10" x14ac:dyDescent="0.35">
      <c r="A421" s="3" t="s">
        <v>28</v>
      </c>
      <c r="B421" t="s">
        <v>509</v>
      </c>
      <c r="C421" t="s">
        <v>131</v>
      </c>
      <c r="D421">
        <v>66</v>
      </c>
      <c r="E421" t="s">
        <v>20</v>
      </c>
      <c r="F421">
        <v>152</v>
      </c>
      <c r="G421">
        <v>95.71</v>
      </c>
      <c r="H421">
        <v>3</v>
      </c>
      <c r="I421" s="3">
        <f>CLIENTS_CHURN[[#This Row],[Anciennete_Mois]]/12</f>
        <v>5.5</v>
      </c>
      <c r="J421" s="3">
        <f>CLIENTS_CHURN[[#This Row],[Duree_Cumulee_Panne_Min]]/60</f>
        <v>2.5333333333333332</v>
      </c>
    </row>
    <row r="422" spans="1:10" x14ac:dyDescent="0.35">
      <c r="A422" s="3" t="s">
        <v>10</v>
      </c>
      <c r="B422" t="s">
        <v>721</v>
      </c>
      <c r="C422" t="s">
        <v>131</v>
      </c>
      <c r="D422">
        <v>25</v>
      </c>
      <c r="E422" t="s">
        <v>31</v>
      </c>
      <c r="F422">
        <v>5</v>
      </c>
      <c r="G422">
        <v>27.93</v>
      </c>
      <c r="H422">
        <v>0</v>
      </c>
      <c r="I422" s="3">
        <f>CLIENTS_CHURN[[#This Row],[Anciennete_Mois]]/12</f>
        <v>2.0833333333333335</v>
      </c>
      <c r="J422" s="3">
        <f>CLIENTS_CHURN[[#This Row],[Duree_Cumulee_Panne_Min]]/60</f>
        <v>8.3333333333333329E-2</v>
      </c>
    </row>
    <row r="423" spans="1:10" x14ac:dyDescent="0.35">
      <c r="A423" s="3" t="s">
        <v>74</v>
      </c>
      <c r="B423" t="s">
        <v>1512</v>
      </c>
      <c r="C423" t="s">
        <v>131</v>
      </c>
      <c r="D423">
        <v>34</v>
      </c>
      <c r="E423" t="s">
        <v>13</v>
      </c>
      <c r="F423">
        <v>170</v>
      </c>
      <c r="G423">
        <v>91.6</v>
      </c>
      <c r="H423">
        <v>2</v>
      </c>
      <c r="I423" s="3">
        <f>CLIENTS_CHURN[[#This Row],[Anciennete_Mois]]/12</f>
        <v>2.8333333333333335</v>
      </c>
      <c r="J423" s="3">
        <f>CLIENTS_CHURN[[#This Row],[Duree_Cumulee_Panne_Min]]/60</f>
        <v>2.8333333333333335</v>
      </c>
    </row>
    <row r="424" spans="1:10" x14ac:dyDescent="0.35">
      <c r="A424" s="3" t="s">
        <v>74</v>
      </c>
      <c r="B424" t="s">
        <v>610</v>
      </c>
      <c r="C424" t="s">
        <v>131</v>
      </c>
      <c r="D424">
        <v>6</v>
      </c>
      <c r="E424" t="s">
        <v>17</v>
      </c>
      <c r="F424">
        <v>77</v>
      </c>
      <c r="G424">
        <v>18.48</v>
      </c>
      <c r="H424">
        <v>2</v>
      </c>
      <c r="I424" s="3">
        <f>CLIENTS_CHURN[[#This Row],[Anciennete_Mois]]/12</f>
        <v>0.5</v>
      </c>
      <c r="J424" s="3">
        <f>CLIENTS_CHURN[[#This Row],[Duree_Cumulee_Panne_Min]]/60</f>
        <v>1.2833333333333334</v>
      </c>
    </row>
    <row r="425" spans="1:10" x14ac:dyDescent="0.35">
      <c r="A425" s="3" t="s">
        <v>45</v>
      </c>
      <c r="B425" t="s">
        <v>299</v>
      </c>
      <c r="C425" t="s">
        <v>131</v>
      </c>
      <c r="D425">
        <v>95</v>
      </c>
      <c r="E425" t="s">
        <v>13</v>
      </c>
      <c r="F425">
        <v>313</v>
      </c>
      <c r="G425">
        <v>32.49</v>
      </c>
      <c r="H425">
        <v>1</v>
      </c>
      <c r="I425" s="3">
        <f>CLIENTS_CHURN[[#This Row],[Anciennete_Mois]]/12</f>
        <v>7.916666666666667</v>
      </c>
      <c r="J425" s="3">
        <f>CLIENTS_CHURN[[#This Row],[Duree_Cumulee_Panne_Min]]/60</f>
        <v>5.2166666666666668</v>
      </c>
    </row>
    <row r="426" spans="1:10" x14ac:dyDescent="0.35">
      <c r="A426" s="3" t="s">
        <v>45</v>
      </c>
      <c r="B426" t="s">
        <v>1526</v>
      </c>
      <c r="C426" t="s">
        <v>131</v>
      </c>
      <c r="D426">
        <v>56</v>
      </c>
      <c r="E426" t="s">
        <v>17</v>
      </c>
      <c r="F426">
        <v>41</v>
      </c>
      <c r="G426">
        <v>15.1</v>
      </c>
      <c r="H426">
        <v>5</v>
      </c>
      <c r="I426" s="3">
        <f>CLIENTS_CHURN[[#This Row],[Anciennete_Mois]]/12</f>
        <v>4.666666666666667</v>
      </c>
      <c r="J426" s="3">
        <f>CLIENTS_CHURN[[#This Row],[Duree_Cumulee_Panne_Min]]/60</f>
        <v>0.68333333333333335</v>
      </c>
    </row>
    <row r="427" spans="1:10" x14ac:dyDescent="0.35">
      <c r="A427" s="3" t="s">
        <v>45</v>
      </c>
      <c r="B427" t="s">
        <v>494</v>
      </c>
      <c r="C427" t="s">
        <v>131</v>
      </c>
      <c r="D427">
        <v>98</v>
      </c>
      <c r="E427" t="s">
        <v>20</v>
      </c>
      <c r="F427">
        <v>168</v>
      </c>
      <c r="G427">
        <v>44.14</v>
      </c>
      <c r="H427">
        <v>3</v>
      </c>
      <c r="I427" s="3">
        <f>CLIENTS_CHURN[[#This Row],[Anciennete_Mois]]/12</f>
        <v>8.1666666666666661</v>
      </c>
      <c r="J427" s="3">
        <f>CLIENTS_CHURN[[#This Row],[Duree_Cumulee_Panne_Min]]/60</f>
        <v>2.8</v>
      </c>
    </row>
    <row r="428" spans="1:10" x14ac:dyDescent="0.35">
      <c r="A428" s="3" t="s">
        <v>85</v>
      </c>
      <c r="B428" t="s">
        <v>356</v>
      </c>
      <c r="C428" t="s">
        <v>92</v>
      </c>
      <c r="D428">
        <v>66</v>
      </c>
      <c r="E428" t="s">
        <v>17</v>
      </c>
      <c r="F428">
        <v>270</v>
      </c>
      <c r="G428">
        <v>75.88</v>
      </c>
      <c r="H428">
        <v>3</v>
      </c>
      <c r="I428" s="3">
        <f>CLIENTS_CHURN[[#This Row],[Anciennete_Mois]]/12</f>
        <v>5.5</v>
      </c>
      <c r="J428" s="3">
        <f>CLIENTS_CHURN[[#This Row],[Duree_Cumulee_Panne_Min]]/60</f>
        <v>4.5</v>
      </c>
    </row>
    <row r="429" spans="1:10" x14ac:dyDescent="0.35">
      <c r="A429" s="3" t="s">
        <v>25</v>
      </c>
      <c r="B429" t="s">
        <v>629</v>
      </c>
      <c r="C429" t="s">
        <v>92</v>
      </c>
      <c r="D429">
        <v>25</v>
      </c>
      <c r="E429" t="s">
        <v>13</v>
      </c>
      <c r="F429">
        <v>64</v>
      </c>
      <c r="G429">
        <v>38.950000000000003</v>
      </c>
      <c r="H429">
        <v>5</v>
      </c>
      <c r="I429" s="3">
        <f>CLIENTS_CHURN[[#This Row],[Anciennete_Mois]]/12</f>
        <v>2.0833333333333335</v>
      </c>
      <c r="J429" s="3">
        <f>CLIENTS_CHURN[[#This Row],[Duree_Cumulee_Panne_Min]]/60</f>
        <v>1.0666666666666667</v>
      </c>
    </row>
    <row r="430" spans="1:10" x14ac:dyDescent="0.35">
      <c r="A430" s="3" t="s">
        <v>25</v>
      </c>
      <c r="B430" t="s">
        <v>689</v>
      </c>
      <c r="C430" t="s">
        <v>92</v>
      </c>
      <c r="D430">
        <v>20</v>
      </c>
      <c r="E430" t="s">
        <v>31</v>
      </c>
      <c r="F430">
        <v>26</v>
      </c>
      <c r="G430">
        <v>25.14</v>
      </c>
      <c r="H430">
        <v>0</v>
      </c>
      <c r="I430" s="3">
        <f>CLIENTS_CHURN[[#This Row],[Anciennete_Mois]]/12</f>
        <v>1.6666666666666667</v>
      </c>
      <c r="J430" s="3">
        <f>CLIENTS_CHURN[[#This Row],[Duree_Cumulee_Panne_Min]]/60</f>
        <v>0.43333333333333335</v>
      </c>
    </row>
    <row r="431" spans="1:10" x14ac:dyDescent="0.35">
      <c r="A431" s="3" t="s">
        <v>25</v>
      </c>
      <c r="B431" t="s">
        <v>334</v>
      </c>
      <c r="C431" t="s">
        <v>92</v>
      </c>
      <c r="D431">
        <v>70</v>
      </c>
      <c r="E431" t="s">
        <v>20</v>
      </c>
      <c r="F431">
        <v>290</v>
      </c>
      <c r="G431">
        <v>96.31</v>
      </c>
      <c r="H431">
        <v>1</v>
      </c>
      <c r="I431" s="3">
        <f>CLIENTS_CHURN[[#This Row],[Anciennete_Mois]]/12</f>
        <v>5.833333333333333</v>
      </c>
      <c r="J431" s="3">
        <f>CLIENTS_CHURN[[#This Row],[Duree_Cumulee_Panne_Min]]/60</f>
        <v>4.833333333333333</v>
      </c>
    </row>
    <row r="432" spans="1:10" x14ac:dyDescent="0.35">
      <c r="A432" s="3" t="s">
        <v>25</v>
      </c>
      <c r="B432" t="s">
        <v>374</v>
      </c>
      <c r="C432" t="s">
        <v>92</v>
      </c>
      <c r="D432">
        <v>50</v>
      </c>
      <c r="E432" t="s">
        <v>31</v>
      </c>
      <c r="F432">
        <v>258</v>
      </c>
      <c r="G432">
        <v>25.06</v>
      </c>
      <c r="H432">
        <v>4</v>
      </c>
      <c r="I432" s="3">
        <f>CLIENTS_CHURN[[#This Row],[Anciennete_Mois]]/12</f>
        <v>4.166666666666667</v>
      </c>
      <c r="J432" s="3">
        <f>CLIENTS_CHURN[[#This Row],[Duree_Cumulee_Panne_Min]]/60</f>
        <v>4.3</v>
      </c>
    </row>
    <row r="433" spans="1:10" x14ac:dyDescent="0.35">
      <c r="A433" s="3" t="s">
        <v>25</v>
      </c>
      <c r="B433" t="s">
        <v>452</v>
      </c>
      <c r="C433" t="s">
        <v>92</v>
      </c>
      <c r="D433">
        <v>30</v>
      </c>
      <c r="E433" t="s">
        <v>13</v>
      </c>
      <c r="F433">
        <v>197</v>
      </c>
      <c r="G433">
        <v>15.42</v>
      </c>
      <c r="H433">
        <v>0</v>
      </c>
      <c r="I433" s="3">
        <f>CLIENTS_CHURN[[#This Row],[Anciennete_Mois]]/12</f>
        <v>2.5</v>
      </c>
      <c r="J433" s="3">
        <f>CLIENTS_CHURN[[#This Row],[Duree_Cumulee_Panne_Min]]/60</f>
        <v>3.2833333333333332</v>
      </c>
    </row>
    <row r="434" spans="1:10" x14ac:dyDescent="0.35">
      <c r="A434" s="3" t="s">
        <v>69</v>
      </c>
      <c r="B434" t="s">
        <v>581</v>
      </c>
      <c r="C434" t="s">
        <v>92</v>
      </c>
      <c r="D434">
        <v>54</v>
      </c>
      <c r="E434" t="s">
        <v>31</v>
      </c>
      <c r="F434">
        <v>99</v>
      </c>
      <c r="G434">
        <v>39.58</v>
      </c>
      <c r="H434">
        <v>0</v>
      </c>
      <c r="I434" s="3">
        <f>CLIENTS_CHURN[[#This Row],[Anciennete_Mois]]/12</f>
        <v>4.5</v>
      </c>
      <c r="J434" s="3">
        <f>CLIENTS_CHURN[[#This Row],[Duree_Cumulee_Panne_Min]]/60</f>
        <v>1.65</v>
      </c>
    </row>
    <row r="435" spans="1:10" x14ac:dyDescent="0.35">
      <c r="A435" s="3" t="s">
        <v>69</v>
      </c>
      <c r="B435" t="s">
        <v>627</v>
      </c>
      <c r="C435" t="s">
        <v>92</v>
      </c>
      <c r="D435">
        <v>41</v>
      </c>
      <c r="E435" t="s">
        <v>13</v>
      </c>
      <c r="F435">
        <v>64</v>
      </c>
      <c r="G435">
        <v>91.95</v>
      </c>
      <c r="H435">
        <v>1</v>
      </c>
      <c r="I435" s="3">
        <f>CLIENTS_CHURN[[#This Row],[Anciennete_Mois]]/12</f>
        <v>3.4166666666666665</v>
      </c>
      <c r="J435" s="3">
        <f>CLIENTS_CHURN[[#This Row],[Duree_Cumulee_Panne_Min]]/60</f>
        <v>1.0666666666666667</v>
      </c>
    </row>
    <row r="436" spans="1:10" x14ac:dyDescent="0.35">
      <c r="A436" s="3" t="s">
        <v>39</v>
      </c>
      <c r="B436" t="s">
        <v>718</v>
      </c>
      <c r="C436" t="s">
        <v>92</v>
      </c>
      <c r="D436">
        <v>64</v>
      </c>
      <c r="E436" t="s">
        <v>20</v>
      </c>
      <c r="F436">
        <v>6</v>
      </c>
      <c r="G436">
        <v>40.58</v>
      </c>
      <c r="H436">
        <v>5</v>
      </c>
      <c r="I436" s="3">
        <f>CLIENTS_CHURN[[#This Row],[Anciennete_Mois]]/12</f>
        <v>5.333333333333333</v>
      </c>
      <c r="J436" s="3">
        <f>CLIENTS_CHURN[[#This Row],[Duree_Cumulee_Panne_Min]]/60</f>
        <v>0.1</v>
      </c>
    </row>
    <row r="437" spans="1:10" x14ac:dyDescent="0.35">
      <c r="A437" s="3" t="s">
        <v>39</v>
      </c>
      <c r="B437" t="s">
        <v>500</v>
      </c>
      <c r="C437" t="s">
        <v>92</v>
      </c>
      <c r="D437">
        <v>31</v>
      </c>
      <c r="E437" t="s">
        <v>31</v>
      </c>
      <c r="F437">
        <v>160</v>
      </c>
      <c r="G437">
        <v>59.76</v>
      </c>
      <c r="H437">
        <v>4</v>
      </c>
      <c r="I437" s="3">
        <f>CLIENTS_CHURN[[#This Row],[Anciennete_Mois]]/12</f>
        <v>2.5833333333333335</v>
      </c>
      <c r="J437" s="3">
        <f>CLIENTS_CHURN[[#This Row],[Duree_Cumulee_Panne_Min]]/60</f>
        <v>2.6666666666666665</v>
      </c>
    </row>
    <row r="438" spans="1:10" x14ac:dyDescent="0.35">
      <c r="A438" s="3" t="s">
        <v>39</v>
      </c>
      <c r="B438" t="s">
        <v>395</v>
      </c>
      <c r="C438" t="s">
        <v>92</v>
      </c>
      <c r="D438">
        <v>5</v>
      </c>
      <c r="E438" t="s">
        <v>31</v>
      </c>
      <c r="F438">
        <v>239</v>
      </c>
      <c r="G438">
        <v>26.95</v>
      </c>
      <c r="H438">
        <v>2</v>
      </c>
      <c r="I438" s="3">
        <f>CLIENTS_CHURN[[#This Row],[Anciennete_Mois]]/12</f>
        <v>0.41666666666666669</v>
      </c>
      <c r="J438" s="3">
        <f>CLIENTS_CHURN[[#This Row],[Duree_Cumulee_Panne_Min]]/60</f>
        <v>3.9833333333333334</v>
      </c>
    </row>
    <row r="439" spans="1:10" x14ac:dyDescent="0.35">
      <c r="A439" s="3" t="s">
        <v>39</v>
      </c>
      <c r="B439" t="s">
        <v>266</v>
      </c>
      <c r="C439" t="s">
        <v>92</v>
      </c>
      <c r="D439">
        <v>48</v>
      </c>
      <c r="E439" t="s">
        <v>31</v>
      </c>
      <c r="F439">
        <v>335</v>
      </c>
      <c r="G439">
        <v>85.09</v>
      </c>
      <c r="H439">
        <v>3</v>
      </c>
      <c r="I439" s="3">
        <f>CLIENTS_CHURN[[#This Row],[Anciennete_Mois]]/12</f>
        <v>4</v>
      </c>
      <c r="J439" s="3">
        <f>CLIENTS_CHURN[[#This Row],[Duree_Cumulee_Panne_Min]]/60</f>
        <v>5.583333333333333</v>
      </c>
    </row>
    <row r="440" spans="1:10" x14ac:dyDescent="0.35">
      <c r="A440" s="3" t="s">
        <v>35</v>
      </c>
      <c r="B440" t="s">
        <v>291</v>
      </c>
      <c r="C440" t="s">
        <v>92</v>
      </c>
      <c r="D440">
        <v>98</v>
      </c>
      <c r="E440" t="s">
        <v>13</v>
      </c>
      <c r="F440">
        <v>319</v>
      </c>
      <c r="G440">
        <v>88.58</v>
      </c>
      <c r="H440">
        <v>0</v>
      </c>
      <c r="I440" s="3">
        <f>CLIENTS_CHURN[[#This Row],[Anciennete_Mois]]/12</f>
        <v>8.1666666666666661</v>
      </c>
      <c r="J440" s="3">
        <f>CLIENTS_CHURN[[#This Row],[Duree_Cumulee_Panne_Min]]/60</f>
        <v>5.3166666666666664</v>
      </c>
    </row>
    <row r="441" spans="1:10" x14ac:dyDescent="0.35">
      <c r="A441" s="3" t="s">
        <v>35</v>
      </c>
      <c r="B441" t="s">
        <v>202</v>
      </c>
      <c r="C441" t="s">
        <v>92</v>
      </c>
      <c r="D441">
        <v>76</v>
      </c>
      <c r="E441" t="s">
        <v>17</v>
      </c>
      <c r="F441">
        <v>383</v>
      </c>
      <c r="G441">
        <v>53.73</v>
      </c>
      <c r="H441">
        <v>2</v>
      </c>
      <c r="I441" s="3">
        <f>CLIENTS_CHURN[[#This Row],[Anciennete_Mois]]/12</f>
        <v>6.333333333333333</v>
      </c>
      <c r="J441" s="3">
        <f>CLIENTS_CHURN[[#This Row],[Duree_Cumulee_Panne_Min]]/60</f>
        <v>6.3833333333333337</v>
      </c>
    </row>
    <row r="442" spans="1:10" x14ac:dyDescent="0.35">
      <c r="A442" s="3" t="s">
        <v>35</v>
      </c>
      <c r="B442" t="s">
        <v>650</v>
      </c>
      <c r="C442" t="s">
        <v>92</v>
      </c>
      <c r="D442">
        <v>95</v>
      </c>
      <c r="E442" t="s">
        <v>13</v>
      </c>
      <c r="F442">
        <v>51</v>
      </c>
      <c r="G442">
        <v>94.77</v>
      </c>
      <c r="H442">
        <v>5</v>
      </c>
      <c r="I442" s="3">
        <f>CLIENTS_CHURN[[#This Row],[Anciennete_Mois]]/12</f>
        <v>7.916666666666667</v>
      </c>
      <c r="J442" s="3">
        <f>CLIENTS_CHURN[[#This Row],[Duree_Cumulee_Panne_Min]]/60</f>
        <v>0.85</v>
      </c>
    </row>
    <row r="443" spans="1:10" x14ac:dyDescent="0.35">
      <c r="A443" s="3" t="s">
        <v>35</v>
      </c>
      <c r="B443" t="s">
        <v>387</v>
      </c>
      <c r="C443" t="s">
        <v>92</v>
      </c>
      <c r="D443">
        <v>84</v>
      </c>
      <c r="E443" t="s">
        <v>31</v>
      </c>
      <c r="F443">
        <v>244</v>
      </c>
      <c r="G443">
        <v>56.34</v>
      </c>
      <c r="H443">
        <v>5</v>
      </c>
      <c r="I443" s="3">
        <f>CLIENTS_CHURN[[#This Row],[Anciennete_Mois]]/12</f>
        <v>7</v>
      </c>
      <c r="J443" s="3">
        <f>CLIENTS_CHURN[[#This Row],[Duree_Cumulee_Panne_Min]]/60</f>
        <v>4.0666666666666664</v>
      </c>
    </row>
    <row r="444" spans="1:10" x14ac:dyDescent="0.35">
      <c r="A444" s="3" t="s">
        <v>14</v>
      </c>
      <c r="B444" t="s">
        <v>169</v>
      </c>
      <c r="C444" t="s">
        <v>92</v>
      </c>
      <c r="D444">
        <v>106</v>
      </c>
      <c r="E444" t="s">
        <v>17</v>
      </c>
      <c r="F444">
        <v>407</v>
      </c>
      <c r="G444">
        <v>59.92</v>
      </c>
      <c r="H444">
        <v>4</v>
      </c>
      <c r="I444" s="3">
        <f>CLIENTS_CHURN[[#This Row],[Anciennete_Mois]]/12</f>
        <v>8.8333333333333339</v>
      </c>
      <c r="J444" s="3">
        <f>CLIENTS_CHURN[[#This Row],[Duree_Cumulee_Panne_Min]]/60</f>
        <v>6.7833333333333332</v>
      </c>
    </row>
    <row r="445" spans="1:10" x14ac:dyDescent="0.35">
      <c r="A445" s="3" t="s">
        <v>21</v>
      </c>
      <c r="B445" t="s">
        <v>691</v>
      </c>
      <c r="C445" t="s">
        <v>92</v>
      </c>
      <c r="D445">
        <v>45</v>
      </c>
      <c r="E445" t="s">
        <v>17</v>
      </c>
      <c r="F445">
        <v>26</v>
      </c>
      <c r="G445">
        <v>30.35</v>
      </c>
      <c r="H445">
        <v>1</v>
      </c>
      <c r="I445" s="3">
        <f>CLIENTS_CHURN[[#This Row],[Anciennete_Mois]]/12</f>
        <v>3.75</v>
      </c>
      <c r="J445" s="3">
        <f>CLIENTS_CHURN[[#This Row],[Duree_Cumulee_Panne_Min]]/60</f>
        <v>0.43333333333333335</v>
      </c>
    </row>
    <row r="446" spans="1:10" x14ac:dyDescent="0.35">
      <c r="A446" s="3" t="s">
        <v>21</v>
      </c>
      <c r="B446" t="s">
        <v>696</v>
      </c>
      <c r="C446" t="s">
        <v>92</v>
      </c>
      <c r="D446">
        <v>2</v>
      </c>
      <c r="E446" t="s">
        <v>13</v>
      </c>
      <c r="F446">
        <v>21</v>
      </c>
      <c r="G446">
        <v>51.68</v>
      </c>
      <c r="H446">
        <v>3</v>
      </c>
      <c r="I446" s="3">
        <f>CLIENTS_CHURN[[#This Row],[Anciennete_Mois]]/12</f>
        <v>0.16666666666666666</v>
      </c>
      <c r="J446" s="3">
        <f>CLIENTS_CHURN[[#This Row],[Duree_Cumulee_Panne_Min]]/60</f>
        <v>0.35</v>
      </c>
    </row>
    <row r="447" spans="1:10" x14ac:dyDescent="0.35">
      <c r="A447" s="3" t="s">
        <v>61</v>
      </c>
      <c r="B447" t="s">
        <v>694</v>
      </c>
      <c r="C447" t="s">
        <v>92</v>
      </c>
      <c r="D447">
        <v>24</v>
      </c>
      <c r="E447" t="s">
        <v>20</v>
      </c>
      <c r="F447">
        <v>23</v>
      </c>
      <c r="G447">
        <v>28.55</v>
      </c>
      <c r="H447">
        <v>1</v>
      </c>
      <c r="I447" s="3">
        <f>CLIENTS_CHURN[[#This Row],[Anciennete_Mois]]/12</f>
        <v>2</v>
      </c>
      <c r="J447" s="3">
        <f>CLIENTS_CHURN[[#This Row],[Duree_Cumulee_Panne_Min]]/60</f>
        <v>0.38333333333333336</v>
      </c>
    </row>
    <row r="448" spans="1:10" x14ac:dyDescent="0.35">
      <c r="A448" s="3" t="s">
        <v>61</v>
      </c>
      <c r="B448" t="s">
        <v>559</v>
      </c>
      <c r="C448" t="s">
        <v>92</v>
      </c>
      <c r="D448">
        <v>28</v>
      </c>
      <c r="E448" t="s">
        <v>17</v>
      </c>
      <c r="F448">
        <v>112</v>
      </c>
      <c r="G448">
        <v>94.51</v>
      </c>
      <c r="H448">
        <v>3</v>
      </c>
      <c r="I448" s="3">
        <f>CLIENTS_CHURN[[#This Row],[Anciennete_Mois]]/12</f>
        <v>2.3333333333333335</v>
      </c>
      <c r="J448" s="3">
        <f>CLIENTS_CHURN[[#This Row],[Duree_Cumulee_Panne_Min]]/60</f>
        <v>1.8666666666666667</v>
      </c>
    </row>
    <row r="449" spans="1:10" x14ac:dyDescent="0.35">
      <c r="A449" s="3" t="s">
        <v>61</v>
      </c>
      <c r="B449" t="s">
        <v>524</v>
      </c>
      <c r="C449" t="s">
        <v>92</v>
      </c>
      <c r="D449">
        <v>36</v>
      </c>
      <c r="E449" t="s">
        <v>13</v>
      </c>
      <c r="F449">
        <v>137</v>
      </c>
      <c r="G449">
        <v>71.930000000000007</v>
      </c>
      <c r="H449">
        <v>0</v>
      </c>
      <c r="I449" s="3">
        <f>CLIENTS_CHURN[[#This Row],[Anciennete_Mois]]/12</f>
        <v>3</v>
      </c>
      <c r="J449" s="3">
        <f>CLIENTS_CHURN[[#This Row],[Duree_Cumulee_Panne_Min]]/60</f>
        <v>2.2833333333333332</v>
      </c>
    </row>
    <row r="450" spans="1:10" x14ac:dyDescent="0.35">
      <c r="A450" s="3" t="s">
        <v>51</v>
      </c>
      <c r="B450" t="s">
        <v>177</v>
      </c>
      <c r="C450" t="s">
        <v>92</v>
      </c>
      <c r="D450">
        <v>15</v>
      </c>
      <c r="E450" t="s">
        <v>31</v>
      </c>
      <c r="F450">
        <v>400</v>
      </c>
      <c r="G450">
        <v>78.09</v>
      </c>
      <c r="H450">
        <v>0</v>
      </c>
      <c r="I450" s="3">
        <f>CLIENTS_CHURN[[#This Row],[Anciennete_Mois]]/12</f>
        <v>1.25</v>
      </c>
      <c r="J450" s="3">
        <f>CLIENTS_CHURN[[#This Row],[Duree_Cumulee_Panne_Min]]/60</f>
        <v>6.666666666666667</v>
      </c>
    </row>
    <row r="451" spans="1:10" x14ac:dyDescent="0.35">
      <c r="A451" s="3" t="s">
        <v>51</v>
      </c>
      <c r="B451" t="s">
        <v>618</v>
      </c>
      <c r="C451" t="s">
        <v>92</v>
      </c>
      <c r="D451">
        <v>120</v>
      </c>
      <c r="E451" t="s">
        <v>20</v>
      </c>
      <c r="F451">
        <v>72</v>
      </c>
      <c r="G451">
        <v>29.07</v>
      </c>
      <c r="H451">
        <v>3</v>
      </c>
      <c r="I451" s="3">
        <f>CLIENTS_CHURN[[#This Row],[Anciennete_Mois]]/12</f>
        <v>10</v>
      </c>
      <c r="J451" s="3">
        <f>CLIENTS_CHURN[[#This Row],[Duree_Cumulee_Panne_Min]]/60</f>
        <v>1.2</v>
      </c>
    </row>
    <row r="452" spans="1:10" x14ac:dyDescent="0.35">
      <c r="A452" s="3" t="s">
        <v>51</v>
      </c>
      <c r="B452" t="s">
        <v>149</v>
      </c>
      <c r="C452" t="s">
        <v>92</v>
      </c>
      <c r="D452">
        <v>113</v>
      </c>
      <c r="E452" t="s">
        <v>17</v>
      </c>
      <c r="F452">
        <v>428</v>
      </c>
      <c r="G452">
        <v>73.84</v>
      </c>
      <c r="H452">
        <v>0</v>
      </c>
      <c r="I452" s="3">
        <f>CLIENTS_CHURN[[#This Row],[Anciennete_Mois]]/12</f>
        <v>9.4166666666666661</v>
      </c>
      <c r="J452" s="3">
        <f>CLIENTS_CHURN[[#This Row],[Duree_Cumulee_Panne_Min]]/60</f>
        <v>7.1333333333333337</v>
      </c>
    </row>
    <row r="453" spans="1:10" x14ac:dyDescent="0.35">
      <c r="A453" s="3" t="s">
        <v>28</v>
      </c>
      <c r="B453" t="s">
        <v>683</v>
      </c>
      <c r="C453" t="s">
        <v>92</v>
      </c>
      <c r="D453">
        <v>53</v>
      </c>
      <c r="E453" t="s">
        <v>20</v>
      </c>
      <c r="F453">
        <v>27</v>
      </c>
      <c r="G453">
        <v>18.77</v>
      </c>
      <c r="H453">
        <v>0</v>
      </c>
      <c r="I453" s="3">
        <f>CLIENTS_CHURN[[#This Row],[Anciennete_Mois]]/12</f>
        <v>4.416666666666667</v>
      </c>
      <c r="J453" s="3">
        <f>CLIENTS_CHURN[[#This Row],[Duree_Cumulee_Panne_Min]]/60</f>
        <v>0.45</v>
      </c>
    </row>
    <row r="454" spans="1:10" x14ac:dyDescent="0.35">
      <c r="A454" s="3" t="s">
        <v>28</v>
      </c>
      <c r="B454" t="s">
        <v>198</v>
      </c>
      <c r="C454" t="s">
        <v>92</v>
      </c>
      <c r="D454">
        <v>47</v>
      </c>
      <c r="E454" t="s">
        <v>17</v>
      </c>
      <c r="F454">
        <v>385</v>
      </c>
      <c r="G454">
        <v>41.33</v>
      </c>
      <c r="H454">
        <v>0</v>
      </c>
      <c r="I454" s="3">
        <f>CLIENTS_CHURN[[#This Row],[Anciennete_Mois]]/12</f>
        <v>3.9166666666666665</v>
      </c>
      <c r="J454" s="3">
        <f>CLIENTS_CHURN[[#This Row],[Duree_Cumulee_Panne_Min]]/60</f>
        <v>6.416666666666667</v>
      </c>
    </row>
    <row r="455" spans="1:10" x14ac:dyDescent="0.35">
      <c r="A455" s="3" t="s">
        <v>28</v>
      </c>
      <c r="B455" t="s">
        <v>1507</v>
      </c>
      <c r="C455" t="s">
        <v>92</v>
      </c>
      <c r="D455">
        <v>61</v>
      </c>
      <c r="E455" t="s">
        <v>13</v>
      </c>
      <c r="F455">
        <v>140</v>
      </c>
      <c r="G455">
        <v>76.3</v>
      </c>
      <c r="H455">
        <v>4</v>
      </c>
      <c r="I455" s="3">
        <f>CLIENTS_CHURN[[#This Row],[Anciennete_Mois]]/12</f>
        <v>5.083333333333333</v>
      </c>
      <c r="J455" s="3">
        <f>CLIENTS_CHURN[[#This Row],[Duree_Cumulee_Panne_Min]]/60</f>
        <v>2.3333333333333335</v>
      </c>
    </row>
    <row r="456" spans="1:10" x14ac:dyDescent="0.35">
      <c r="A456" s="3" t="s">
        <v>28</v>
      </c>
      <c r="B456" t="s">
        <v>1510</v>
      </c>
      <c r="C456" t="s">
        <v>92</v>
      </c>
      <c r="D456">
        <v>38</v>
      </c>
      <c r="E456" t="s">
        <v>31</v>
      </c>
      <c r="F456">
        <v>108</v>
      </c>
      <c r="G456">
        <v>72.7</v>
      </c>
      <c r="H456">
        <v>3</v>
      </c>
      <c r="I456" s="3">
        <f>CLIENTS_CHURN[[#This Row],[Anciennete_Mois]]/12</f>
        <v>3.1666666666666665</v>
      </c>
      <c r="J456" s="3">
        <f>CLIENTS_CHURN[[#This Row],[Duree_Cumulee_Panne_Min]]/60</f>
        <v>1.8</v>
      </c>
    </row>
    <row r="457" spans="1:10" x14ac:dyDescent="0.35">
      <c r="A457" s="3" t="s">
        <v>10</v>
      </c>
      <c r="B457" t="s">
        <v>639</v>
      </c>
      <c r="C457" t="s">
        <v>92</v>
      </c>
      <c r="D457">
        <v>34</v>
      </c>
      <c r="E457" t="s">
        <v>20</v>
      </c>
      <c r="F457">
        <v>58</v>
      </c>
      <c r="G457">
        <v>64.349999999999994</v>
      </c>
      <c r="H457">
        <v>0</v>
      </c>
      <c r="I457" s="3">
        <f>CLIENTS_CHURN[[#This Row],[Anciennete_Mois]]/12</f>
        <v>2.8333333333333335</v>
      </c>
      <c r="J457" s="3">
        <f>CLIENTS_CHURN[[#This Row],[Duree_Cumulee_Panne_Min]]/60</f>
        <v>0.96666666666666667</v>
      </c>
    </row>
    <row r="458" spans="1:10" x14ac:dyDescent="0.35">
      <c r="A458" s="3" t="s">
        <v>74</v>
      </c>
      <c r="B458" t="s">
        <v>107</v>
      </c>
      <c r="C458" t="s">
        <v>92</v>
      </c>
      <c r="D458">
        <v>22</v>
      </c>
      <c r="E458" t="s">
        <v>20</v>
      </c>
      <c r="F458">
        <v>457</v>
      </c>
      <c r="G458">
        <v>13.21</v>
      </c>
      <c r="H458">
        <v>1</v>
      </c>
      <c r="I458" s="3">
        <f>CLIENTS_CHURN[[#This Row],[Anciennete_Mois]]/12</f>
        <v>1.8333333333333333</v>
      </c>
      <c r="J458" s="3">
        <f>CLIENTS_CHURN[[#This Row],[Duree_Cumulee_Panne_Min]]/60</f>
        <v>7.6166666666666663</v>
      </c>
    </row>
    <row r="459" spans="1:10" x14ac:dyDescent="0.35">
      <c r="A459" s="3" t="s">
        <v>100</v>
      </c>
      <c r="B459" t="s">
        <v>371</v>
      </c>
      <c r="C459" t="s">
        <v>92</v>
      </c>
      <c r="D459">
        <v>94</v>
      </c>
      <c r="E459" t="s">
        <v>17</v>
      </c>
      <c r="F459">
        <v>261</v>
      </c>
      <c r="G459">
        <v>70.09</v>
      </c>
      <c r="H459">
        <v>3</v>
      </c>
      <c r="I459" s="3">
        <f>CLIENTS_CHURN[[#This Row],[Anciennete_Mois]]/12</f>
        <v>7.833333333333333</v>
      </c>
      <c r="J459" s="3">
        <f>CLIENTS_CHURN[[#This Row],[Duree_Cumulee_Panne_Min]]/60</f>
        <v>4.3499999999999996</v>
      </c>
    </row>
    <row r="460" spans="1:10" x14ac:dyDescent="0.35">
      <c r="A460" s="3" t="s">
        <v>45</v>
      </c>
      <c r="B460" t="s">
        <v>91</v>
      </c>
      <c r="C460" t="s">
        <v>92</v>
      </c>
      <c r="D460">
        <v>108</v>
      </c>
      <c r="E460" t="s">
        <v>31</v>
      </c>
      <c r="F460">
        <v>467</v>
      </c>
      <c r="G460">
        <v>44.84</v>
      </c>
      <c r="H460">
        <v>4</v>
      </c>
      <c r="I460" s="3">
        <f>CLIENTS_CHURN[[#This Row],[Anciennete_Mois]]/12</f>
        <v>9</v>
      </c>
      <c r="J460" s="3">
        <f>CLIENTS_CHURN[[#This Row],[Duree_Cumulee_Panne_Min]]/60</f>
        <v>7.7833333333333332</v>
      </c>
    </row>
    <row r="461" spans="1:10" x14ac:dyDescent="0.35">
      <c r="A461" s="3" t="s">
        <v>85</v>
      </c>
      <c r="B461" t="s">
        <v>504</v>
      </c>
      <c r="C461" t="s">
        <v>58</v>
      </c>
      <c r="D461">
        <v>81</v>
      </c>
      <c r="E461" t="s">
        <v>20</v>
      </c>
      <c r="F461">
        <v>154</v>
      </c>
      <c r="G461">
        <v>19.47</v>
      </c>
      <c r="H461">
        <v>3</v>
      </c>
      <c r="I461" s="3">
        <f>CLIENTS_CHURN[[#This Row],[Anciennete_Mois]]/12</f>
        <v>6.75</v>
      </c>
      <c r="J461" s="3">
        <f>CLIENTS_CHURN[[#This Row],[Duree_Cumulee_Panne_Min]]/60</f>
        <v>2.5666666666666669</v>
      </c>
    </row>
    <row r="462" spans="1:10" x14ac:dyDescent="0.35">
      <c r="A462" s="3" t="s">
        <v>25</v>
      </c>
      <c r="B462" t="s">
        <v>649</v>
      </c>
      <c r="C462" t="s">
        <v>58</v>
      </c>
      <c r="D462">
        <v>72</v>
      </c>
      <c r="E462" t="s">
        <v>17</v>
      </c>
      <c r="F462">
        <v>51</v>
      </c>
      <c r="G462">
        <v>95.09</v>
      </c>
      <c r="H462">
        <v>0</v>
      </c>
      <c r="I462" s="3">
        <f>CLIENTS_CHURN[[#This Row],[Anciennete_Mois]]/12</f>
        <v>6</v>
      </c>
      <c r="J462" s="3">
        <f>CLIENTS_CHURN[[#This Row],[Duree_Cumulee_Panne_Min]]/60</f>
        <v>0.85</v>
      </c>
    </row>
    <row r="463" spans="1:10" x14ac:dyDescent="0.35">
      <c r="A463" s="3" t="s">
        <v>39</v>
      </c>
      <c r="B463" t="s">
        <v>448</v>
      </c>
      <c r="C463" t="s">
        <v>58</v>
      </c>
      <c r="D463">
        <v>89</v>
      </c>
      <c r="E463" t="s">
        <v>20</v>
      </c>
      <c r="F463">
        <v>203</v>
      </c>
      <c r="G463">
        <v>80.680000000000007</v>
      </c>
      <c r="H463">
        <v>5</v>
      </c>
      <c r="I463" s="3">
        <f>CLIENTS_CHURN[[#This Row],[Anciennete_Mois]]/12</f>
        <v>7.416666666666667</v>
      </c>
      <c r="J463" s="3">
        <f>CLIENTS_CHURN[[#This Row],[Duree_Cumulee_Panne_Min]]/60</f>
        <v>3.3833333333333333</v>
      </c>
    </row>
    <row r="464" spans="1:10" x14ac:dyDescent="0.35">
      <c r="A464" s="3" t="s">
        <v>39</v>
      </c>
      <c r="B464" t="s">
        <v>221</v>
      </c>
      <c r="C464" t="s">
        <v>58</v>
      </c>
      <c r="D464">
        <v>27</v>
      </c>
      <c r="E464" t="s">
        <v>13</v>
      </c>
      <c r="F464">
        <v>369</v>
      </c>
      <c r="G464">
        <v>19.78</v>
      </c>
      <c r="H464">
        <v>1</v>
      </c>
      <c r="I464" s="3">
        <f>CLIENTS_CHURN[[#This Row],[Anciennete_Mois]]/12</f>
        <v>2.25</v>
      </c>
      <c r="J464" s="3">
        <f>CLIENTS_CHURN[[#This Row],[Duree_Cumulee_Panne_Min]]/60</f>
        <v>6.15</v>
      </c>
    </row>
    <row r="465" spans="1:10" x14ac:dyDescent="0.35">
      <c r="A465" s="3" t="s">
        <v>32</v>
      </c>
      <c r="B465" t="s">
        <v>286</v>
      </c>
      <c r="C465" t="s">
        <v>58</v>
      </c>
      <c r="D465">
        <v>108</v>
      </c>
      <c r="E465" t="s">
        <v>13</v>
      </c>
      <c r="F465">
        <v>323</v>
      </c>
      <c r="G465">
        <v>58.54</v>
      </c>
      <c r="H465">
        <v>2</v>
      </c>
      <c r="I465" s="3">
        <f>CLIENTS_CHURN[[#This Row],[Anciennete_Mois]]/12</f>
        <v>9</v>
      </c>
      <c r="J465" s="3">
        <f>CLIENTS_CHURN[[#This Row],[Duree_Cumulee_Panne_Min]]/60</f>
        <v>5.3833333333333337</v>
      </c>
    </row>
    <row r="466" spans="1:10" x14ac:dyDescent="0.35">
      <c r="A466" s="3" t="s">
        <v>35</v>
      </c>
      <c r="B466" t="s">
        <v>550</v>
      </c>
      <c r="C466" t="s">
        <v>58</v>
      </c>
      <c r="D466">
        <v>8</v>
      </c>
      <c r="E466" t="s">
        <v>31</v>
      </c>
      <c r="F466">
        <v>120</v>
      </c>
      <c r="G466">
        <v>88.29</v>
      </c>
      <c r="H466">
        <v>5</v>
      </c>
      <c r="I466" s="3">
        <f>CLIENTS_CHURN[[#This Row],[Anciennete_Mois]]/12</f>
        <v>0.66666666666666663</v>
      </c>
      <c r="J466" s="3">
        <f>CLIENTS_CHURN[[#This Row],[Duree_Cumulee_Panne_Min]]/60</f>
        <v>2</v>
      </c>
    </row>
    <row r="467" spans="1:10" x14ac:dyDescent="0.35">
      <c r="A467" s="3" t="s">
        <v>14</v>
      </c>
      <c r="B467" t="s">
        <v>310</v>
      </c>
      <c r="C467" t="s">
        <v>58</v>
      </c>
      <c r="D467">
        <v>19</v>
      </c>
      <c r="E467" t="s">
        <v>31</v>
      </c>
      <c r="F467">
        <v>305</v>
      </c>
      <c r="G467">
        <v>81.11</v>
      </c>
      <c r="H467">
        <v>1</v>
      </c>
      <c r="I467" s="3">
        <f>CLIENTS_CHURN[[#This Row],[Anciennete_Mois]]/12</f>
        <v>1.5833333333333333</v>
      </c>
      <c r="J467" s="3">
        <f>CLIENTS_CHURN[[#This Row],[Duree_Cumulee_Panne_Min]]/60</f>
        <v>5.083333333333333</v>
      </c>
    </row>
    <row r="468" spans="1:10" x14ac:dyDescent="0.35">
      <c r="A468" s="3" t="s">
        <v>14</v>
      </c>
      <c r="B468" t="s">
        <v>57</v>
      </c>
      <c r="C468" t="s">
        <v>58</v>
      </c>
      <c r="D468">
        <v>17</v>
      </c>
      <c r="E468" t="s">
        <v>17</v>
      </c>
      <c r="F468">
        <v>483</v>
      </c>
      <c r="G468">
        <v>77.08</v>
      </c>
      <c r="H468">
        <v>0</v>
      </c>
      <c r="I468" s="3">
        <f>CLIENTS_CHURN[[#This Row],[Anciennete_Mois]]/12</f>
        <v>1.4166666666666667</v>
      </c>
      <c r="J468" s="3">
        <f>CLIENTS_CHURN[[#This Row],[Duree_Cumulee_Panne_Min]]/60</f>
        <v>8.0500000000000007</v>
      </c>
    </row>
    <row r="469" spans="1:10" x14ac:dyDescent="0.35">
      <c r="A469" s="3" t="s">
        <v>14</v>
      </c>
      <c r="B469" t="s">
        <v>77</v>
      </c>
      <c r="C469" t="s">
        <v>58</v>
      </c>
      <c r="D469">
        <v>41</v>
      </c>
      <c r="E469" t="s">
        <v>20</v>
      </c>
      <c r="F469">
        <v>474</v>
      </c>
      <c r="G469">
        <v>54.03</v>
      </c>
      <c r="H469">
        <v>4</v>
      </c>
      <c r="I469" s="3">
        <f>CLIENTS_CHURN[[#This Row],[Anciennete_Mois]]/12</f>
        <v>3.4166666666666665</v>
      </c>
      <c r="J469" s="3">
        <f>CLIENTS_CHURN[[#This Row],[Duree_Cumulee_Panne_Min]]/60</f>
        <v>7.9</v>
      </c>
    </row>
    <row r="470" spans="1:10" x14ac:dyDescent="0.35">
      <c r="A470" s="3" t="s">
        <v>14</v>
      </c>
      <c r="B470" t="s">
        <v>255</v>
      </c>
      <c r="C470" t="s">
        <v>58</v>
      </c>
      <c r="D470">
        <v>90</v>
      </c>
      <c r="E470" t="s">
        <v>17</v>
      </c>
      <c r="F470">
        <v>343</v>
      </c>
      <c r="G470">
        <v>82.05</v>
      </c>
      <c r="H470">
        <v>1</v>
      </c>
      <c r="I470" s="3">
        <f>CLIENTS_CHURN[[#This Row],[Anciennete_Mois]]/12</f>
        <v>7.5</v>
      </c>
      <c r="J470" s="3">
        <f>CLIENTS_CHURN[[#This Row],[Duree_Cumulee_Panne_Min]]/60</f>
        <v>5.7166666666666668</v>
      </c>
    </row>
    <row r="471" spans="1:10" x14ac:dyDescent="0.35">
      <c r="A471" s="3" t="s">
        <v>21</v>
      </c>
      <c r="B471" t="s">
        <v>634</v>
      </c>
      <c r="C471" t="s">
        <v>58</v>
      </c>
      <c r="D471">
        <v>104</v>
      </c>
      <c r="E471" t="s">
        <v>20</v>
      </c>
      <c r="F471">
        <v>60</v>
      </c>
      <c r="G471">
        <v>45.51</v>
      </c>
      <c r="H471">
        <v>1</v>
      </c>
      <c r="I471" s="3">
        <f>CLIENTS_CHURN[[#This Row],[Anciennete_Mois]]/12</f>
        <v>8.6666666666666661</v>
      </c>
      <c r="J471" s="3">
        <f>CLIENTS_CHURN[[#This Row],[Duree_Cumulee_Panne_Min]]/60</f>
        <v>1</v>
      </c>
    </row>
    <row r="472" spans="1:10" x14ac:dyDescent="0.35">
      <c r="A472" s="3" t="s">
        <v>21</v>
      </c>
      <c r="B472" t="s">
        <v>423</v>
      </c>
      <c r="C472" t="s">
        <v>58</v>
      </c>
      <c r="D472">
        <v>90</v>
      </c>
      <c r="E472" t="s">
        <v>31</v>
      </c>
      <c r="F472">
        <v>216</v>
      </c>
      <c r="G472">
        <v>45.58</v>
      </c>
      <c r="H472">
        <v>0</v>
      </c>
      <c r="I472" s="3">
        <f>CLIENTS_CHURN[[#This Row],[Anciennete_Mois]]/12</f>
        <v>7.5</v>
      </c>
      <c r="J472" s="3">
        <f>CLIENTS_CHURN[[#This Row],[Duree_Cumulee_Panne_Min]]/60</f>
        <v>3.6</v>
      </c>
    </row>
    <row r="473" spans="1:10" x14ac:dyDescent="0.35">
      <c r="A473" s="3" t="s">
        <v>61</v>
      </c>
      <c r="B473" t="s">
        <v>690</v>
      </c>
      <c r="C473" t="s">
        <v>58</v>
      </c>
      <c r="D473">
        <v>43</v>
      </c>
      <c r="E473" t="s">
        <v>17</v>
      </c>
      <c r="F473">
        <v>26</v>
      </c>
      <c r="G473">
        <v>25.85</v>
      </c>
      <c r="H473">
        <v>1</v>
      </c>
      <c r="I473" s="3">
        <f>CLIENTS_CHURN[[#This Row],[Anciennete_Mois]]/12</f>
        <v>3.5833333333333335</v>
      </c>
      <c r="J473" s="3">
        <f>CLIENTS_CHURN[[#This Row],[Duree_Cumulee_Panne_Min]]/60</f>
        <v>0.43333333333333335</v>
      </c>
    </row>
    <row r="474" spans="1:10" x14ac:dyDescent="0.35">
      <c r="A474" s="3" t="s">
        <v>51</v>
      </c>
      <c r="B474" t="s">
        <v>507</v>
      </c>
      <c r="C474" t="s">
        <v>58</v>
      </c>
      <c r="D474">
        <v>93</v>
      </c>
      <c r="E474" t="s">
        <v>20</v>
      </c>
      <c r="F474">
        <v>153</v>
      </c>
      <c r="G474">
        <v>86.19</v>
      </c>
      <c r="H474">
        <v>0</v>
      </c>
      <c r="I474" s="3">
        <f>CLIENTS_CHURN[[#This Row],[Anciennete_Mois]]/12</f>
        <v>7.75</v>
      </c>
      <c r="J474" s="3">
        <f>CLIENTS_CHURN[[#This Row],[Duree_Cumulee_Panne_Min]]/60</f>
        <v>2.5499999999999998</v>
      </c>
    </row>
    <row r="475" spans="1:10" x14ac:dyDescent="0.35">
      <c r="A475" s="3" t="s">
        <v>28</v>
      </c>
      <c r="B475" t="s">
        <v>440</v>
      </c>
      <c r="C475" t="s">
        <v>58</v>
      </c>
      <c r="D475">
        <v>33</v>
      </c>
      <c r="E475" t="s">
        <v>20</v>
      </c>
      <c r="F475">
        <v>207</v>
      </c>
      <c r="G475">
        <v>38.49</v>
      </c>
      <c r="H475">
        <v>4</v>
      </c>
      <c r="I475" s="3">
        <f>CLIENTS_CHURN[[#This Row],[Anciennete_Mois]]/12</f>
        <v>2.75</v>
      </c>
      <c r="J475" s="3">
        <f>CLIENTS_CHURN[[#This Row],[Duree_Cumulee_Panne_Min]]/60</f>
        <v>3.45</v>
      </c>
    </row>
    <row r="476" spans="1:10" x14ac:dyDescent="0.35">
      <c r="A476" s="3" t="s">
        <v>28</v>
      </c>
      <c r="B476" t="s">
        <v>242</v>
      </c>
      <c r="C476" t="s">
        <v>58</v>
      </c>
      <c r="D476">
        <v>58</v>
      </c>
      <c r="E476" t="s">
        <v>20</v>
      </c>
      <c r="F476">
        <v>352</v>
      </c>
      <c r="G476">
        <v>72.94</v>
      </c>
      <c r="H476">
        <v>0</v>
      </c>
      <c r="I476" s="3">
        <f>CLIENTS_CHURN[[#This Row],[Anciennete_Mois]]/12</f>
        <v>4.833333333333333</v>
      </c>
      <c r="J476" s="3">
        <f>CLIENTS_CHURN[[#This Row],[Duree_Cumulee_Panne_Min]]/60</f>
        <v>5.8666666666666663</v>
      </c>
    </row>
    <row r="477" spans="1:10" x14ac:dyDescent="0.35">
      <c r="A477" s="3" t="s">
        <v>28</v>
      </c>
      <c r="B477" t="s">
        <v>664</v>
      </c>
      <c r="C477" t="s">
        <v>58</v>
      </c>
      <c r="D477">
        <v>99</v>
      </c>
      <c r="E477" t="s">
        <v>20</v>
      </c>
      <c r="F477">
        <v>42</v>
      </c>
      <c r="G477">
        <v>98.77</v>
      </c>
      <c r="H477">
        <v>3</v>
      </c>
      <c r="I477" s="3">
        <f>CLIENTS_CHURN[[#This Row],[Anciennete_Mois]]/12</f>
        <v>8.25</v>
      </c>
      <c r="J477" s="3">
        <f>CLIENTS_CHURN[[#This Row],[Duree_Cumulee_Panne_Min]]/60</f>
        <v>0.7</v>
      </c>
    </row>
    <row r="478" spans="1:10" x14ac:dyDescent="0.35">
      <c r="A478" s="3" t="s">
        <v>10</v>
      </c>
      <c r="B478" t="s">
        <v>663</v>
      </c>
      <c r="C478" t="s">
        <v>58</v>
      </c>
      <c r="D478">
        <v>12</v>
      </c>
      <c r="E478" t="s">
        <v>20</v>
      </c>
      <c r="F478">
        <v>42</v>
      </c>
      <c r="G478">
        <v>48.64</v>
      </c>
      <c r="H478">
        <v>0</v>
      </c>
      <c r="I478" s="3">
        <f>CLIENTS_CHURN[[#This Row],[Anciennete_Mois]]/12</f>
        <v>1</v>
      </c>
      <c r="J478" s="3">
        <f>CLIENTS_CHURN[[#This Row],[Duree_Cumulee_Panne_Min]]/60</f>
        <v>0.7</v>
      </c>
    </row>
    <row r="479" spans="1:10" x14ac:dyDescent="0.35">
      <c r="A479" s="3" t="s">
        <v>10</v>
      </c>
      <c r="B479" t="s">
        <v>558</v>
      </c>
      <c r="C479" t="s">
        <v>58</v>
      </c>
      <c r="D479">
        <v>12</v>
      </c>
      <c r="E479" t="s">
        <v>17</v>
      </c>
      <c r="F479">
        <v>112</v>
      </c>
      <c r="G479">
        <v>82.81</v>
      </c>
      <c r="H479">
        <v>0</v>
      </c>
      <c r="I479" s="3">
        <f>CLIENTS_CHURN[[#This Row],[Anciennete_Mois]]/12</f>
        <v>1</v>
      </c>
      <c r="J479" s="3">
        <f>CLIENTS_CHURN[[#This Row],[Duree_Cumulee_Panne_Min]]/60</f>
        <v>1.8666666666666667</v>
      </c>
    </row>
    <row r="480" spans="1:10" x14ac:dyDescent="0.35">
      <c r="A480" s="3" t="s">
        <v>74</v>
      </c>
      <c r="B480" t="s">
        <v>688</v>
      </c>
      <c r="C480" t="s">
        <v>58</v>
      </c>
      <c r="D480">
        <v>43</v>
      </c>
      <c r="E480" t="s">
        <v>13</v>
      </c>
      <c r="F480">
        <v>27</v>
      </c>
      <c r="G480">
        <v>31.48</v>
      </c>
      <c r="H480">
        <v>5</v>
      </c>
      <c r="I480" s="3">
        <f>CLIENTS_CHURN[[#This Row],[Anciennete_Mois]]/12</f>
        <v>3.5833333333333335</v>
      </c>
      <c r="J480" s="3">
        <f>CLIENTS_CHURN[[#This Row],[Duree_Cumulee_Panne_Min]]/60</f>
        <v>0.45</v>
      </c>
    </row>
    <row r="481" spans="1:10" x14ac:dyDescent="0.35">
      <c r="A481" s="3" t="s">
        <v>74</v>
      </c>
      <c r="B481" t="s">
        <v>568</v>
      </c>
      <c r="C481" t="s">
        <v>58</v>
      </c>
      <c r="D481">
        <v>101</v>
      </c>
      <c r="E481" t="s">
        <v>20</v>
      </c>
      <c r="F481">
        <v>108</v>
      </c>
      <c r="G481">
        <v>76.05</v>
      </c>
      <c r="H481">
        <v>3</v>
      </c>
      <c r="I481" s="3">
        <f>CLIENTS_CHURN[[#This Row],[Anciennete_Mois]]/12</f>
        <v>8.4166666666666661</v>
      </c>
      <c r="J481" s="3">
        <f>CLIENTS_CHURN[[#This Row],[Duree_Cumulee_Panne_Min]]/60</f>
        <v>1.8</v>
      </c>
    </row>
    <row r="482" spans="1:10" x14ac:dyDescent="0.35">
      <c r="A482" s="3" t="s">
        <v>74</v>
      </c>
      <c r="B482" t="s">
        <v>260</v>
      </c>
      <c r="C482" t="s">
        <v>58</v>
      </c>
      <c r="D482">
        <v>48</v>
      </c>
      <c r="E482" t="s">
        <v>13</v>
      </c>
      <c r="F482">
        <v>338</v>
      </c>
      <c r="G482">
        <v>74.42</v>
      </c>
      <c r="H482">
        <v>0</v>
      </c>
      <c r="I482" s="3">
        <f>CLIENTS_CHURN[[#This Row],[Anciennete_Mois]]/12</f>
        <v>4</v>
      </c>
      <c r="J482" s="3">
        <f>CLIENTS_CHURN[[#This Row],[Duree_Cumulee_Panne_Min]]/60</f>
        <v>5.6333333333333337</v>
      </c>
    </row>
    <row r="483" spans="1:10" x14ac:dyDescent="0.35">
      <c r="A483" s="3" t="s">
        <v>100</v>
      </c>
      <c r="B483" t="s">
        <v>491</v>
      </c>
      <c r="C483" t="s">
        <v>58</v>
      </c>
      <c r="D483">
        <v>18</v>
      </c>
      <c r="E483" t="s">
        <v>17</v>
      </c>
      <c r="F483">
        <v>170</v>
      </c>
      <c r="G483">
        <v>87.34</v>
      </c>
      <c r="H483">
        <v>1</v>
      </c>
      <c r="I483" s="3">
        <f>CLIENTS_CHURN[[#This Row],[Anciennete_Mois]]/12</f>
        <v>1.5</v>
      </c>
      <c r="J483" s="3">
        <f>CLIENTS_CHURN[[#This Row],[Duree_Cumulee_Panne_Min]]/60</f>
        <v>2.8333333333333335</v>
      </c>
    </row>
    <row r="484" spans="1:10" x14ac:dyDescent="0.35">
      <c r="A484" s="3" t="s">
        <v>100</v>
      </c>
      <c r="B484" t="s">
        <v>126</v>
      </c>
      <c r="C484" t="s">
        <v>58</v>
      </c>
      <c r="D484">
        <v>7</v>
      </c>
      <c r="E484" t="s">
        <v>20</v>
      </c>
      <c r="F484">
        <v>447</v>
      </c>
      <c r="G484">
        <v>84.95</v>
      </c>
      <c r="H484">
        <v>2</v>
      </c>
      <c r="I484" s="3">
        <f>CLIENTS_CHURN[[#This Row],[Anciennete_Mois]]/12</f>
        <v>0.58333333333333337</v>
      </c>
      <c r="J484" s="3">
        <f>CLIENTS_CHURN[[#This Row],[Duree_Cumulee_Panne_Min]]/60</f>
        <v>7.45</v>
      </c>
    </row>
    <row r="485" spans="1:10" x14ac:dyDescent="0.35">
      <c r="A485" s="3" t="s">
        <v>45</v>
      </c>
      <c r="B485" t="s">
        <v>679</v>
      </c>
      <c r="C485" t="s">
        <v>58</v>
      </c>
      <c r="D485">
        <v>119</v>
      </c>
      <c r="E485" t="s">
        <v>20</v>
      </c>
      <c r="F485">
        <v>31</v>
      </c>
      <c r="G485">
        <v>21.27</v>
      </c>
      <c r="H485">
        <v>5</v>
      </c>
      <c r="I485" s="3">
        <f>CLIENTS_CHURN[[#This Row],[Anciennete_Mois]]/12</f>
        <v>9.9166666666666661</v>
      </c>
      <c r="J485" s="3">
        <f>CLIENTS_CHURN[[#This Row],[Duree_Cumulee_Panne_Min]]/60</f>
        <v>0.51666666666666672</v>
      </c>
    </row>
    <row r="486" spans="1:10" x14ac:dyDescent="0.35">
      <c r="A486" s="3" t="s">
        <v>45</v>
      </c>
      <c r="B486" t="s">
        <v>211</v>
      </c>
      <c r="C486" t="s">
        <v>58</v>
      </c>
      <c r="D486">
        <v>26</v>
      </c>
      <c r="E486" t="s">
        <v>17</v>
      </c>
      <c r="F486">
        <v>378</v>
      </c>
      <c r="G486">
        <v>88.59</v>
      </c>
      <c r="H486">
        <v>4</v>
      </c>
      <c r="I486" s="3">
        <f>CLIENTS_CHURN[[#This Row],[Anciennete_Mois]]/12</f>
        <v>2.1666666666666665</v>
      </c>
      <c r="J486" s="3">
        <f>CLIENTS_CHURN[[#This Row],[Duree_Cumulee_Panne_Min]]/60</f>
        <v>6.3</v>
      </c>
    </row>
    <row r="487" spans="1:10" x14ac:dyDescent="0.35">
      <c r="A487" s="3" t="s">
        <v>85</v>
      </c>
      <c r="B487" t="s">
        <v>114</v>
      </c>
      <c r="C487" t="s">
        <v>19</v>
      </c>
      <c r="D487">
        <v>34</v>
      </c>
      <c r="E487" t="s">
        <v>20</v>
      </c>
      <c r="F487">
        <v>453</v>
      </c>
      <c r="G487">
        <v>56.84</v>
      </c>
      <c r="H487">
        <v>0</v>
      </c>
      <c r="I487" s="3">
        <f>CLIENTS_CHURN[[#This Row],[Anciennete_Mois]]/12</f>
        <v>2.8333333333333335</v>
      </c>
      <c r="J487" s="3">
        <f>CLIENTS_CHURN[[#This Row],[Duree_Cumulee_Panne_Min]]/60</f>
        <v>7.55</v>
      </c>
    </row>
    <row r="488" spans="1:10" x14ac:dyDescent="0.35">
      <c r="A488" s="3" t="s">
        <v>69</v>
      </c>
      <c r="B488" t="s">
        <v>486</v>
      </c>
      <c r="C488" t="s">
        <v>19</v>
      </c>
      <c r="D488">
        <v>42</v>
      </c>
      <c r="E488" t="s">
        <v>17</v>
      </c>
      <c r="F488">
        <v>173</v>
      </c>
      <c r="G488">
        <v>69.19</v>
      </c>
      <c r="H488">
        <v>4</v>
      </c>
      <c r="I488" s="3">
        <f>CLIENTS_CHURN[[#This Row],[Anciennete_Mois]]/12</f>
        <v>3.5</v>
      </c>
      <c r="J488" s="3">
        <f>CLIENTS_CHURN[[#This Row],[Duree_Cumulee_Panne_Min]]/60</f>
        <v>2.8833333333333333</v>
      </c>
    </row>
    <row r="489" spans="1:10" x14ac:dyDescent="0.35">
      <c r="A489" s="3" t="s">
        <v>39</v>
      </c>
      <c r="B489" t="s">
        <v>220</v>
      </c>
      <c r="C489" t="s">
        <v>19</v>
      </c>
      <c r="D489">
        <v>64</v>
      </c>
      <c r="E489" t="s">
        <v>20</v>
      </c>
      <c r="F489">
        <v>370</v>
      </c>
      <c r="G489">
        <v>95.74</v>
      </c>
      <c r="H489">
        <v>1</v>
      </c>
      <c r="I489" s="3">
        <f>CLIENTS_CHURN[[#This Row],[Anciennete_Mois]]/12</f>
        <v>5.333333333333333</v>
      </c>
      <c r="J489" s="3">
        <f>CLIENTS_CHURN[[#This Row],[Duree_Cumulee_Panne_Min]]/60</f>
        <v>6.166666666666667</v>
      </c>
    </row>
    <row r="490" spans="1:10" x14ac:dyDescent="0.35">
      <c r="A490" s="3" t="s">
        <v>39</v>
      </c>
      <c r="B490" t="s">
        <v>483</v>
      </c>
      <c r="C490" t="s">
        <v>19</v>
      </c>
      <c r="D490">
        <v>26</v>
      </c>
      <c r="E490" t="s">
        <v>31</v>
      </c>
      <c r="F490">
        <v>174</v>
      </c>
      <c r="G490">
        <v>90.53</v>
      </c>
      <c r="H490">
        <v>3</v>
      </c>
      <c r="I490" s="3">
        <f>CLIENTS_CHURN[[#This Row],[Anciennete_Mois]]/12</f>
        <v>2.1666666666666665</v>
      </c>
      <c r="J490" s="3">
        <f>CLIENTS_CHURN[[#This Row],[Duree_Cumulee_Panne_Min]]/60</f>
        <v>2.9</v>
      </c>
    </row>
    <row r="491" spans="1:10" x14ac:dyDescent="0.35">
      <c r="A491" s="3" t="s">
        <v>32</v>
      </c>
      <c r="B491" t="s">
        <v>672</v>
      </c>
      <c r="C491" t="s">
        <v>19</v>
      </c>
      <c r="D491">
        <v>18</v>
      </c>
      <c r="E491" t="s">
        <v>17</v>
      </c>
      <c r="F491">
        <v>34</v>
      </c>
      <c r="G491">
        <v>43.71</v>
      </c>
      <c r="H491">
        <v>1</v>
      </c>
      <c r="I491" s="3">
        <f>CLIENTS_CHURN[[#This Row],[Anciennete_Mois]]/12</f>
        <v>1.5</v>
      </c>
      <c r="J491" s="3">
        <f>CLIENTS_CHURN[[#This Row],[Duree_Cumulee_Panne_Min]]/60</f>
        <v>0.56666666666666665</v>
      </c>
    </row>
    <row r="492" spans="1:10" x14ac:dyDescent="0.35">
      <c r="A492" s="3" t="s">
        <v>14</v>
      </c>
      <c r="B492" t="s">
        <v>18</v>
      </c>
      <c r="C492" t="s">
        <v>19</v>
      </c>
      <c r="D492">
        <v>2</v>
      </c>
      <c r="E492" t="s">
        <v>20</v>
      </c>
      <c r="F492">
        <v>496</v>
      </c>
      <c r="G492">
        <v>15.71</v>
      </c>
      <c r="H492">
        <v>3</v>
      </c>
      <c r="I492" s="3">
        <f>CLIENTS_CHURN[[#This Row],[Anciennete_Mois]]/12</f>
        <v>0.16666666666666666</v>
      </c>
      <c r="J492" s="3">
        <f>CLIENTS_CHURN[[#This Row],[Duree_Cumulee_Panne_Min]]/60</f>
        <v>8.2666666666666675</v>
      </c>
    </row>
    <row r="493" spans="1:10" x14ac:dyDescent="0.35">
      <c r="A493" s="3" t="s">
        <v>14</v>
      </c>
      <c r="B493" t="s">
        <v>416</v>
      </c>
      <c r="C493" t="s">
        <v>19</v>
      </c>
      <c r="D493">
        <v>51</v>
      </c>
      <c r="E493" t="s">
        <v>13</v>
      </c>
      <c r="F493">
        <v>222</v>
      </c>
      <c r="G493">
        <v>18.95</v>
      </c>
      <c r="H493">
        <v>4</v>
      </c>
      <c r="I493" s="3">
        <f>CLIENTS_CHURN[[#This Row],[Anciennete_Mois]]/12</f>
        <v>4.25</v>
      </c>
      <c r="J493" s="3">
        <f>CLIENTS_CHURN[[#This Row],[Duree_Cumulee_Panne_Min]]/60</f>
        <v>3.7</v>
      </c>
    </row>
    <row r="494" spans="1:10" x14ac:dyDescent="0.35">
      <c r="A494" s="3" t="s">
        <v>14</v>
      </c>
      <c r="B494" t="s">
        <v>596</v>
      </c>
      <c r="C494" t="s">
        <v>19</v>
      </c>
      <c r="D494">
        <v>102</v>
      </c>
      <c r="E494" t="s">
        <v>31</v>
      </c>
      <c r="F494">
        <v>91</v>
      </c>
      <c r="G494">
        <v>34.64</v>
      </c>
      <c r="H494">
        <v>2</v>
      </c>
      <c r="I494" s="3">
        <f>CLIENTS_CHURN[[#This Row],[Anciennete_Mois]]/12</f>
        <v>8.5</v>
      </c>
      <c r="J494" s="3">
        <f>CLIENTS_CHURN[[#This Row],[Duree_Cumulee_Panne_Min]]/60</f>
        <v>1.5166666666666666</v>
      </c>
    </row>
    <row r="495" spans="1:10" x14ac:dyDescent="0.35">
      <c r="A495" s="3" t="s">
        <v>14</v>
      </c>
      <c r="B495" t="s">
        <v>458</v>
      </c>
      <c r="C495" t="s">
        <v>19</v>
      </c>
      <c r="D495">
        <v>76</v>
      </c>
      <c r="E495" t="s">
        <v>31</v>
      </c>
      <c r="F495">
        <v>192</v>
      </c>
      <c r="G495">
        <v>68.53</v>
      </c>
      <c r="H495">
        <v>0</v>
      </c>
      <c r="I495" s="3">
        <f>CLIENTS_CHURN[[#This Row],[Anciennete_Mois]]/12</f>
        <v>6.333333333333333</v>
      </c>
      <c r="J495" s="3">
        <f>CLIENTS_CHURN[[#This Row],[Duree_Cumulee_Panne_Min]]/60</f>
        <v>3.2</v>
      </c>
    </row>
    <row r="496" spans="1:10" x14ac:dyDescent="0.35">
      <c r="A496" s="3" t="s">
        <v>21</v>
      </c>
      <c r="B496" t="s">
        <v>1483</v>
      </c>
      <c r="C496" t="s">
        <v>19</v>
      </c>
      <c r="D496">
        <v>49</v>
      </c>
      <c r="E496" t="s">
        <v>17</v>
      </c>
      <c r="F496">
        <v>86</v>
      </c>
      <c r="G496">
        <v>65.400000000000006</v>
      </c>
      <c r="H496">
        <v>2</v>
      </c>
      <c r="I496" s="3">
        <f>CLIENTS_CHURN[[#This Row],[Anciennete_Mois]]/12</f>
        <v>4.083333333333333</v>
      </c>
      <c r="J496" s="3">
        <f>CLIENTS_CHURN[[#This Row],[Duree_Cumulee_Panne_Min]]/60</f>
        <v>1.4333333333333333</v>
      </c>
    </row>
    <row r="497" spans="1:10" x14ac:dyDescent="0.35">
      <c r="A497" s="3" t="s">
        <v>21</v>
      </c>
      <c r="B497" t="s">
        <v>147</v>
      </c>
      <c r="C497" t="s">
        <v>19</v>
      </c>
      <c r="D497">
        <v>106</v>
      </c>
      <c r="E497" t="s">
        <v>20</v>
      </c>
      <c r="F497">
        <v>429</v>
      </c>
      <c r="G497">
        <v>23.83</v>
      </c>
      <c r="H497">
        <v>1</v>
      </c>
      <c r="I497" s="3">
        <f>CLIENTS_CHURN[[#This Row],[Anciennete_Mois]]/12</f>
        <v>8.8333333333333339</v>
      </c>
      <c r="J497" s="3">
        <f>CLIENTS_CHURN[[#This Row],[Duree_Cumulee_Panne_Min]]/60</f>
        <v>7.15</v>
      </c>
    </row>
    <row r="498" spans="1:10" x14ac:dyDescent="0.35">
      <c r="A498" s="3" t="s">
        <v>21</v>
      </c>
      <c r="B498" t="s">
        <v>358</v>
      </c>
      <c r="C498" t="s">
        <v>19</v>
      </c>
      <c r="D498">
        <v>23</v>
      </c>
      <c r="E498" t="s">
        <v>13</v>
      </c>
      <c r="F498">
        <v>268</v>
      </c>
      <c r="G498">
        <v>26.75</v>
      </c>
      <c r="H498">
        <v>3</v>
      </c>
      <c r="I498" s="3">
        <f>CLIENTS_CHURN[[#This Row],[Anciennete_Mois]]/12</f>
        <v>1.9166666666666667</v>
      </c>
      <c r="J498" s="3">
        <f>CLIENTS_CHURN[[#This Row],[Duree_Cumulee_Panne_Min]]/60</f>
        <v>4.4666666666666668</v>
      </c>
    </row>
    <row r="499" spans="1:10" x14ac:dyDescent="0.35">
      <c r="A499" s="3" t="s">
        <v>21</v>
      </c>
      <c r="B499" t="s">
        <v>261</v>
      </c>
      <c r="C499" t="s">
        <v>19</v>
      </c>
      <c r="D499">
        <v>117</v>
      </c>
      <c r="E499" t="s">
        <v>17</v>
      </c>
      <c r="F499">
        <v>338</v>
      </c>
      <c r="G499">
        <v>29.18</v>
      </c>
      <c r="H499">
        <v>5</v>
      </c>
      <c r="I499" s="3">
        <f>CLIENTS_CHURN[[#This Row],[Anciennete_Mois]]/12</f>
        <v>9.75</v>
      </c>
      <c r="J499" s="3">
        <f>CLIENTS_CHURN[[#This Row],[Duree_Cumulee_Panne_Min]]/60</f>
        <v>5.6333333333333337</v>
      </c>
    </row>
    <row r="500" spans="1:10" x14ac:dyDescent="0.35">
      <c r="A500" s="3" t="s">
        <v>21</v>
      </c>
      <c r="B500" t="s">
        <v>118</v>
      </c>
      <c r="C500" t="s">
        <v>19</v>
      </c>
      <c r="D500">
        <v>119</v>
      </c>
      <c r="E500" t="s">
        <v>20</v>
      </c>
      <c r="F500">
        <v>451</v>
      </c>
      <c r="G500">
        <v>10.46</v>
      </c>
      <c r="H500">
        <v>5</v>
      </c>
      <c r="I500" s="3">
        <f>CLIENTS_CHURN[[#This Row],[Anciennete_Mois]]/12</f>
        <v>9.9166666666666661</v>
      </c>
      <c r="J500" s="3">
        <f>CLIENTS_CHURN[[#This Row],[Duree_Cumulee_Panne_Min]]/60</f>
        <v>7.5166666666666666</v>
      </c>
    </row>
    <row r="501" spans="1:10" x14ac:dyDescent="0.35">
      <c r="A501" s="3" t="s">
        <v>21</v>
      </c>
      <c r="B501" t="s">
        <v>1486</v>
      </c>
      <c r="C501" t="s">
        <v>19</v>
      </c>
      <c r="D501">
        <v>95</v>
      </c>
      <c r="E501" t="s">
        <v>13</v>
      </c>
      <c r="F501">
        <v>148</v>
      </c>
      <c r="G501" t="s">
        <v>1487</v>
      </c>
      <c r="H501">
        <v>5</v>
      </c>
      <c r="I501" s="3">
        <f>CLIENTS_CHURN[[#This Row],[Anciennete_Mois]]/12</f>
        <v>7.916666666666667</v>
      </c>
      <c r="J501" s="3">
        <f>CLIENTS_CHURN[[#This Row],[Duree_Cumulee_Panne_Min]]/60</f>
        <v>2.4666666666666668</v>
      </c>
    </row>
    <row r="502" spans="1:10" x14ac:dyDescent="0.35">
      <c r="A502" s="3" t="s">
        <v>61</v>
      </c>
      <c r="B502" t="s">
        <v>139</v>
      </c>
      <c r="C502" t="s">
        <v>19</v>
      </c>
      <c r="D502">
        <v>42</v>
      </c>
      <c r="E502" t="s">
        <v>31</v>
      </c>
      <c r="F502">
        <v>436</v>
      </c>
      <c r="G502">
        <v>88.12</v>
      </c>
      <c r="H502">
        <v>0</v>
      </c>
      <c r="I502" s="3">
        <f>CLIENTS_CHURN[[#This Row],[Anciennete_Mois]]/12</f>
        <v>3.5</v>
      </c>
      <c r="J502" s="3">
        <f>CLIENTS_CHURN[[#This Row],[Duree_Cumulee_Panne_Min]]/60</f>
        <v>7.2666666666666666</v>
      </c>
    </row>
    <row r="503" spans="1:10" x14ac:dyDescent="0.35">
      <c r="A503" s="3" t="s">
        <v>61</v>
      </c>
      <c r="B503" t="s">
        <v>503</v>
      </c>
      <c r="C503" t="s">
        <v>19</v>
      </c>
      <c r="D503">
        <v>96</v>
      </c>
      <c r="E503" t="s">
        <v>17</v>
      </c>
      <c r="F503">
        <v>155</v>
      </c>
      <c r="G503">
        <v>69.16</v>
      </c>
      <c r="H503">
        <v>4</v>
      </c>
      <c r="I503" s="3">
        <f>CLIENTS_CHURN[[#This Row],[Anciennete_Mois]]/12</f>
        <v>8</v>
      </c>
      <c r="J503" s="3">
        <f>CLIENTS_CHURN[[#This Row],[Duree_Cumulee_Panne_Min]]/60</f>
        <v>2.5833333333333335</v>
      </c>
    </row>
    <row r="504" spans="1:10" x14ac:dyDescent="0.35">
      <c r="A504" s="3" t="s">
        <v>61</v>
      </c>
      <c r="B504" t="s">
        <v>523</v>
      </c>
      <c r="C504" t="s">
        <v>19</v>
      </c>
      <c r="D504">
        <v>99</v>
      </c>
      <c r="E504" t="s">
        <v>20</v>
      </c>
      <c r="F504">
        <v>138</v>
      </c>
      <c r="G504">
        <v>54.64</v>
      </c>
      <c r="H504">
        <v>5</v>
      </c>
      <c r="I504" s="3">
        <f>CLIENTS_CHURN[[#This Row],[Anciennete_Mois]]/12</f>
        <v>8.25</v>
      </c>
      <c r="J504" s="3">
        <f>CLIENTS_CHURN[[#This Row],[Duree_Cumulee_Panne_Min]]/60</f>
        <v>2.2999999999999998</v>
      </c>
    </row>
    <row r="505" spans="1:10" x14ac:dyDescent="0.35">
      <c r="A505" s="3" t="s">
        <v>51</v>
      </c>
      <c r="B505" t="s">
        <v>1497</v>
      </c>
      <c r="C505" t="s">
        <v>19</v>
      </c>
      <c r="D505">
        <v>104</v>
      </c>
      <c r="E505" t="s">
        <v>20</v>
      </c>
      <c r="F505">
        <v>125</v>
      </c>
      <c r="G505">
        <v>29.7</v>
      </c>
      <c r="H505">
        <v>2</v>
      </c>
      <c r="I505" s="3">
        <f>CLIENTS_CHURN[[#This Row],[Anciennete_Mois]]/12</f>
        <v>8.6666666666666661</v>
      </c>
      <c r="J505" s="3">
        <f>CLIENTS_CHURN[[#This Row],[Duree_Cumulee_Panne_Min]]/60</f>
        <v>2.0833333333333335</v>
      </c>
    </row>
    <row r="506" spans="1:10" x14ac:dyDescent="0.35">
      <c r="A506" s="3" t="s">
        <v>51</v>
      </c>
      <c r="B506" t="s">
        <v>237</v>
      </c>
      <c r="C506" t="s">
        <v>19</v>
      </c>
      <c r="D506">
        <v>87</v>
      </c>
      <c r="E506" t="s">
        <v>13</v>
      </c>
      <c r="F506">
        <v>356</v>
      </c>
      <c r="G506">
        <v>12.89</v>
      </c>
      <c r="H506">
        <v>0</v>
      </c>
      <c r="I506" s="3">
        <f>CLIENTS_CHURN[[#This Row],[Anciennete_Mois]]/12</f>
        <v>7.25</v>
      </c>
      <c r="J506" s="3">
        <f>CLIENTS_CHURN[[#This Row],[Duree_Cumulee_Panne_Min]]/60</f>
        <v>5.9333333333333336</v>
      </c>
    </row>
    <row r="507" spans="1:10" x14ac:dyDescent="0.35">
      <c r="A507" s="3" t="s">
        <v>28</v>
      </c>
      <c r="B507" t="s">
        <v>686</v>
      </c>
      <c r="C507" t="s">
        <v>19</v>
      </c>
      <c r="D507">
        <v>120</v>
      </c>
      <c r="E507" t="s">
        <v>31</v>
      </c>
      <c r="F507">
        <v>27</v>
      </c>
      <c r="G507">
        <v>24.46</v>
      </c>
      <c r="H507">
        <v>3</v>
      </c>
      <c r="I507" s="3">
        <f>CLIENTS_CHURN[[#This Row],[Anciennete_Mois]]/12</f>
        <v>10</v>
      </c>
      <c r="J507" s="3">
        <f>CLIENTS_CHURN[[#This Row],[Duree_Cumulee_Panne_Min]]/60</f>
        <v>0.45</v>
      </c>
    </row>
    <row r="508" spans="1:10" x14ac:dyDescent="0.35">
      <c r="A508" s="3" t="s">
        <v>28</v>
      </c>
      <c r="B508" t="s">
        <v>106</v>
      </c>
      <c r="C508" t="s">
        <v>19</v>
      </c>
      <c r="D508">
        <v>80</v>
      </c>
      <c r="E508" t="s">
        <v>20</v>
      </c>
      <c r="F508">
        <v>458</v>
      </c>
      <c r="G508">
        <v>98.11</v>
      </c>
      <c r="H508">
        <v>0</v>
      </c>
      <c r="I508" s="3">
        <f>CLIENTS_CHURN[[#This Row],[Anciennete_Mois]]/12</f>
        <v>6.666666666666667</v>
      </c>
      <c r="J508" s="3">
        <f>CLIENTS_CHURN[[#This Row],[Duree_Cumulee_Panne_Min]]/60</f>
        <v>7.6333333333333337</v>
      </c>
    </row>
    <row r="509" spans="1:10" x14ac:dyDescent="0.35">
      <c r="A509" s="3" t="s">
        <v>28</v>
      </c>
      <c r="B509" t="s">
        <v>538</v>
      </c>
      <c r="C509" t="s">
        <v>19</v>
      </c>
      <c r="D509">
        <v>10</v>
      </c>
      <c r="E509" t="s">
        <v>20</v>
      </c>
      <c r="F509">
        <v>129</v>
      </c>
      <c r="G509">
        <v>70.12</v>
      </c>
      <c r="H509">
        <v>0</v>
      </c>
      <c r="I509" s="3">
        <f>CLIENTS_CHURN[[#This Row],[Anciennete_Mois]]/12</f>
        <v>0.83333333333333337</v>
      </c>
      <c r="J509" s="3">
        <f>CLIENTS_CHURN[[#This Row],[Duree_Cumulee_Panne_Min]]/60</f>
        <v>2.15</v>
      </c>
    </row>
    <row r="510" spans="1:10" x14ac:dyDescent="0.35">
      <c r="A510" s="3" t="s">
        <v>10</v>
      </c>
      <c r="B510" t="s">
        <v>478</v>
      </c>
      <c r="C510" t="s">
        <v>19</v>
      </c>
      <c r="D510">
        <v>50</v>
      </c>
      <c r="E510" t="s">
        <v>17</v>
      </c>
      <c r="F510">
        <v>177</v>
      </c>
      <c r="G510">
        <v>74.569999999999993</v>
      </c>
      <c r="H510">
        <v>4</v>
      </c>
      <c r="I510" s="3">
        <f>CLIENTS_CHURN[[#This Row],[Anciennete_Mois]]/12</f>
        <v>4.166666666666667</v>
      </c>
      <c r="J510" s="3">
        <f>CLIENTS_CHURN[[#This Row],[Duree_Cumulee_Panne_Min]]/60</f>
        <v>2.95</v>
      </c>
    </row>
    <row r="511" spans="1:10" x14ac:dyDescent="0.35">
      <c r="A511" s="3" t="s">
        <v>74</v>
      </c>
      <c r="B511" t="s">
        <v>75</v>
      </c>
      <c r="C511" t="s">
        <v>19</v>
      </c>
      <c r="D511">
        <v>119</v>
      </c>
      <c r="E511" t="s">
        <v>17</v>
      </c>
      <c r="F511">
        <v>475</v>
      </c>
      <c r="G511">
        <v>25.98</v>
      </c>
      <c r="H511">
        <v>4</v>
      </c>
      <c r="I511" s="3">
        <f>CLIENTS_CHURN[[#This Row],[Anciennete_Mois]]/12</f>
        <v>9.9166666666666661</v>
      </c>
      <c r="J511" s="3">
        <f>CLIENTS_CHURN[[#This Row],[Duree_Cumulee_Panne_Min]]/60</f>
        <v>7.916666666666667</v>
      </c>
    </row>
    <row r="512" spans="1:10" x14ac:dyDescent="0.35">
      <c r="A512" s="3" t="s">
        <v>74</v>
      </c>
      <c r="B512" t="s">
        <v>354</v>
      </c>
      <c r="C512" t="s">
        <v>19</v>
      </c>
      <c r="D512">
        <v>105</v>
      </c>
      <c r="E512" t="s">
        <v>17</v>
      </c>
      <c r="F512">
        <v>271</v>
      </c>
      <c r="G512">
        <v>45.27</v>
      </c>
      <c r="H512">
        <v>2</v>
      </c>
      <c r="I512" s="3">
        <f>CLIENTS_CHURN[[#This Row],[Anciennete_Mois]]/12</f>
        <v>8.75</v>
      </c>
      <c r="J512" s="3">
        <f>CLIENTS_CHURN[[#This Row],[Duree_Cumulee_Panne_Min]]/60</f>
        <v>4.5166666666666666</v>
      </c>
    </row>
    <row r="513" spans="1:10" x14ac:dyDescent="0.35">
      <c r="A513" s="3" t="s">
        <v>74</v>
      </c>
      <c r="B513" t="s">
        <v>124</v>
      </c>
      <c r="C513" t="s">
        <v>19</v>
      </c>
      <c r="D513">
        <v>42</v>
      </c>
      <c r="E513" t="s">
        <v>31</v>
      </c>
      <c r="F513">
        <v>448</v>
      </c>
      <c r="G513">
        <v>49.02</v>
      </c>
      <c r="H513">
        <v>0</v>
      </c>
      <c r="I513" s="3">
        <f>CLIENTS_CHURN[[#This Row],[Anciennete_Mois]]/12</f>
        <v>3.5</v>
      </c>
      <c r="J513" s="3">
        <f>CLIENTS_CHURN[[#This Row],[Duree_Cumulee_Panne_Min]]/60</f>
        <v>7.4666666666666668</v>
      </c>
    </row>
    <row r="514" spans="1:10" x14ac:dyDescent="0.35">
      <c r="A514" s="3" t="s">
        <v>100</v>
      </c>
      <c r="B514" t="s">
        <v>514</v>
      </c>
      <c r="C514" t="s">
        <v>19</v>
      </c>
      <c r="D514">
        <v>37</v>
      </c>
      <c r="E514" t="s">
        <v>20</v>
      </c>
      <c r="F514">
        <v>150</v>
      </c>
      <c r="G514">
        <v>37.979999999999997</v>
      </c>
      <c r="H514">
        <v>4</v>
      </c>
      <c r="I514" s="3">
        <f>CLIENTS_CHURN[[#This Row],[Anciennete_Mois]]/12</f>
        <v>3.0833333333333335</v>
      </c>
      <c r="J514" s="3">
        <f>CLIENTS_CHURN[[#This Row],[Duree_Cumulee_Panne_Min]]/60</f>
        <v>2.5</v>
      </c>
    </row>
    <row r="515" spans="1:10" x14ac:dyDescent="0.35">
      <c r="A515" s="3" t="s">
        <v>100</v>
      </c>
      <c r="B515" t="s">
        <v>145</v>
      </c>
      <c r="C515" t="s">
        <v>19</v>
      </c>
      <c r="D515">
        <v>38</v>
      </c>
      <c r="E515" t="s">
        <v>13</v>
      </c>
      <c r="F515">
        <v>432</v>
      </c>
      <c r="G515">
        <v>53.65</v>
      </c>
      <c r="H515">
        <v>4</v>
      </c>
      <c r="I515" s="3">
        <f>CLIENTS_CHURN[[#This Row],[Anciennete_Mois]]/12</f>
        <v>3.1666666666666665</v>
      </c>
      <c r="J515" s="3">
        <f>CLIENTS_CHURN[[#This Row],[Duree_Cumulee_Panne_Min]]/60</f>
        <v>7.2</v>
      </c>
    </row>
    <row r="516" spans="1:10" x14ac:dyDescent="0.35">
      <c r="A516" s="3" t="s">
        <v>45</v>
      </c>
      <c r="B516" t="s">
        <v>577</v>
      </c>
      <c r="C516" t="s">
        <v>19</v>
      </c>
      <c r="D516">
        <v>9</v>
      </c>
      <c r="E516" t="s">
        <v>17</v>
      </c>
      <c r="F516">
        <v>102</v>
      </c>
      <c r="G516">
        <v>41.52</v>
      </c>
      <c r="H516">
        <v>0</v>
      </c>
      <c r="I516" s="3">
        <f>CLIENTS_CHURN[[#This Row],[Anciennete_Mois]]/12</f>
        <v>0.75</v>
      </c>
      <c r="J516" s="3">
        <f>CLIENTS_CHURN[[#This Row],[Duree_Cumulee_Panne_Min]]/60</f>
        <v>1.7</v>
      </c>
    </row>
    <row r="517" spans="1:10" x14ac:dyDescent="0.35">
      <c r="A517" s="3" t="s">
        <v>25</v>
      </c>
      <c r="B517" t="s">
        <v>189</v>
      </c>
      <c r="C517" t="s">
        <v>41</v>
      </c>
      <c r="D517">
        <v>16</v>
      </c>
      <c r="E517" t="s">
        <v>31</v>
      </c>
      <c r="F517">
        <v>390</v>
      </c>
      <c r="G517">
        <v>98.17</v>
      </c>
      <c r="H517">
        <v>5</v>
      </c>
      <c r="I517" s="3">
        <f>CLIENTS_CHURN[[#This Row],[Anciennete_Mois]]/12</f>
        <v>1.3333333333333333</v>
      </c>
      <c r="J517" s="3">
        <f>CLIENTS_CHURN[[#This Row],[Duree_Cumulee_Panne_Min]]/60</f>
        <v>6.5</v>
      </c>
    </row>
    <row r="518" spans="1:10" x14ac:dyDescent="0.35">
      <c r="A518" s="3" t="s">
        <v>69</v>
      </c>
      <c r="B518" t="s">
        <v>271</v>
      </c>
      <c r="C518" t="s">
        <v>41</v>
      </c>
      <c r="D518">
        <v>56</v>
      </c>
      <c r="E518" t="s">
        <v>31</v>
      </c>
      <c r="F518">
        <v>333</v>
      </c>
      <c r="G518">
        <v>23.01</v>
      </c>
      <c r="H518">
        <v>2</v>
      </c>
      <c r="I518" s="3">
        <f>CLIENTS_CHURN[[#This Row],[Anciennete_Mois]]/12</f>
        <v>4.666666666666667</v>
      </c>
      <c r="J518" s="3">
        <f>CLIENTS_CHURN[[#This Row],[Duree_Cumulee_Panne_Min]]/60</f>
        <v>5.55</v>
      </c>
    </row>
    <row r="519" spans="1:10" x14ac:dyDescent="0.35">
      <c r="A519" s="3" t="s">
        <v>39</v>
      </c>
      <c r="B519" t="s">
        <v>40</v>
      </c>
      <c r="C519" t="s">
        <v>41</v>
      </c>
      <c r="D519">
        <v>92</v>
      </c>
      <c r="E519" t="s">
        <v>20</v>
      </c>
      <c r="F519">
        <v>487</v>
      </c>
      <c r="G519">
        <v>58.38</v>
      </c>
      <c r="H519">
        <v>1</v>
      </c>
      <c r="I519" s="3">
        <f>CLIENTS_CHURN[[#This Row],[Anciennete_Mois]]/12</f>
        <v>7.666666666666667</v>
      </c>
      <c r="J519" s="3">
        <f>CLIENTS_CHURN[[#This Row],[Duree_Cumulee_Panne_Min]]/60</f>
        <v>8.1166666666666671</v>
      </c>
    </row>
    <row r="520" spans="1:10" x14ac:dyDescent="0.35">
      <c r="A520" s="3" t="s">
        <v>39</v>
      </c>
      <c r="B520" t="s">
        <v>619</v>
      </c>
      <c r="C520" t="s">
        <v>41</v>
      </c>
      <c r="D520">
        <v>18</v>
      </c>
      <c r="E520" t="s">
        <v>20</v>
      </c>
      <c r="F520">
        <v>71</v>
      </c>
      <c r="G520">
        <v>46.98</v>
      </c>
      <c r="H520">
        <v>2</v>
      </c>
      <c r="I520" s="3">
        <f>CLIENTS_CHURN[[#This Row],[Anciennete_Mois]]/12</f>
        <v>1.5</v>
      </c>
      <c r="J520" s="3">
        <f>CLIENTS_CHURN[[#This Row],[Duree_Cumulee_Panne_Min]]/60</f>
        <v>1.1833333333333333</v>
      </c>
    </row>
    <row r="521" spans="1:10" x14ac:dyDescent="0.35">
      <c r="A521" s="3" t="s">
        <v>32</v>
      </c>
      <c r="B521" t="s">
        <v>553</v>
      </c>
      <c r="C521" t="s">
        <v>41</v>
      </c>
      <c r="D521">
        <v>65</v>
      </c>
      <c r="E521" t="s">
        <v>31</v>
      </c>
      <c r="F521">
        <v>118</v>
      </c>
      <c r="G521">
        <v>72.430000000000007</v>
      </c>
      <c r="H521">
        <v>1</v>
      </c>
      <c r="I521" s="3">
        <f>CLIENTS_CHURN[[#This Row],[Anciennete_Mois]]/12</f>
        <v>5.416666666666667</v>
      </c>
      <c r="J521" s="3">
        <f>CLIENTS_CHURN[[#This Row],[Duree_Cumulee_Panne_Min]]/60</f>
        <v>1.9666666666666666</v>
      </c>
    </row>
    <row r="522" spans="1:10" x14ac:dyDescent="0.35">
      <c r="A522" s="3" t="s">
        <v>32</v>
      </c>
      <c r="B522" t="s">
        <v>161</v>
      </c>
      <c r="C522" t="s">
        <v>41</v>
      </c>
      <c r="D522">
        <v>5</v>
      </c>
      <c r="E522" t="s">
        <v>13</v>
      </c>
      <c r="F522">
        <v>417</v>
      </c>
      <c r="G522">
        <v>90.71</v>
      </c>
      <c r="H522">
        <v>1</v>
      </c>
      <c r="I522" s="3">
        <f>CLIENTS_CHURN[[#This Row],[Anciennete_Mois]]/12</f>
        <v>0.41666666666666669</v>
      </c>
      <c r="J522" s="3">
        <f>CLIENTS_CHURN[[#This Row],[Duree_Cumulee_Panne_Min]]/60</f>
        <v>6.95</v>
      </c>
    </row>
    <row r="523" spans="1:10" x14ac:dyDescent="0.35">
      <c r="A523" s="3" t="s">
        <v>32</v>
      </c>
      <c r="B523" t="s">
        <v>449</v>
      </c>
      <c r="C523" t="s">
        <v>41</v>
      </c>
      <c r="D523">
        <v>44</v>
      </c>
      <c r="E523" t="s">
        <v>31</v>
      </c>
      <c r="F523">
        <v>199</v>
      </c>
      <c r="G523">
        <v>67.650000000000006</v>
      </c>
      <c r="H523">
        <v>0</v>
      </c>
      <c r="I523" s="3">
        <f>CLIENTS_CHURN[[#This Row],[Anciennete_Mois]]/12</f>
        <v>3.6666666666666665</v>
      </c>
      <c r="J523" s="3">
        <f>CLIENTS_CHURN[[#This Row],[Duree_Cumulee_Panne_Min]]/60</f>
        <v>3.3166666666666669</v>
      </c>
    </row>
    <row r="524" spans="1:10" x14ac:dyDescent="0.35">
      <c r="A524" s="3" t="s">
        <v>35</v>
      </c>
      <c r="B524" t="s">
        <v>533</v>
      </c>
      <c r="C524" t="s">
        <v>41</v>
      </c>
      <c r="D524">
        <v>118</v>
      </c>
      <c r="E524" t="s">
        <v>20</v>
      </c>
      <c r="F524">
        <v>132</v>
      </c>
      <c r="G524">
        <v>40.880000000000003</v>
      </c>
      <c r="H524">
        <v>4</v>
      </c>
      <c r="I524" s="3">
        <f>CLIENTS_CHURN[[#This Row],[Anciennete_Mois]]/12</f>
        <v>9.8333333333333339</v>
      </c>
      <c r="J524" s="3">
        <f>CLIENTS_CHURN[[#This Row],[Duree_Cumulee_Panne_Min]]/60</f>
        <v>2.2000000000000002</v>
      </c>
    </row>
    <row r="525" spans="1:10" x14ac:dyDescent="0.35">
      <c r="A525" s="3" t="s">
        <v>35</v>
      </c>
      <c r="B525" t="s">
        <v>666</v>
      </c>
      <c r="C525" t="s">
        <v>41</v>
      </c>
      <c r="D525">
        <v>97</v>
      </c>
      <c r="E525" t="s">
        <v>31</v>
      </c>
      <c r="F525">
        <v>40</v>
      </c>
      <c r="G525">
        <v>85.19</v>
      </c>
      <c r="H525">
        <v>1</v>
      </c>
      <c r="I525" s="3">
        <f>CLIENTS_CHURN[[#This Row],[Anciennete_Mois]]/12</f>
        <v>8.0833333333333339</v>
      </c>
      <c r="J525" s="3">
        <f>CLIENTS_CHURN[[#This Row],[Duree_Cumulee_Panne_Min]]/60</f>
        <v>0.66666666666666663</v>
      </c>
    </row>
    <row r="526" spans="1:10" x14ac:dyDescent="0.35">
      <c r="A526" s="3" t="s">
        <v>35</v>
      </c>
      <c r="B526" t="s">
        <v>653</v>
      </c>
      <c r="C526" t="s">
        <v>41</v>
      </c>
      <c r="D526">
        <v>4</v>
      </c>
      <c r="E526" t="s">
        <v>20</v>
      </c>
      <c r="F526">
        <v>49</v>
      </c>
      <c r="G526">
        <v>41.35</v>
      </c>
      <c r="H526">
        <v>5</v>
      </c>
      <c r="I526" s="3">
        <f>CLIENTS_CHURN[[#This Row],[Anciennete_Mois]]/12</f>
        <v>0.33333333333333331</v>
      </c>
      <c r="J526" s="3">
        <f>CLIENTS_CHURN[[#This Row],[Duree_Cumulee_Panne_Min]]/60</f>
        <v>0.81666666666666665</v>
      </c>
    </row>
    <row r="527" spans="1:10" x14ac:dyDescent="0.35">
      <c r="A527" s="3" t="s">
        <v>35</v>
      </c>
      <c r="B527" t="s">
        <v>1476</v>
      </c>
      <c r="C527" t="s">
        <v>41</v>
      </c>
      <c r="D527">
        <v>63</v>
      </c>
      <c r="E527" t="s">
        <v>20</v>
      </c>
      <c r="F527">
        <v>141</v>
      </c>
      <c r="G527">
        <v>95.6</v>
      </c>
      <c r="H527">
        <v>4</v>
      </c>
      <c r="I527" s="3">
        <f>CLIENTS_CHURN[[#This Row],[Anciennete_Mois]]/12</f>
        <v>5.25</v>
      </c>
      <c r="J527" s="3">
        <f>CLIENTS_CHURN[[#This Row],[Duree_Cumulee_Panne_Min]]/60</f>
        <v>2.35</v>
      </c>
    </row>
    <row r="528" spans="1:10" x14ac:dyDescent="0.35">
      <c r="A528" s="3" t="s">
        <v>35</v>
      </c>
      <c r="B528" t="s">
        <v>173</v>
      </c>
      <c r="C528" t="s">
        <v>41</v>
      </c>
      <c r="D528">
        <v>91</v>
      </c>
      <c r="E528" t="s">
        <v>17</v>
      </c>
      <c r="F528">
        <v>404</v>
      </c>
      <c r="G528">
        <v>76.53</v>
      </c>
      <c r="H528">
        <v>5</v>
      </c>
      <c r="I528" s="3">
        <f>CLIENTS_CHURN[[#This Row],[Anciennete_Mois]]/12</f>
        <v>7.583333333333333</v>
      </c>
      <c r="J528" s="3">
        <f>CLIENTS_CHURN[[#This Row],[Duree_Cumulee_Panne_Min]]/60</f>
        <v>6.7333333333333334</v>
      </c>
    </row>
    <row r="529" spans="1:10" x14ac:dyDescent="0.35">
      <c r="A529" s="3" t="s">
        <v>14</v>
      </c>
      <c r="B529" t="s">
        <v>263</v>
      </c>
      <c r="C529" t="s">
        <v>41</v>
      </c>
      <c r="D529">
        <v>5</v>
      </c>
      <c r="E529" t="s">
        <v>17</v>
      </c>
      <c r="F529">
        <v>337</v>
      </c>
      <c r="G529">
        <v>21.07</v>
      </c>
      <c r="H529">
        <v>4</v>
      </c>
      <c r="I529" s="3">
        <f>CLIENTS_CHURN[[#This Row],[Anciennete_Mois]]/12</f>
        <v>0.41666666666666669</v>
      </c>
      <c r="J529" s="3">
        <f>CLIENTS_CHURN[[#This Row],[Duree_Cumulee_Panne_Min]]/60</f>
        <v>5.6166666666666663</v>
      </c>
    </row>
    <row r="530" spans="1:10" x14ac:dyDescent="0.35">
      <c r="A530" s="3" t="s">
        <v>14</v>
      </c>
      <c r="B530" t="s">
        <v>692</v>
      </c>
      <c r="C530" t="s">
        <v>41</v>
      </c>
      <c r="D530">
        <v>67</v>
      </c>
      <c r="E530" t="s">
        <v>20</v>
      </c>
      <c r="F530">
        <v>26</v>
      </c>
      <c r="G530">
        <v>81.489999999999995</v>
      </c>
      <c r="H530">
        <v>4</v>
      </c>
      <c r="I530" s="3">
        <f>CLIENTS_CHURN[[#This Row],[Anciennete_Mois]]/12</f>
        <v>5.583333333333333</v>
      </c>
      <c r="J530" s="3">
        <f>CLIENTS_CHURN[[#This Row],[Duree_Cumulee_Panne_Min]]/60</f>
        <v>0.43333333333333335</v>
      </c>
    </row>
    <row r="531" spans="1:10" x14ac:dyDescent="0.35">
      <c r="A531" s="3" t="s">
        <v>14</v>
      </c>
      <c r="B531" t="s">
        <v>317</v>
      </c>
      <c r="C531" t="s">
        <v>41</v>
      </c>
      <c r="D531">
        <v>14</v>
      </c>
      <c r="E531" t="s">
        <v>20</v>
      </c>
      <c r="F531">
        <v>303</v>
      </c>
      <c r="G531">
        <v>61.43</v>
      </c>
      <c r="H531">
        <v>1</v>
      </c>
      <c r="I531" s="3">
        <f>CLIENTS_CHURN[[#This Row],[Anciennete_Mois]]/12</f>
        <v>1.1666666666666667</v>
      </c>
      <c r="J531" s="3">
        <f>CLIENTS_CHURN[[#This Row],[Duree_Cumulee_Panne_Min]]/60</f>
        <v>5.05</v>
      </c>
    </row>
    <row r="532" spans="1:10" x14ac:dyDescent="0.35">
      <c r="A532" s="3" t="s">
        <v>21</v>
      </c>
      <c r="B532" t="s">
        <v>210</v>
      </c>
      <c r="C532" t="s">
        <v>41</v>
      </c>
      <c r="D532">
        <v>47</v>
      </c>
      <c r="E532" t="s">
        <v>20</v>
      </c>
      <c r="F532">
        <v>378</v>
      </c>
      <c r="G532">
        <v>36.42</v>
      </c>
      <c r="H532">
        <v>1</v>
      </c>
      <c r="I532" s="3">
        <f>CLIENTS_CHURN[[#This Row],[Anciennete_Mois]]/12</f>
        <v>3.9166666666666665</v>
      </c>
      <c r="J532" s="3">
        <f>CLIENTS_CHURN[[#This Row],[Duree_Cumulee_Panne_Min]]/60</f>
        <v>6.3</v>
      </c>
    </row>
    <row r="533" spans="1:10" x14ac:dyDescent="0.35">
      <c r="A533" s="3" t="s">
        <v>21</v>
      </c>
      <c r="B533" t="s">
        <v>1488</v>
      </c>
      <c r="C533" t="s">
        <v>41</v>
      </c>
      <c r="D533">
        <v>37</v>
      </c>
      <c r="E533" t="s">
        <v>31</v>
      </c>
      <c r="F533">
        <v>87</v>
      </c>
      <c r="G533">
        <v>26.4</v>
      </c>
      <c r="H533">
        <v>3</v>
      </c>
      <c r="I533" s="3">
        <f>CLIENTS_CHURN[[#This Row],[Anciennete_Mois]]/12</f>
        <v>3.0833333333333335</v>
      </c>
      <c r="J533" s="3">
        <f>CLIENTS_CHURN[[#This Row],[Duree_Cumulee_Panne_Min]]/60</f>
        <v>1.45</v>
      </c>
    </row>
    <row r="534" spans="1:10" x14ac:dyDescent="0.35">
      <c r="A534" s="3" t="s">
        <v>21</v>
      </c>
      <c r="B534" t="s">
        <v>1489</v>
      </c>
      <c r="C534" t="s">
        <v>41</v>
      </c>
      <c r="D534">
        <v>100</v>
      </c>
      <c r="E534" t="s">
        <v>31</v>
      </c>
      <c r="F534">
        <v>471</v>
      </c>
      <c r="G534">
        <v>61.2</v>
      </c>
      <c r="H534">
        <v>3</v>
      </c>
      <c r="I534" s="3">
        <f>CLIENTS_CHURN[[#This Row],[Anciennete_Mois]]/12</f>
        <v>8.3333333333333339</v>
      </c>
      <c r="J534" s="3">
        <f>CLIENTS_CHURN[[#This Row],[Duree_Cumulee_Panne_Min]]/60</f>
        <v>7.85</v>
      </c>
    </row>
    <row r="535" spans="1:10" x14ac:dyDescent="0.35">
      <c r="A535" s="3" t="s">
        <v>61</v>
      </c>
      <c r="B535" t="s">
        <v>341</v>
      </c>
      <c r="C535" t="s">
        <v>41</v>
      </c>
      <c r="D535">
        <v>117</v>
      </c>
      <c r="E535" t="s">
        <v>13</v>
      </c>
      <c r="F535">
        <v>282</v>
      </c>
      <c r="G535">
        <v>95.11</v>
      </c>
      <c r="H535">
        <v>0</v>
      </c>
      <c r="I535" s="3">
        <f>CLIENTS_CHURN[[#This Row],[Anciennete_Mois]]/12</f>
        <v>9.75</v>
      </c>
      <c r="J535" s="3">
        <f>CLIENTS_CHURN[[#This Row],[Duree_Cumulee_Panne_Min]]/60</f>
        <v>4.7</v>
      </c>
    </row>
    <row r="536" spans="1:10" x14ac:dyDescent="0.35">
      <c r="A536" s="3" t="s">
        <v>61</v>
      </c>
      <c r="B536" t="s">
        <v>62</v>
      </c>
      <c r="C536" t="s">
        <v>41</v>
      </c>
      <c r="D536">
        <v>13</v>
      </c>
      <c r="E536" t="s">
        <v>17</v>
      </c>
      <c r="F536">
        <v>482</v>
      </c>
      <c r="G536">
        <v>50.15</v>
      </c>
      <c r="H536">
        <v>0</v>
      </c>
      <c r="I536" s="3">
        <f>CLIENTS_CHURN[[#This Row],[Anciennete_Mois]]/12</f>
        <v>1.0833333333333333</v>
      </c>
      <c r="J536" s="3">
        <f>CLIENTS_CHURN[[#This Row],[Duree_Cumulee_Panne_Min]]/60</f>
        <v>8.0333333333333332</v>
      </c>
    </row>
    <row r="537" spans="1:10" x14ac:dyDescent="0.35">
      <c r="A537" s="3" t="s">
        <v>51</v>
      </c>
      <c r="B537" t="s">
        <v>468</v>
      </c>
      <c r="C537" t="s">
        <v>41</v>
      </c>
      <c r="D537">
        <v>48</v>
      </c>
      <c r="E537" t="s">
        <v>17</v>
      </c>
      <c r="F537">
        <v>187</v>
      </c>
      <c r="G537">
        <v>21.26</v>
      </c>
      <c r="H537">
        <v>2</v>
      </c>
      <c r="I537" s="3">
        <f>CLIENTS_CHURN[[#This Row],[Anciennete_Mois]]/12</f>
        <v>4</v>
      </c>
      <c r="J537" s="3">
        <f>CLIENTS_CHURN[[#This Row],[Duree_Cumulee_Panne_Min]]/60</f>
        <v>3.1166666666666667</v>
      </c>
    </row>
    <row r="538" spans="1:10" x14ac:dyDescent="0.35">
      <c r="A538" s="3" t="s">
        <v>51</v>
      </c>
      <c r="B538" t="s">
        <v>151</v>
      </c>
      <c r="C538" t="s">
        <v>41</v>
      </c>
      <c r="D538">
        <v>10</v>
      </c>
      <c r="E538" t="s">
        <v>13</v>
      </c>
      <c r="F538">
        <v>425</v>
      </c>
      <c r="G538">
        <v>85.75</v>
      </c>
      <c r="H538">
        <v>0</v>
      </c>
      <c r="I538" s="3">
        <f>CLIENTS_CHURN[[#This Row],[Anciennete_Mois]]/12</f>
        <v>0.83333333333333337</v>
      </c>
      <c r="J538" s="3">
        <f>CLIENTS_CHURN[[#This Row],[Duree_Cumulee_Panne_Min]]/60</f>
        <v>7.083333333333333</v>
      </c>
    </row>
    <row r="539" spans="1:10" x14ac:dyDescent="0.35">
      <c r="A539" s="3" t="s">
        <v>28</v>
      </c>
      <c r="B539" t="s">
        <v>565</v>
      </c>
      <c r="C539" t="s">
        <v>41</v>
      </c>
      <c r="D539">
        <v>63</v>
      </c>
      <c r="E539" t="s">
        <v>17</v>
      </c>
      <c r="F539">
        <v>109</v>
      </c>
      <c r="G539">
        <v>10.33</v>
      </c>
      <c r="H539">
        <v>3</v>
      </c>
      <c r="I539" s="3">
        <f>CLIENTS_CHURN[[#This Row],[Anciennete_Mois]]/12</f>
        <v>5.25</v>
      </c>
      <c r="J539" s="3">
        <f>CLIENTS_CHURN[[#This Row],[Duree_Cumulee_Panne_Min]]/60</f>
        <v>1.8166666666666667</v>
      </c>
    </row>
    <row r="540" spans="1:10" x14ac:dyDescent="0.35">
      <c r="A540" s="3" t="s">
        <v>10</v>
      </c>
      <c r="B540" t="s">
        <v>264</v>
      </c>
      <c r="C540" t="s">
        <v>41</v>
      </c>
      <c r="D540">
        <v>51</v>
      </c>
      <c r="E540" t="s">
        <v>31</v>
      </c>
      <c r="F540">
        <v>337</v>
      </c>
      <c r="G540">
        <v>68.67</v>
      </c>
      <c r="H540">
        <v>5</v>
      </c>
      <c r="I540" s="3">
        <f>CLIENTS_CHURN[[#This Row],[Anciennete_Mois]]/12</f>
        <v>4.25</v>
      </c>
      <c r="J540" s="3">
        <f>CLIENTS_CHURN[[#This Row],[Duree_Cumulee_Panne_Min]]/60</f>
        <v>5.6166666666666663</v>
      </c>
    </row>
    <row r="541" spans="1:10" x14ac:dyDescent="0.35">
      <c r="A541" s="3" t="s">
        <v>10</v>
      </c>
      <c r="B541" t="s">
        <v>346</v>
      </c>
      <c r="C541" t="s">
        <v>41</v>
      </c>
      <c r="D541">
        <v>116</v>
      </c>
      <c r="E541" t="s">
        <v>13</v>
      </c>
      <c r="F541">
        <v>279</v>
      </c>
      <c r="G541">
        <v>62.88</v>
      </c>
      <c r="H541">
        <v>4</v>
      </c>
      <c r="I541" s="3">
        <f>CLIENTS_CHURN[[#This Row],[Anciennete_Mois]]/12</f>
        <v>9.6666666666666661</v>
      </c>
      <c r="J541" s="3">
        <f>CLIENTS_CHURN[[#This Row],[Duree_Cumulee_Panne_Min]]/60</f>
        <v>4.6500000000000004</v>
      </c>
    </row>
    <row r="542" spans="1:10" x14ac:dyDescent="0.35">
      <c r="A542" s="3" t="s">
        <v>74</v>
      </c>
      <c r="B542" t="s">
        <v>1513</v>
      </c>
      <c r="C542" t="s">
        <v>41</v>
      </c>
      <c r="D542">
        <v>104</v>
      </c>
      <c r="E542" t="s">
        <v>17</v>
      </c>
      <c r="F542">
        <v>50</v>
      </c>
      <c r="G542" t="s">
        <v>1514</v>
      </c>
      <c r="H542">
        <v>4</v>
      </c>
      <c r="I542" s="3">
        <f>CLIENTS_CHURN[[#This Row],[Anciennete_Mois]]/12</f>
        <v>8.6666666666666661</v>
      </c>
      <c r="J542" s="3">
        <f>CLIENTS_CHURN[[#This Row],[Duree_Cumulee_Panne_Min]]/60</f>
        <v>0.83333333333333337</v>
      </c>
    </row>
    <row r="543" spans="1:10" x14ac:dyDescent="0.35">
      <c r="A543" s="3" t="s">
        <v>74</v>
      </c>
      <c r="B543" t="s">
        <v>402</v>
      </c>
      <c r="C543" t="s">
        <v>41</v>
      </c>
      <c r="D543">
        <v>12</v>
      </c>
      <c r="E543" t="s">
        <v>17</v>
      </c>
      <c r="F543">
        <v>235</v>
      </c>
      <c r="G543">
        <v>33.96</v>
      </c>
      <c r="H543">
        <v>4</v>
      </c>
      <c r="I543" s="3">
        <f>CLIENTS_CHURN[[#This Row],[Anciennete_Mois]]/12</f>
        <v>1</v>
      </c>
      <c r="J543" s="3">
        <f>CLIENTS_CHURN[[#This Row],[Duree_Cumulee_Panne_Min]]/60</f>
        <v>3.9166666666666665</v>
      </c>
    </row>
    <row r="544" spans="1:10" x14ac:dyDescent="0.35">
      <c r="A544" s="3" t="s">
        <v>74</v>
      </c>
      <c r="B544" t="s">
        <v>375</v>
      </c>
      <c r="C544" t="s">
        <v>41</v>
      </c>
      <c r="D544">
        <v>7</v>
      </c>
      <c r="E544" t="s">
        <v>31</v>
      </c>
      <c r="F544">
        <v>257</v>
      </c>
      <c r="G544">
        <v>73.040000000000006</v>
      </c>
      <c r="H544">
        <v>3</v>
      </c>
      <c r="I544" s="3">
        <f>CLIENTS_CHURN[[#This Row],[Anciennete_Mois]]/12</f>
        <v>0.58333333333333337</v>
      </c>
      <c r="J544" s="3">
        <f>CLIENTS_CHURN[[#This Row],[Duree_Cumulee_Panne_Min]]/60</f>
        <v>4.2833333333333332</v>
      </c>
    </row>
    <row r="545" spans="1:10" x14ac:dyDescent="0.35">
      <c r="A545" s="3" t="s">
        <v>100</v>
      </c>
      <c r="B545" t="s">
        <v>121</v>
      </c>
      <c r="C545" t="s">
        <v>41</v>
      </c>
      <c r="D545">
        <v>63</v>
      </c>
      <c r="E545" t="s">
        <v>20</v>
      </c>
      <c r="F545">
        <v>449</v>
      </c>
      <c r="G545">
        <v>37.08</v>
      </c>
      <c r="H545">
        <v>0</v>
      </c>
      <c r="I545" s="3">
        <f>CLIENTS_CHURN[[#This Row],[Anciennete_Mois]]/12</f>
        <v>5.25</v>
      </c>
      <c r="J545" s="3">
        <f>CLIENTS_CHURN[[#This Row],[Duree_Cumulee_Panne_Min]]/60</f>
        <v>7.4833333333333334</v>
      </c>
    </row>
    <row r="546" spans="1:10" x14ac:dyDescent="0.35">
      <c r="A546" s="3" t="s">
        <v>100</v>
      </c>
      <c r="B546" t="s">
        <v>362</v>
      </c>
      <c r="C546" t="s">
        <v>41</v>
      </c>
      <c r="D546">
        <v>63</v>
      </c>
      <c r="E546" t="s">
        <v>17</v>
      </c>
      <c r="F546">
        <v>265</v>
      </c>
      <c r="G546">
        <v>49.94</v>
      </c>
      <c r="H546">
        <v>1</v>
      </c>
      <c r="I546" s="3">
        <f>CLIENTS_CHURN[[#This Row],[Anciennete_Mois]]/12</f>
        <v>5.25</v>
      </c>
      <c r="J546" s="3">
        <f>CLIENTS_CHURN[[#This Row],[Duree_Cumulee_Panne_Min]]/60</f>
        <v>4.416666666666667</v>
      </c>
    </row>
    <row r="547" spans="1:10" x14ac:dyDescent="0.35">
      <c r="A547" s="3" t="s">
        <v>45</v>
      </c>
      <c r="B547" t="s">
        <v>336</v>
      </c>
      <c r="C547" t="s">
        <v>41</v>
      </c>
      <c r="D547">
        <v>49</v>
      </c>
      <c r="E547" t="s">
        <v>31</v>
      </c>
      <c r="F547">
        <v>288</v>
      </c>
      <c r="G547">
        <v>91.32</v>
      </c>
      <c r="H547">
        <v>4</v>
      </c>
      <c r="I547" s="3">
        <f>CLIENTS_CHURN[[#This Row],[Anciennete_Mois]]/12</f>
        <v>4.083333333333333</v>
      </c>
      <c r="J547" s="3">
        <f>CLIENTS_CHURN[[#This Row],[Duree_Cumulee_Panne_Min]]/60</f>
        <v>4.8</v>
      </c>
    </row>
    <row r="548" spans="1:10" x14ac:dyDescent="0.35">
      <c r="A548" s="3" t="s">
        <v>45</v>
      </c>
      <c r="B548" t="s">
        <v>1524</v>
      </c>
      <c r="C548" t="s">
        <v>41</v>
      </c>
      <c r="D548">
        <v>4</v>
      </c>
      <c r="E548" t="s">
        <v>31</v>
      </c>
      <c r="F548">
        <v>21</v>
      </c>
      <c r="G548">
        <v>45.8</v>
      </c>
      <c r="H548">
        <v>1</v>
      </c>
      <c r="I548" s="3">
        <f>CLIENTS_CHURN[[#This Row],[Anciennete_Mois]]/12</f>
        <v>0.33333333333333331</v>
      </c>
      <c r="J548" s="3">
        <f>CLIENTS_CHURN[[#This Row],[Duree_Cumulee_Panne_Min]]/60</f>
        <v>0.35</v>
      </c>
    </row>
    <row r="549" spans="1:10" x14ac:dyDescent="0.35">
      <c r="A549" s="3" t="s">
        <v>45</v>
      </c>
      <c r="B549" t="s">
        <v>426</v>
      </c>
      <c r="C549" t="s">
        <v>41</v>
      </c>
      <c r="D549">
        <v>54</v>
      </c>
      <c r="E549" t="s">
        <v>17</v>
      </c>
      <c r="F549">
        <v>215</v>
      </c>
      <c r="G549">
        <v>54.69</v>
      </c>
      <c r="H549">
        <v>0</v>
      </c>
      <c r="I549" s="3">
        <f>CLIENTS_CHURN[[#This Row],[Anciennete_Mois]]/12</f>
        <v>4.5</v>
      </c>
      <c r="J549" s="3">
        <f>CLIENTS_CHURN[[#This Row],[Duree_Cumulee_Panne_Min]]/60</f>
        <v>3.5833333333333335</v>
      </c>
    </row>
    <row r="550" spans="1:10" x14ac:dyDescent="0.35">
      <c r="A550" s="3" t="s">
        <v>45</v>
      </c>
      <c r="B550" t="s">
        <v>111</v>
      </c>
      <c r="C550" t="s">
        <v>41</v>
      </c>
      <c r="D550">
        <v>79</v>
      </c>
      <c r="E550" t="s">
        <v>13</v>
      </c>
      <c r="F550">
        <v>454</v>
      </c>
      <c r="G550">
        <v>80.34</v>
      </c>
      <c r="H550">
        <v>2</v>
      </c>
      <c r="I550" s="3">
        <f>CLIENTS_CHURN[[#This Row],[Anciennete_Mois]]/12</f>
        <v>6.583333333333333</v>
      </c>
      <c r="J550" s="3">
        <f>CLIENTS_CHURN[[#This Row],[Duree_Cumulee_Panne_Min]]/60</f>
        <v>7.5666666666666664</v>
      </c>
    </row>
    <row r="551" spans="1:10" x14ac:dyDescent="0.35">
      <c r="A551" s="3" t="s">
        <v>25</v>
      </c>
      <c r="B551" t="s">
        <v>339</v>
      </c>
      <c r="C551" t="s">
        <v>66</v>
      </c>
      <c r="D551">
        <v>102</v>
      </c>
      <c r="E551" t="s">
        <v>20</v>
      </c>
      <c r="F551">
        <v>283</v>
      </c>
      <c r="G551">
        <v>28.98</v>
      </c>
      <c r="H551">
        <v>3</v>
      </c>
      <c r="I551" s="3">
        <f>CLIENTS_CHURN[[#This Row],[Anciennete_Mois]]/12</f>
        <v>8.5</v>
      </c>
      <c r="J551" s="3">
        <f>CLIENTS_CHURN[[#This Row],[Duree_Cumulee_Panne_Min]]/60</f>
        <v>4.7166666666666668</v>
      </c>
    </row>
    <row r="552" spans="1:10" x14ac:dyDescent="0.35">
      <c r="A552" s="3" t="s">
        <v>25</v>
      </c>
      <c r="B552" t="s">
        <v>319</v>
      </c>
      <c r="C552" t="s">
        <v>66</v>
      </c>
      <c r="D552">
        <v>91</v>
      </c>
      <c r="E552" t="s">
        <v>31</v>
      </c>
      <c r="F552">
        <v>300</v>
      </c>
      <c r="G552">
        <v>82.19</v>
      </c>
      <c r="H552">
        <v>1</v>
      </c>
      <c r="I552" s="3">
        <f>CLIENTS_CHURN[[#This Row],[Anciennete_Mois]]/12</f>
        <v>7.583333333333333</v>
      </c>
      <c r="J552" s="3">
        <f>CLIENTS_CHURN[[#This Row],[Duree_Cumulee_Panne_Min]]/60</f>
        <v>5</v>
      </c>
    </row>
    <row r="553" spans="1:10" x14ac:dyDescent="0.35">
      <c r="A553" s="3" t="s">
        <v>25</v>
      </c>
      <c r="B553" t="s">
        <v>65</v>
      </c>
      <c r="C553" t="s">
        <v>66</v>
      </c>
      <c r="D553">
        <v>98</v>
      </c>
      <c r="E553" t="s">
        <v>20</v>
      </c>
      <c r="F553">
        <v>482</v>
      </c>
      <c r="G553">
        <v>55.04</v>
      </c>
      <c r="H553">
        <v>5</v>
      </c>
      <c r="I553" s="3">
        <f>CLIENTS_CHURN[[#This Row],[Anciennete_Mois]]/12</f>
        <v>8.1666666666666661</v>
      </c>
      <c r="J553" s="3">
        <f>CLIENTS_CHURN[[#This Row],[Duree_Cumulee_Panne_Min]]/60</f>
        <v>8.0333333333333332</v>
      </c>
    </row>
    <row r="554" spans="1:10" x14ac:dyDescent="0.35">
      <c r="A554" s="3" t="s">
        <v>25</v>
      </c>
      <c r="B554" t="s">
        <v>1457</v>
      </c>
      <c r="C554" t="s">
        <v>66</v>
      </c>
      <c r="D554">
        <v>51</v>
      </c>
      <c r="E554" t="s">
        <v>17</v>
      </c>
      <c r="F554">
        <v>58</v>
      </c>
      <c r="G554">
        <v>34.6</v>
      </c>
      <c r="H554">
        <v>5</v>
      </c>
      <c r="I554" s="3">
        <f>CLIENTS_CHURN[[#This Row],[Anciennete_Mois]]/12</f>
        <v>4.25</v>
      </c>
      <c r="J554" s="3">
        <f>CLIENTS_CHURN[[#This Row],[Duree_Cumulee_Panne_Min]]/60</f>
        <v>0.96666666666666667</v>
      </c>
    </row>
    <row r="555" spans="1:10" x14ac:dyDescent="0.35">
      <c r="A555" s="3" t="s">
        <v>69</v>
      </c>
      <c r="B555" t="s">
        <v>647</v>
      </c>
      <c r="C555" t="s">
        <v>66</v>
      </c>
      <c r="D555">
        <v>98</v>
      </c>
      <c r="E555" t="s">
        <v>31</v>
      </c>
      <c r="F555">
        <v>52</v>
      </c>
      <c r="G555">
        <v>52.82</v>
      </c>
      <c r="H555">
        <v>2</v>
      </c>
      <c r="I555" s="3">
        <f>CLIENTS_CHURN[[#This Row],[Anciennete_Mois]]/12</f>
        <v>8.1666666666666661</v>
      </c>
      <c r="J555" s="3">
        <f>CLIENTS_CHURN[[#This Row],[Duree_Cumulee_Panne_Min]]/60</f>
        <v>0.8666666666666667</v>
      </c>
    </row>
    <row r="556" spans="1:10" x14ac:dyDescent="0.35">
      <c r="A556" s="3" t="s">
        <v>69</v>
      </c>
      <c r="B556" t="s">
        <v>673</v>
      </c>
      <c r="C556" t="s">
        <v>66</v>
      </c>
      <c r="D556">
        <v>29</v>
      </c>
      <c r="E556" t="s">
        <v>20</v>
      </c>
      <c r="F556">
        <v>34</v>
      </c>
      <c r="G556">
        <v>86.68</v>
      </c>
      <c r="H556">
        <v>1</v>
      </c>
      <c r="I556" s="3">
        <f>CLIENTS_CHURN[[#This Row],[Anciennete_Mois]]/12</f>
        <v>2.4166666666666665</v>
      </c>
      <c r="J556" s="3">
        <f>CLIENTS_CHURN[[#This Row],[Duree_Cumulee_Panne_Min]]/60</f>
        <v>0.56666666666666665</v>
      </c>
    </row>
    <row r="557" spans="1:10" x14ac:dyDescent="0.35">
      <c r="A557" s="3" t="s">
        <v>69</v>
      </c>
      <c r="B557" t="s">
        <v>146</v>
      </c>
      <c r="C557" t="s">
        <v>66</v>
      </c>
      <c r="D557">
        <v>118</v>
      </c>
      <c r="E557" t="s">
        <v>17</v>
      </c>
      <c r="F557">
        <v>430</v>
      </c>
      <c r="G557">
        <v>36.97</v>
      </c>
      <c r="H557">
        <v>2</v>
      </c>
      <c r="I557" s="3">
        <f>CLIENTS_CHURN[[#This Row],[Anciennete_Mois]]/12</f>
        <v>9.8333333333333339</v>
      </c>
      <c r="J557" s="3">
        <f>CLIENTS_CHURN[[#This Row],[Duree_Cumulee_Panne_Min]]/60</f>
        <v>7.166666666666667</v>
      </c>
    </row>
    <row r="558" spans="1:10" x14ac:dyDescent="0.35">
      <c r="A558" s="3" t="s">
        <v>69</v>
      </c>
      <c r="B558" t="s">
        <v>178</v>
      </c>
      <c r="C558" t="s">
        <v>66</v>
      </c>
      <c r="D558">
        <v>36</v>
      </c>
      <c r="E558" t="s">
        <v>13</v>
      </c>
      <c r="F558">
        <v>400</v>
      </c>
      <c r="G558">
        <v>60.35</v>
      </c>
      <c r="H558">
        <v>1</v>
      </c>
      <c r="I558" s="3">
        <f>CLIENTS_CHURN[[#This Row],[Anciennete_Mois]]/12</f>
        <v>3</v>
      </c>
      <c r="J558" s="3">
        <f>CLIENTS_CHURN[[#This Row],[Duree_Cumulee_Panne_Min]]/60</f>
        <v>6.666666666666667</v>
      </c>
    </row>
    <row r="559" spans="1:10" x14ac:dyDescent="0.35">
      <c r="A559" s="3" t="s">
        <v>69</v>
      </c>
      <c r="B559" t="s">
        <v>1463</v>
      </c>
      <c r="C559" t="s">
        <v>66</v>
      </c>
      <c r="D559">
        <v>51</v>
      </c>
      <c r="E559" t="s">
        <v>31</v>
      </c>
      <c r="F559">
        <v>260</v>
      </c>
      <c r="G559">
        <v>92.8</v>
      </c>
      <c r="H559">
        <v>5</v>
      </c>
      <c r="I559" s="3">
        <f>CLIENTS_CHURN[[#This Row],[Anciennete_Mois]]/12</f>
        <v>4.25</v>
      </c>
      <c r="J559" s="3">
        <f>CLIENTS_CHURN[[#This Row],[Duree_Cumulee_Panne_Min]]/60</f>
        <v>4.333333333333333</v>
      </c>
    </row>
    <row r="560" spans="1:10" x14ac:dyDescent="0.35">
      <c r="A560" s="3" t="s">
        <v>39</v>
      </c>
      <c r="B560" t="s">
        <v>365</v>
      </c>
      <c r="C560" t="s">
        <v>66</v>
      </c>
      <c r="D560">
        <v>82</v>
      </c>
      <c r="E560" t="s">
        <v>13</v>
      </c>
      <c r="F560">
        <v>264</v>
      </c>
      <c r="G560">
        <v>88.03</v>
      </c>
      <c r="H560">
        <v>1</v>
      </c>
      <c r="I560" s="3">
        <f>CLIENTS_CHURN[[#This Row],[Anciennete_Mois]]/12</f>
        <v>6.833333333333333</v>
      </c>
      <c r="J560" s="3">
        <f>CLIENTS_CHURN[[#This Row],[Duree_Cumulee_Panne_Min]]/60</f>
        <v>4.4000000000000004</v>
      </c>
    </row>
    <row r="561" spans="1:10" x14ac:dyDescent="0.35">
      <c r="A561" s="3" t="s">
        <v>39</v>
      </c>
      <c r="B561" t="s">
        <v>587</v>
      </c>
      <c r="C561" t="s">
        <v>66</v>
      </c>
      <c r="D561">
        <v>28</v>
      </c>
      <c r="E561" t="s">
        <v>13</v>
      </c>
      <c r="F561">
        <v>96</v>
      </c>
      <c r="G561">
        <v>72.010000000000005</v>
      </c>
      <c r="H561">
        <v>4</v>
      </c>
      <c r="I561" s="3">
        <f>CLIENTS_CHURN[[#This Row],[Anciennete_Mois]]/12</f>
        <v>2.3333333333333335</v>
      </c>
      <c r="J561" s="3">
        <f>CLIENTS_CHURN[[#This Row],[Duree_Cumulee_Panne_Min]]/60</f>
        <v>1.6</v>
      </c>
    </row>
    <row r="562" spans="1:10" x14ac:dyDescent="0.35">
      <c r="A562" s="3" t="s">
        <v>32</v>
      </c>
      <c r="B562" t="s">
        <v>675</v>
      </c>
      <c r="C562" t="s">
        <v>66</v>
      </c>
      <c r="D562">
        <v>25</v>
      </c>
      <c r="E562" t="s">
        <v>31</v>
      </c>
      <c r="F562">
        <v>33</v>
      </c>
      <c r="G562">
        <v>30.93</v>
      </c>
      <c r="H562">
        <v>1</v>
      </c>
      <c r="I562" s="3">
        <f>CLIENTS_CHURN[[#This Row],[Anciennete_Mois]]/12</f>
        <v>2.0833333333333335</v>
      </c>
      <c r="J562" s="3">
        <f>CLIENTS_CHURN[[#This Row],[Duree_Cumulee_Panne_Min]]/60</f>
        <v>0.55000000000000004</v>
      </c>
    </row>
    <row r="563" spans="1:10" x14ac:dyDescent="0.35">
      <c r="A563" s="3" t="s">
        <v>14</v>
      </c>
      <c r="B563" t="s">
        <v>181</v>
      </c>
      <c r="C563" t="s">
        <v>66</v>
      </c>
      <c r="D563">
        <v>109</v>
      </c>
      <c r="E563" t="s">
        <v>20</v>
      </c>
      <c r="F563">
        <v>397</v>
      </c>
      <c r="G563">
        <v>63.92</v>
      </c>
      <c r="H563">
        <v>1</v>
      </c>
      <c r="I563" s="3">
        <f>CLIENTS_CHURN[[#This Row],[Anciennete_Mois]]/12</f>
        <v>9.0833333333333339</v>
      </c>
      <c r="J563" s="3">
        <f>CLIENTS_CHURN[[#This Row],[Duree_Cumulee_Panne_Min]]/60</f>
        <v>6.6166666666666663</v>
      </c>
    </row>
    <row r="564" spans="1:10" x14ac:dyDescent="0.35">
      <c r="A564" s="3" t="s">
        <v>14</v>
      </c>
      <c r="B564" t="s">
        <v>652</v>
      </c>
      <c r="C564" t="s">
        <v>66</v>
      </c>
      <c r="D564">
        <v>47</v>
      </c>
      <c r="E564" t="s">
        <v>13</v>
      </c>
      <c r="F564">
        <v>49</v>
      </c>
      <c r="G564">
        <v>55.88</v>
      </c>
      <c r="H564">
        <v>3</v>
      </c>
      <c r="I564" s="3">
        <f>CLIENTS_CHURN[[#This Row],[Anciennete_Mois]]/12</f>
        <v>3.9166666666666665</v>
      </c>
      <c r="J564" s="3">
        <f>CLIENTS_CHURN[[#This Row],[Duree_Cumulee_Panne_Min]]/60</f>
        <v>0.81666666666666665</v>
      </c>
    </row>
    <row r="565" spans="1:10" x14ac:dyDescent="0.35">
      <c r="A565" s="3" t="s">
        <v>14</v>
      </c>
      <c r="B565" t="s">
        <v>600</v>
      </c>
      <c r="C565" t="s">
        <v>66</v>
      </c>
      <c r="D565">
        <v>37</v>
      </c>
      <c r="E565" t="s">
        <v>20</v>
      </c>
      <c r="F565">
        <v>88</v>
      </c>
      <c r="G565">
        <v>77.77</v>
      </c>
      <c r="H565">
        <v>1</v>
      </c>
      <c r="I565" s="3">
        <f>CLIENTS_CHURN[[#This Row],[Anciennete_Mois]]/12</f>
        <v>3.0833333333333335</v>
      </c>
      <c r="J565" s="3">
        <f>CLIENTS_CHURN[[#This Row],[Duree_Cumulee_Panne_Min]]/60</f>
        <v>1.4666666666666666</v>
      </c>
    </row>
    <row r="566" spans="1:10" x14ac:dyDescent="0.35">
      <c r="A566" s="3" t="s">
        <v>14</v>
      </c>
      <c r="B566" t="s">
        <v>657</v>
      </c>
      <c r="C566" t="s">
        <v>66</v>
      </c>
      <c r="D566">
        <v>77</v>
      </c>
      <c r="E566" t="s">
        <v>17</v>
      </c>
      <c r="F566">
        <v>45</v>
      </c>
      <c r="G566">
        <v>21.59</v>
      </c>
      <c r="H566">
        <v>2</v>
      </c>
      <c r="I566" s="3">
        <f>CLIENTS_CHURN[[#This Row],[Anciennete_Mois]]/12</f>
        <v>6.416666666666667</v>
      </c>
      <c r="J566" s="3">
        <f>CLIENTS_CHURN[[#This Row],[Duree_Cumulee_Panne_Min]]/60</f>
        <v>0.75</v>
      </c>
    </row>
    <row r="567" spans="1:10" x14ac:dyDescent="0.35">
      <c r="A567" s="3" t="s">
        <v>21</v>
      </c>
      <c r="B567" t="s">
        <v>669</v>
      </c>
      <c r="C567" t="s">
        <v>66</v>
      </c>
      <c r="D567">
        <v>40</v>
      </c>
      <c r="E567" t="s">
        <v>31</v>
      </c>
      <c r="F567">
        <v>38</v>
      </c>
      <c r="G567">
        <v>17.63</v>
      </c>
      <c r="H567">
        <v>0</v>
      </c>
      <c r="I567" s="3">
        <f>CLIENTS_CHURN[[#This Row],[Anciennete_Mois]]/12</f>
        <v>3.3333333333333335</v>
      </c>
      <c r="J567" s="3">
        <f>CLIENTS_CHURN[[#This Row],[Duree_Cumulee_Panne_Min]]/60</f>
        <v>0.6333333333333333</v>
      </c>
    </row>
    <row r="568" spans="1:10" x14ac:dyDescent="0.35">
      <c r="A568" s="3" t="s">
        <v>61</v>
      </c>
      <c r="B568" t="s">
        <v>532</v>
      </c>
      <c r="C568" t="s">
        <v>66</v>
      </c>
      <c r="D568">
        <v>85</v>
      </c>
      <c r="E568" t="s">
        <v>17</v>
      </c>
      <c r="F568">
        <v>132</v>
      </c>
      <c r="G568">
        <v>11.41</v>
      </c>
      <c r="H568">
        <v>0</v>
      </c>
      <c r="I568" s="3">
        <f>CLIENTS_CHURN[[#This Row],[Anciennete_Mois]]/12</f>
        <v>7.083333333333333</v>
      </c>
      <c r="J568" s="3">
        <f>CLIENTS_CHURN[[#This Row],[Duree_Cumulee_Panne_Min]]/60</f>
        <v>2.2000000000000002</v>
      </c>
    </row>
    <row r="569" spans="1:10" x14ac:dyDescent="0.35">
      <c r="A569" s="3" t="s">
        <v>28</v>
      </c>
      <c r="B569" t="s">
        <v>656</v>
      </c>
      <c r="C569" t="s">
        <v>66</v>
      </c>
      <c r="D569">
        <v>110</v>
      </c>
      <c r="E569" t="s">
        <v>17</v>
      </c>
      <c r="F569">
        <v>47</v>
      </c>
      <c r="G569">
        <v>29.68</v>
      </c>
      <c r="H569">
        <v>0</v>
      </c>
      <c r="I569" s="3">
        <f>CLIENTS_CHURN[[#This Row],[Anciennete_Mois]]/12</f>
        <v>9.1666666666666661</v>
      </c>
      <c r="J569" s="3">
        <f>CLIENTS_CHURN[[#This Row],[Duree_Cumulee_Panne_Min]]/60</f>
        <v>0.78333333333333333</v>
      </c>
    </row>
    <row r="570" spans="1:10" x14ac:dyDescent="0.35">
      <c r="A570" s="3" t="s">
        <v>10</v>
      </c>
      <c r="B570" t="s">
        <v>239</v>
      </c>
      <c r="C570" t="s">
        <v>66</v>
      </c>
      <c r="D570">
        <v>56</v>
      </c>
      <c r="E570" t="s">
        <v>13</v>
      </c>
      <c r="F570">
        <v>354</v>
      </c>
      <c r="G570">
        <v>32.08</v>
      </c>
      <c r="H570">
        <v>1</v>
      </c>
      <c r="I570" s="3">
        <f>CLIENTS_CHURN[[#This Row],[Anciennete_Mois]]/12</f>
        <v>4.666666666666667</v>
      </c>
      <c r="J570" s="3">
        <f>CLIENTS_CHURN[[#This Row],[Duree_Cumulee_Panne_Min]]/60</f>
        <v>5.9</v>
      </c>
    </row>
    <row r="571" spans="1:10" x14ac:dyDescent="0.35">
      <c r="A571" s="3" t="s">
        <v>74</v>
      </c>
      <c r="B571" t="s">
        <v>205</v>
      </c>
      <c r="C571" t="s">
        <v>66</v>
      </c>
      <c r="D571">
        <v>89</v>
      </c>
      <c r="E571" t="s">
        <v>20</v>
      </c>
      <c r="F571">
        <v>381</v>
      </c>
      <c r="G571">
        <v>68.17</v>
      </c>
      <c r="H571">
        <v>0</v>
      </c>
      <c r="I571" s="3">
        <f>CLIENTS_CHURN[[#This Row],[Anciennete_Mois]]/12</f>
        <v>7.416666666666667</v>
      </c>
      <c r="J571" s="3">
        <f>CLIENTS_CHURN[[#This Row],[Duree_Cumulee_Panne_Min]]/60</f>
        <v>6.35</v>
      </c>
    </row>
    <row r="572" spans="1:10" x14ac:dyDescent="0.35">
      <c r="A572" s="3" t="s">
        <v>100</v>
      </c>
      <c r="B572" t="s">
        <v>1521</v>
      </c>
      <c r="C572" t="s">
        <v>66</v>
      </c>
      <c r="D572">
        <v>1</v>
      </c>
      <c r="E572" t="s">
        <v>20</v>
      </c>
      <c r="F572">
        <v>424</v>
      </c>
      <c r="G572">
        <v>59.2</v>
      </c>
      <c r="H572">
        <v>2</v>
      </c>
      <c r="I572" s="3">
        <f>CLIENTS_CHURN[[#This Row],[Anciennete_Mois]]/12</f>
        <v>8.3333333333333329E-2</v>
      </c>
      <c r="J572" s="3">
        <f>CLIENTS_CHURN[[#This Row],[Duree_Cumulee_Panne_Min]]/60</f>
        <v>7.0666666666666664</v>
      </c>
    </row>
    <row r="573" spans="1:10" x14ac:dyDescent="0.35">
      <c r="A573" s="3" t="s">
        <v>100</v>
      </c>
      <c r="B573" t="s">
        <v>401</v>
      </c>
      <c r="C573" t="s">
        <v>66</v>
      </c>
      <c r="D573">
        <v>40</v>
      </c>
      <c r="E573" t="s">
        <v>13</v>
      </c>
      <c r="F573">
        <v>235</v>
      </c>
      <c r="G573">
        <v>15.01</v>
      </c>
      <c r="H573">
        <v>3</v>
      </c>
      <c r="I573" s="3">
        <f>CLIENTS_CHURN[[#This Row],[Anciennete_Mois]]/12</f>
        <v>3.3333333333333335</v>
      </c>
      <c r="J573" s="3">
        <f>CLIENTS_CHURN[[#This Row],[Duree_Cumulee_Panne_Min]]/60</f>
        <v>3.9166666666666665</v>
      </c>
    </row>
    <row r="574" spans="1:10" x14ac:dyDescent="0.35">
      <c r="A574" s="3" t="s">
        <v>100</v>
      </c>
      <c r="B574" t="s">
        <v>383</v>
      </c>
      <c r="C574" t="s">
        <v>66</v>
      </c>
      <c r="D574">
        <v>65</v>
      </c>
      <c r="E574" t="s">
        <v>20</v>
      </c>
      <c r="F574">
        <v>246</v>
      </c>
      <c r="G574">
        <v>69.17</v>
      </c>
      <c r="H574">
        <v>0</v>
      </c>
      <c r="I574" s="3">
        <f>CLIENTS_CHURN[[#This Row],[Anciennete_Mois]]/12</f>
        <v>5.416666666666667</v>
      </c>
      <c r="J574" s="3">
        <f>CLIENTS_CHURN[[#This Row],[Duree_Cumulee_Panne_Min]]/60</f>
        <v>4.0999999999999996</v>
      </c>
    </row>
    <row r="575" spans="1:10" x14ac:dyDescent="0.35">
      <c r="A575" s="3" t="s">
        <v>45</v>
      </c>
      <c r="B575" t="s">
        <v>345</v>
      </c>
      <c r="C575" t="s">
        <v>66</v>
      </c>
      <c r="D575">
        <v>96</v>
      </c>
      <c r="E575" t="s">
        <v>20</v>
      </c>
      <c r="F575">
        <v>280</v>
      </c>
      <c r="G575">
        <v>80.36</v>
      </c>
      <c r="H575">
        <v>5</v>
      </c>
      <c r="I575" s="3">
        <f>CLIENTS_CHURN[[#This Row],[Anciennete_Mois]]/12</f>
        <v>8</v>
      </c>
      <c r="J575" s="3">
        <f>CLIENTS_CHURN[[#This Row],[Duree_Cumulee_Panne_Min]]/60</f>
        <v>4.666666666666667</v>
      </c>
    </row>
    <row r="576" spans="1:10" x14ac:dyDescent="0.35">
      <c r="A576" s="3" t="s">
        <v>45</v>
      </c>
      <c r="B576" t="s">
        <v>167</v>
      </c>
      <c r="C576" t="s">
        <v>66</v>
      </c>
      <c r="D576">
        <v>90</v>
      </c>
      <c r="E576" t="s">
        <v>17</v>
      </c>
      <c r="F576">
        <v>412</v>
      </c>
      <c r="G576">
        <v>20.62</v>
      </c>
      <c r="H576">
        <v>2</v>
      </c>
      <c r="I576" s="3">
        <f>CLIENTS_CHURN[[#This Row],[Anciennete_Mois]]/12</f>
        <v>7.5</v>
      </c>
      <c r="J576" s="3">
        <f>CLIENTS_CHURN[[#This Row],[Duree_Cumulee_Panne_Min]]/60</f>
        <v>6.8666666666666663</v>
      </c>
    </row>
    <row r="577" spans="1:10" x14ac:dyDescent="0.35">
      <c r="A577" s="3" t="s">
        <v>45</v>
      </c>
      <c r="B577" t="s">
        <v>379</v>
      </c>
      <c r="C577" t="s">
        <v>66</v>
      </c>
      <c r="D577">
        <v>42</v>
      </c>
      <c r="E577" t="s">
        <v>31</v>
      </c>
      <c r="F577">
        <v>252</v>
      </c>
      <c r="G577">
        <v>59.46</v>
      </c>
      <c r="H577">
        <v>4</v>
      </c>
      <c r="I577" s="3">
        <f>CLIENTS_CHURN[[#This Row],[Anciennete_Mois]]/12</f>
        <v>3.5</v>
      </c>
      <c r="J577" s="3">
        <f>CLIENTS_CHURN[[#This Row],[Duree_Cumulee_Panne_Min]]/60</f>
        <v>4.2</v>
      </c>
    </row>
    <row r="578" spans="1:10" x14ac:dyDescent="0.35">
      <c r="A578" s="3" t="s">
        <v>45</v>
      </c>
      <c r="B578" t="s">
        <v>549</v>
      </c>
      <c r="C578" t="s">
        <v>66</v>
      </c>
      <c r="D578">
        <v>23</v>
      </c>
      <c r="E578" t="s">
        <v>20</v>
      </c>
      <c r="F578">
        <v>120</v>
      </c>
      <c r="G578">
        <v>73.12</v>
      </c>
      <c r="H578">
        <v>1</v>
      </c>
      <c r="I578" s="3">
        <f>CLIENTS_CHURN[[#This Row],[Anciennete_Mois]]/12</f>
        <v>1.9166666666666667</v>
      </c>
      <c r="J578" s="3">
        <f>CLIENTS_CHURN[[#This Row],[Duree_Cumulee_Panne_Min]]/60</f>
        <v>2</v>
      </c>
    </row>
    <row r="579" spans="1:10" x14ac:dyDescent="0.35">
      <c r="A579" s="3" t="s">
        <v>85</v>
      </c>
      <c r="B579" t="s">
        <v>348</v>
      </c>
      <c r="C579" t="s">
        <v>27</v>
      </c>
      <c r="D579">
        <v>108</v>
      </c>
      <c r="E579" t="s">
        <v>17</v>
      </c>
      <c r="F579">
        <v>278</v>
      </c>
      <c r="G579">
        <v>40.51</v>
      </c>
      <c r="H579">
        <v>3</v>
      </c>
      <c r="I579" s="3">
        <f>CLIENTS_CHURN[[#This Row],[Anciennete_Mois]]/12</f>
        <v>9</v>
      </c>
      <c r="J579" s="3">
        <f>CLIENTS_CHURN[[#This Row],[Duree_Cumulee_Panne_Min]]/60</f>
        <v>4.6333333333333337</v>
      </c>
    </row>
    <row r="580" spans="1:10" x14ac:dyDescent="0.35">
      <c r="A580" s="3" t="s">
        <v>85</v>
      </c>
      <c r="B580" t="s">
        <v>93</v>
      </c>
      <c r="C580" t="s">
        <v>27</v>
      </c>
      <c r="D580">
        <v>35</v>
      </c>
      <c r="E580" t="s">
        <v>20</v>
      </c>
      <c r="F580">
        <v>465</v>
      </c>
      <c r="G580">
        <v>58.59</v>
      </c>
      <c r="H580">
        <v>5</v>
      </c>
      <c r="I580" s="3">
        <f>CLIENTS_CHURN[[#This Row],[Anciennete_Mois]]/12</f>
        <v>2.9166666666666665</v>
      </c>
      <c r="J580" s="3">
        <f>CLIENTS_CHURN[[#This Row],[Duree_Cumulee_Panne_Min]]/60</f>
        <v>7.75</v>
      </c>
    </row>
    <row r="581" spans="1:10" x14ac:dyDescent="0.35">
      <c r="A581" s="3" t="s">
        <v>25</v>
      </c>
      <c r="B581" t="s">
        <v>26</v>
      </c>
      <c r="C581" t="s">
        <v>27</v>
      </c>
      <c r="D581">
        <v>99</v>
      </c>
      <c r="E581" t="s">
        <v>17</v>
      </c>
      <c r="F581">
        <v>493</v>
      </c>
      <c r="G581">
        <v>55.43</v>
      </c>
      <c r="H581">
        <v>2</v>
      </c>
      <c r="I581" s="3">
        <f>CLIENTS_CHURN[[#This Row],[Anciennete_Mois]]/12</f>
        <v>8.25</v>
      </c>
      <c r="J581" s="3">
        <f>CLIENTS_CHURN[[#This Row],[Duree_Cumulee_Panne_Min]]/60</f>
        <v>8.2166666666666668</v>
      </c>
    </row>
    <row r="582" spans="1:10" x14ac:dyDescent="0.35">
      <c r="A582" s="3" t="s">
        <v>25</v>
      </c>
      <c r="B582" t="s">
        <v>397</v>
      </c>
      <c r="C582" t="s">
        <v>27</v>
      </c>
      <c r="D582">
        <v>86</v>
      </c>
      <c r="E582" t="s">
        <v>20</v>
      </c>
      <c r="F582">
        <v>237</v>
      </c>
      <c r="G582">
        <v>85.82</v>
      </c>
      <c r="H582">
        <v>5</v>
      </c>
      <c r="I582" s="3">
        <f>CLIENTS_CHURN[[#This Row],[Anciennete_Mois]]/12</f>
        <v>7.166666666666667</v>
      </c>
      <c r="J582" s="3">
        <f>CLIENTS_CHURN[[#This Row],[Duree_Cumulee_Panne_Min]]/60</f>
        <v>3.95</v>
      </c>
    </row>
    <row r="583" spans="1:10" x14ac:dyDescent="0.35">
      <c r="A583" s="3" t="s">
        <v>25</v>
      </c>
      <c r="B583" t="s">
        <v>154</v>
      </c>
      <c r="C583" t="s">
        <v>27</v>
      </c>
      <c r="D583">
        <v>58</v>
      </c>
      <c r="E583" t="s">
        <v>31</v>
      </c>
      <c r="F583">
        <v>423</v>
      </c>
      <c r="G583">
        <v>80.459999999999994</v>
      </c>
      <c r="H583">
        <v>0</v>
      </c>
      <c r="I583" s="3">
        <f>CLIENTS_CHURN[[#This Row],[Anciennete_Mois]]/12</f>
        <v>4.833333333333333</v>
      </c>
      <c r="J583" s="3">
        <f>CLIENTS_CHURN[[#This Row],[Duree_Cumulee_Panne_Min]]/60</f>
        <v>7.05</v>
      </c>
    </row>
    <row r="584" spans="1:10" x14ac:dyDescent="0.35">
      <c r="A584" s="3" t="s">
        <v>25</v>
      </c>
      <c r="B584" t="s">
        <v>321</v>
      </c>
      <c r="C584" t="s">
        <v>27</v>
      </c>
      <c r="D584">
        <v>103</v>
      </c>
      <c r="E584" t="s">
        <v>31</v>
      </c>
      <c r="F584">
        <v>300</v>
      </c>
      <c r="G584">
        <v>13.76</v>
      </c>
      <c r="H584">
        <v>4</v>
      </c>
      <c r="I584" s="3">
        <f>CLIENTS_CHURN[[#This Row],[Anciennete_Mois]]/12</f>
        <v>8.5833333333333339</v>
      </c>
      <c r="J584" s="3">
        <f>CLIENTS_CHURN[[#This Row],[Duree_Cumulee_Panne_Min]]/60</f>
        <v>5</v>
      </c>
    </row>
    <row r="585" spans="1:10" x14ac:dyDescent="0.35">
      <c r="A585" s="3" t="s">
        <v>25</v>
      </c>
      <c r="B585" t="s">
        <v>497</v>
      </c>
      <c r="C585" t="s">
        <v>27</v>
      </c>
      <c r="D585">
        <v>6</v>
      </c>
      <c r="E585" t="s">
        <v>13</v>
      </c>
      <c r="F585">
        <v>162</v>
      </c>
      <c r="G585">
        <v>99.93</v>
      </c>
      <c r="H585">
        <v>0</v>
      </c>
      <c r="I585" s="3">
        <f>CLIENTS_CHURN[[#This Row],[Anciennete_Mois]]/12</f>
        <v>0.5</v>
      </c>
      <c r="J585" s="3">
        <f>CLIENTS_CHURN[[#This Row],[Duree_Cumulee_Panne_Min]]/60</f>
        <v>2.7</v>
      </c>
    </row>
    <row r="586" spans="1:10" x14ac:dyDescent="0.35">
      <c r="A586" s="3" t="s">
        <v>25</v>
      </c>
      <c r="B586" t="s">
        <v>199</v>
      </c>
      <c r="C586" t="s">
        <v>27</v>
      </c>
      <c r="D586">
        <v>42</v>
      </c>
      <c r="E586" t="s">
        <v>17</v>
      </c>
      <c r="F586">
        <v>385</v>
      </c>
      <c r="G586">
        <v>96.52</v>
      </c>
      <c r="H586">
        <v>1</v>
      </c>
      <c r="I586" s="3">
        <f>CLIENTS_CHURN[[#This Row],[Anciennete_Mois]]/12</f>
        <v>3.5</v>
      </c>
      <c r="J586" s="3">
        <f>CLIENTS_CHURN[[#This Row],[Duree_Cumulee_Panne_Min]]/60</f>
        <v>6.416666666666667</v>
      </c>
    </row>
    <row r="587" spans="1:10" x14ac:dyDescent="0.35">
      <c r="A587" s="3" t="s">
        <v>25</v>
      </c>
      <c r="B587" t="s">
        <v>548</v>
      </c>
      <c r="C587" t="s">
        <v>27</v>
      </c>
      <c r="D587">
        <v>80</v>
      </c>
      <c r="E587" t="s">
        <v>13</v>
      </c>
      <c r="F587">
        <v>121</v>
      </c>
      <c r="G587">
        <v>83.14</v>
      </c>
      <c r="H587">
        <v>5</v>
      </c>
      <c r="I587" s="3">
        <f>CLIENTS_CHURN[[#This Row],[Anciennete_Mois]]/12</f>
        <v>6.666666666666667</v>
      </c>
      <c r="J587" s="3">
        <f>CLIENTS_CHURN[[#This Row],[Duree_Cumulee_Panne_Min]]/60</f>
        <v>2.0166666666666666</v>
      </c>
    </row>
    <row r="588" spans="1:10" x14ac:dyDescent="0.35">
      <c r="A588" s="3" t="s">
        <v>39</v>
      </c>
      <c r="B588" t="s">
        <v>343</v>
      </c>
      <c r="C588" t="s">
        <v>27</v>
      </c>
      <c r="D588">
        <v>75</v>
      </c>
      <c r="E588" t="s">
        <v>31</v>
      </c>
      <c r="F588">
        <v>282</v>
      </c>
      <c r="G588">
        <v>45.16</v>
      </c>
      <c r="H588">
        <v>5</v>
      </c>
      <c r="I588" s="3">
        <f>CLIENTS_CHURN[[#This Row],[Anciennete_Mois]]/12</f>
        <v>6.25</v>
      </c>
      <c r="J588" s="3">
        <f>CLIENTS_CHURN[[#This Row],[Duree_Cumulee_Panne_Min]]/60</f>
        <v>4.7</v>
      </c>
    </row>
    <row r="589" spans="1:10" x14ac:dyDescent="0.35">
      <c r="A589" s="3" t="s">
        <v>32</v>
      </c>
      <c r="B589" t="s">
        <v>562</v>
      </c>
      <c r="C589" t="s">
        <v>27</v>
      </c>
      <c r="D589">
        <v>86</v>
      </c>
      <c r="E589" t="s">
        <v>13</v>
      </c>
      <c r="F589">
        <v>111</v>
      </c>
      <c r="G589">
        <v>23.65</v>
      </c>
      <c r="H589">
        <v>0</v>
      </c>
      <c r="I589" s="3">
        <f>CLIENTS_CHURN[[#This Row],[Anciennete_Mois]]/12</f>
        <v>7.166666666666667</v>
      </c>
      <c r="J589" s="3">
        <f>CLIENTS_CHURN[[#This Row],[Duree_Cumulee_Panne_Min]]/60</f>
        <v>1.85</v>
      </c>
    </row>
    <row r="590" spans="1:10" x14ac:dyDescent="0.35">
      <c r="A590" s="3" t="s">
        <v>32</v>
      </c>
      <c r="B590" t="s">
        <v>633</v>
      </c>
      <c r="C590" t="s">
        <v>27</v>
      </c>
      <c r="D590">
        <v>27</v>
      </c>
      <c r="E590" t="s">
        <v>13</v>
      </c>
      <c r="F590">
        <v>61</v>
      </c>
      <c r="G590">
        <v>97.51</v>
      </c>
      <c r="H590">
        <v>5</v>
      </c>
      <c r="I590" s="3">
        <f>CLIENTS_CHURN[[#This Row],[Anciennete_Mois]]/12</f>
        <v>2.25</v>
      </c>
      <c r="J590" s="3">
        <f>CLIENTS_CHURN[[#This Row],[Duree_Cumulee_Panne_Min]]/60</f>
        <v>1.0166666666666666</v>
      </c>
    </row>
    <row r="591" spans="1:10" x14ac:dyDescent="0.35">
      <c r="A591" s="3" t="s">
        <v>35</v>
      </c>
      <c r="B591" t="s">
        <v>659</v>
      </c>
      <c r="C591" t="s">
        <v>27</v>
      </c>
      <c r="D591">
        <v>45</v>
      </c>
      <c r="E591" t="s">
        <v>17</v>
      </c>
      <c r="F591">
        <v>43</v>
      </c>
      <c r="G591">
        <v>12.31</v>
      </c>
      <c r="H591">
        <v>0</v>
      </c>
      <c r="I591" s="3">
        <f>CLIENTS_CHURN[[#This Row],[Anciennete_Mois]]/12</f>
        <v>3.75</v>
      </c>
      <c r="J591" s="3">
        <f>CLIENTS_CHURN[[#This Row],[Duree_Cumulee_Panne_Min]]/60</f>
        <v>0.71666666666666667</v>
      </c>
    </row>
    <row r="592" spans="1:10" x14ac:dyDescent="0.35">
      <c r="A592" s="3" t="s">
        <v>35</v>
      </c>
      <c r="B592" t="s">
        <v>630</v>
      </c>
      <c r="C592" t="s">
        <v>27</v>
      </c>
      <c r="D592">
        <v>91</v>
      </c>
      <c r="E592" t="s">
        <v>17</v>
      </c>
      <c r="F592">
        <v>63</v>
      </c>
      <c r="G592">
        <v>57.76</v>
      </c>
      <c r="H592">
        <v>5</v>
      </c>
      <c r="I592" s="3">
        <f>CLIENTS_CHURN[[#This Row],[Anciennete_Mois]]/12</f>
        <v>7.583333333333333</v>
      </c>
      <c r="J592" s="3">
        <f>CLIENTS_CHURN[[#This Row],[Duree_Cumulee_Panne_Min]]/60</f>
        <v>1.05</v>
      </c>
    </row>
    <row r="593" spans="1:10" x14ac:dyDescent="0.35">
      <c r="A593" s="3" t="s">
        <v>35</v>
      </c>
      <c r="B593" t="s">
        <v>413</v>
      </c>
      <c r="C593" t="s">
        <v>27</v>
      </c>
      <c r="D593">
        <v>73</v>
      </c>
      <c r="E593" t="s">
        <v>17</v>
      </c>
      <c r="F593">
        <v>225</v>
      </c>
      <c r="G593">
        <v>45.86</v>
      </c>
      <c r="H593">
        <v>0</v>
      </c>
      <c r="I593" s="3">
        <f>CLIENTS_CHURN[[#This Row],[Anciennete_Mois]]/12</f>
        <v>6.083333333333333</v>
      </c>
      <c r="J593" s="3">
        <f>CLIENTS_CHURN[[#This Row],[Duree_Cumulee_Panne_Min]]/60</f>
        <v>3.75</v>
      </c>
    </row>
    <row r="594" spans="1:10" x14ac:dyDescent="0.35">
      <c r="A594" s="3" t="s">
        <v>14</v>
      </c>
      <c r="B594" t="s">
        <v>447</v>
      </c>
      <c r="C594" t="s">
        <v>27</v>
      </c>
      <c r="D594">
        <v>29</v>
      </c>
      <c r="E594" t="s">
        <v>20</v>
      </c>
      <c r="F594">
        <v>203</v>
      </c>
      <c r="G594">
        <v>53.97</v>
      </c>
      <c r="H594">
        <v>5</v>
      </c>
      <c r="I594" s="3">
        <f>CLIENTS_CHURN[[#This Row],[Anciennete_Mois]]/12</f>
        <v>2.4166666666666665</v>
      </c>
      <c r="J594" s="3">
        <f>CLIENTS_CHURN[[#This Row],[Duree_Cumulee_Panne_Min]]/60</f>
        <v>3.3833333333333333</v>
      </c>
    </row>
    <row r="595" spans="1:10" x14ac:dyDescent="0.35">
      <c r="A595" s="3" t="s">
        <v>14</v>
      </c>
      <c r="B595" t="s">
        <v>136</v>
      </c>
      <c r="C595" t="s">
        <v>27</v>
      </c>
      <c r="D595">
        <v>65</v>
      </c>
      <c r="E595" t="s">
        <v>31</v>
      </c>
      <c r="F595">
        <v>442</v>
      </c>
      <c r="G595">
        <v>60.62</v>
      </c>
      <c r="H595">
        <v>5</v>
      </c>
      <c r="I595" s="3">
        <f>CLIENTS_CHURN[[#This Row],[Anciennete_Mois]]/12</f>
        <v>5.416666666666667</v>
      </c>
      <c r="J595" s="3">
        <f>CLIENTS_CHURN[[#This Row],[Duree_Cumulee_Panne_Min]]/60</f>
        <v>7.3666666666666663</v>
      </c>
    </row>
    <row r="596" spans="1:10" x14ac:dyDescent="0.35">
      <c r="A596" s="3" t="s">
        <v>61</v>
      </c>
      <c r="B596" t="s">
        <v>78</v>
      </c>
      <c r="C596" t="s">
        <v>27</v>
      </c>
      <c r="D596">
        <v>88</v>
      </c>
      <c r="E596" t="s">
        <v>31</v>
      </c>
      <c r="F596">
        <v>474</v>
      </c>
      <c r="G596">
        <v>23.35</v>
      </c>
      <c r="H596">
        <v>5</v>
      </c>
      <c r="I596" s="3">
        <f>CLIENTS_CHURN[[#This Row],[Anciennete_Mois]]/12</f>
        <v>7.333333333333333</v>
      </c>
      <c r="J596" s="3">
        <f>CLIENTS_CHURN[[#This Row],[Duree_Cumulee_Panne_Min]]/60</f>
        <v>7.9</v>
      </c>
    </row>
    <row r="597" spans="1:10" x14ac:dyDescent="0.35">
      <c r="A597" s="3" t="s">
        <v>51</v>
      </c>
      <c r="B597" t="s">
        <v>259</v>
      </c>
      <c r="C597" t="s">
        <v>27</v>
      </c>
      <c r="D597">
        <v>80</v>
      </c>
      <c r="E597" t="s">
        <v>20</v>
      </c>
      <c r="F597">
        <v>339</v>
      </c>
      <c r="G597">
        <v>59.87</v>
      </c>
      <c r="H597">
        <v>0</v>
      </c>
      <c r="I597" s="3">
        <f>CLIENTS_CHURN[[#This Row],[Anciennete_Mois]]/12</f>
        <v>6.666666666666667</v>
      </c>
      <c r="J597" s="3">
        <f>CLIENTS_CHURN[[#This Row],[Duree_Cumulee_Panne_Min]]/60</f>
        <v>5.65</v>
      </c>
    </row>
    <row r="598" spans="1:10" x14ac:dyDescent="0.35">
      <c r="A598" s="3" t="s">
        <v>51</v>
      </c>
      <c r="B598" t="s">
        <v>668</v>
      </c>
      <c r="C598" t="s">
        <v>27</v>
      </c>
      <c r="D598">
        <v>117</v>
      </c>
      <c r="E598" t="s">
        <v>17</v>
      </c>
      <c r="F598">
        <v>39</v>
      </c>
      <c r="G598">
        <v>26.53</v>
      </c>
      <c r="H598">
        <v>1</v>
      </c>
      <c r="I598" s="3">
        <f>CLIENTS_CHURN[[#This Row],[Anciennete_Mois]]/12</f>
        <v>9.75</v>
      </c>
      <c r="J598" s="3">
        <f>CLIENTS_CHURN[[#This Row],[Duree_Cumulee_Panne_Min]]/60</f>
        <v>0.65</v>
      </c>
    </row>
    <row r="599" spans="1:10" x14ac:dyDescent="0.35">
      <c r="A599" s="3" t="s">
        <v>51</v>
      </c>
      <c r="B599" t="s">
        <v>203</v>
      </c>
      <c r="C599" t="s">
        <v>27</v>
      </c>
      <c r="D599">
        <v>41</v>
      </c>
      <c r="E599" t="s">
        <v>13</v>
      </c>
      <c r="F599">
        <v>383</v>
      </c>
      <c r="G599">
        <v>27.53</v>
      </c>
      <c r="H599">
        <v>4</v>
      </c>
      <c r="I599" s="3">
        <f>CLIENTS_CHURN[[#This Row],[Anciennete_Mois]]/12</f>
        <v>3.4166666666666665</v>
      </c>
      <c r="J599" s="3">
        <f>CLIENTS_CHURN[[#This Row],[Duree_Cumulee_Panne_Min]]/60</f>
        <v>6.3833333333333337</v>
      </c>
    </row>
    <row r="600" spans="1:10" x14ac:dyDescent="0.35">
      <c r="A600" s="3" t="s">
        <v>28</v>
      </c>
      <c r="B600" t="s">
        <v>606</v>
      </c>
      <c r="C600" t="s">
        <v>27</v>
      </c>
      <c r="D600">
        <v>109</v>
      </c>
      <c r="E600" t="s">
        <v>17</v>
      </c>
      <c r="F600">
        <v>84</v>
      </c>
      <c r="G600">
        <v>97.46</v>
      </c>
      <c r="H600">
        <v>5</v>
      </c>
      <c r="I600" s="3">
        <f>CLIENTS_CHURN[[#This Row],[Anciennete_Mois]]/12</f>
        <v>9.0833333333333339</v>
      </c>
      <c r="J600" s="3">
        <f>CLIENTS_CHURN[[#This Row],[Duree_Cumulee_Panne_Min]]/60</f>
        <v>1.4</v>
      </c>
    </row>
    <row r="601" spans="1:10" x14ac:dyDescent="0.35">
      <c r="A601" s="3" t="s">
        <v>28</v>
      </c>
      <c r="B601" t="s">
        <v>665</v>
      </c>
      <c r="C601" t="s">
        <v>27</v>
      </c>
      <c r="D601">
        <v>98</v>
      </c>
      <c r="E601" t="s">
        <v>20</v>
      </c>
      <c r="F601">
        <v>41</v>
      </c>
      <c r="G601">
        <v>23.55</v>
      </c>
      <c r="H601">
        <v>1</v>
      </c>
      <c r="I601" s="3">
        <f>CLIENTS_CHURN[[#This Row],[Anciennete_Mois]]/12</f>
        <v>8.1666666666666661</v>
      </c>
      <c r="J601" s="3">
        <f>CLIENTS_CHURN[[#This Row],[Duree_Cumulee_Panne_Min]]/60</f>
        <v>0.68333333333333335</v>
      </c>
    </row>
    <row r="602" spans="1:10" x14ac:dyDescent="0.35">
      <c r="A602" s="3" t="s">
        <v>10</v>
      </c>
      <c r="B602" t="s">
        <v>76</v>
      </c>
      <c r="C602" t="s">
        <v>27</v>
      </c>
      <c r="D602">
        <v>13</v>
      </c>
      <c r="E602" t="s">
        <v>20</v>
      </c>
      <c r="F602">
        <v>474</v>
      </c>
      <c r="G602">
        <v>63.67</v>
      </c>
      <c r="H602">
        <v>2</v>
      </c>
      <c r="I602" s="3">
        <f>CLIENTS_CHURN[[#This Row],[Anciennete_Mois]]/12</f>
        <v>1.0833333333333333</v>
      </c>
      <c r="J602" s="3">
        <f>CLIENTS_CHURN[[#This Row],[Duree_Cumulee_Panne_Min]]/60</f>
        <v>7.9</v>
      </c>
    </row>
    <row r="603" spans="1:10" x14ac:dyDescent="0.35">
      <c r="A603" s="3" t="s">
        <v>10</v>
      </c>
      <c r="B603" t="s">
        <v>704</v>
      </c>
      <c r="C603" t="s">
        <v>27</v>
      </c>
      <c r="D603">
        <v>65</v>
      </c>
      <c r="E603" t="s">
        <v>13</v>
      </c>
      <c r="F603">
        <v>15</v>
      </c>
      <c r="G603">
        <v>44.47</v>
      </c>
      <c r="H603">
        <v>0</v>
      </c>
      <c r="I603" s="3">
        <f>CLIENTS_CHURN[[#This Row],[Anciennete_Mois]]/12</f>
        <v>5.416666666666667</v>
      </c>
      <c r="J603" s="3">
        <f>CLIENTS_CHURN[[#This Row],[Duree_Cumulee_Panne_Min]]/60</f>
        <v>0.25</v>
      </c>
    </row>
    <row r="604" spans="1:10" x14ac:dyDescent="0.35">
      <c r="A604" s="3" t="s">
        <v>74</v>
      </c>
      <c r="B604" t="s">
        <v>472</v>
      </c>
      <c r="C604" t="s">
        <v>27</v>
      </c>
      <c r="D604">
        <v>34</v>
      </c>
      <c r="E604" t="s">
        <v>17</v>
      </c>
      <c r="F604">
        <v>181</v>
      </c>
      <c r="G604">
        <v>35.92</v>
      </c>
      <c r="H604">
        <v>2</v>
      </c>
      <c r="I604" s="3">
        <f>CLIENTS_CHURN[[#This Row],[Anciennete_Mois]]/12</f>
        <v>2.8333333333333335</v>
      </c>
      <c r="J604" s="3">
        <f>CLIENTS_CHURN[[#This Row],[Duree_Cumulee_Panne_Min]]/60</f>
        <v>3.0166666666666666</v>
      </c>
    </row>
    <row r="605" spans="1:10" x14ac:dyDescent="0.35">
      <c r="A605" s="3" t="s">
        <v>74</v>
      </c>
      <c r="B605" t="s">
        <v>693</v>
      </c>
      <c r="C605" t="s">
        <v>27</v>
      </c>
      <c r="D605">
        <v>49</v>
      </c>
      <c r="E605" t="s">
        <v>17</v>
      </c>
      <c r="F605">
        <v>25</v>
      </c>
      <c r="G605">
        <v>22.77</v>
      </c>
      <c r="H605">
        <v>3</v>
      </c>
      <c r="I605" s="3">
        <f>CLIENTS_CHURN[[#This Row],[Anciennete_Mois]]/12</f>
        <v>4.083333333333333</v>
      </c>
      <c r="J605" s="3">
        <f>CLIENTS_CHURN[[#This Row],[Duree_Cumulee_Panne_Min]]/60</f>
        <v>0.41666666666666669</v>
      </c>
    </row>
    <row r="606" spans="1:10" x14ac:dyDescent="0.35">
      <c r="A606" s="3" t="s">
        <v>74</v>
      </c>
      <c r="B606" t="s">
        <v>614</v>
      </c>
      <c r="C606" t="s">
        <v>27</v>
      </c>
      <c r="D606">
        <v>18</v>
      </c>
      <c r="E606" t="s">
        <v>20</v>
      </c>
      <c r="F606">
        <v>75</v>
      </c>
      <c r="G606">
        <v>57.66</v>
      </c>
      <c r="H606">
        <v>1</v>
      </c>
      <c r="I606" s="3">
        <f>CLIENTS_CHURN[[#This Row],[Anciennete_Mois]]/12</f>
        <v>1.5</v>
      </c>
      <c r="J606" s="3">
        <f>CLIENTS_CHURN[[#This Row],[Duree_Cumulee_Panne_Min]]/60</f>
        <v>1.25</v>
      </c>
    </row>
    <row r="607" spans="1:10" x14ac:dyDescent="0.35">
      <c r="A607" s="3" t="s">
        <v>74</v>
      </c>
      <c r="B607" t="s">
        <v>714</v>
      </c>
      <c r="C607" t="s">
        <v>27</v>
      </c>
      <c r="D607">
        <v>29</v>
      </c>
      <c r="E607" t="s">
        <v>13</v>
      </c>
      <c r="F607">
        <v>8</v>
      </c>
      <c r="G607">
        <v>14.78</v>
      </c>
      <c r="H607">
        <v>2</v>
      </c>
      <c r="I607" s="3">
        <f>CLIENTS_CHURN[[#This Row],[Anciennete_Mois]]/12</f>
        <v>2.4166666666666665</v>
      </c>
      <c r="J607" s="3">
        <f>CLIENTS_CHURN[[#This Row],[Duree_Cumulee_Panne_Min]]/60</f>
        <v>0.13333333333333333</v>
      </c>
    </row>
    <row r="608" spans="1:10" x14ac:dyDescent="0.35">
      <c r="A608" s="3" t="s">
        <v>100</v>
      </c>
      <c r="B608" t="s">
        <v>678</v>
      </c>
      <c r="C608" t="s">
        <v>27</v>
      </c>
      <c r="D608">
        <v>20</v>
      </c>
      <c r="E608" t="s">
        <v>20</v>
      </c>
      <c r="F608">
        <v>31</v>
      </c>
      <c r="G608">
        <v>52.85</v>
      </c>
      <c r="H608">
        <v>2</v>
      </c>
      <c r="I608" s="3">
        <f>CLIENTS_CHURN[[#This Row],[Anciennete_Mois]]/12</f>
        <v>1.6666666666666667</v>
      </c>
      <c r="J608" s="3">
        <f>CLIENTS_CHURN[[#This Row],[Duree_Cumulee_Panne_Min]]/60</f>
        <v>0.51666666666666672</v>
      </c>
    </row>
    <row r="609" spans="1:10" x14ac:dyDescent="0.35">
      <c r="A609" s="3" t="s">
        <v>100</v>
      </c>
      <c r="B609" t="s">
        <v>660</v>
      </c>
      <c r="C609" t="s">
        <v>27</v>
      </c>
      <c r="D609">
        <v>46</v>
      </c>
      <c r="E609" t="s">
        <v>13</v>
      </c>
      <c r="F609">
        <v>43</v>
      </c>
      <c r="G609">
        <v>98.44</v>
      </c>
      <c r="H609">
        <v>2</v>
      </c>
      <c r="I609" s="3">
        <f>CLIENTS_CHURN[[#This Row],[Anciennete_Mois]]/12</f>
        <v>3.8333333333333335</v>
      </c>
      <c r="J609" s="3">
        <f>CLIENTS_CHURN[[#This Row],[Duree_Cumulee_Panne_Min]]/60</f>
        <v>0.71666666666666667</v>
      </c>
    </row>
    <row r="610" spans="1:10" x14ac:dyDescent="0.35">
      <c r="A610" s="3" t="s">
        <v>45</v>
      </c>
      <c r="B610" t="s">
        <v>487</v>
      </c>
      <c r="C610" t="s">
        <v>27</v>
      </c>
      <c r="D610">
        <v>97</v>
      </c>
      <c r="E610" t="s">
        <v>31</v>
      </c>
      <c r="F610">
        <v>173</v>
      </c>
      <c r="G610">
        <v>19.37</v>
      </c>
      <c r="H610">
        <v>5</v>
      </c>
      <c r="I610" s="3">
        <f>CLIENTS_CHURN[[#This Row],[Anciennete_Mois]]/12</f>
        <v>8.0833333333333339</v>
      </c>
      <c r="J610" s="3">
        <f>CLIENTS_CHURN[[#This Row],[Duree_Cumulee_Panne_Min]]/60</f>
        <v>2.8833333333333333</v>
      </c>
    </row>
    <row r="611" spans="1:10" x14ac:dyDescent="0.35">
      <c r="A611" s="3" t="s">
        <v>85</v>
      </c>
      <c r="B611" t="s">
        <v>233</v>
      </c>
      <c r="C611" t="s">
        <v>110</v>
      </c>
      <c r="D611">
        <v>101</v>
      </c>
      <c r="E611" t="s">
        <v>17</v>
      </c>
      <c r="F611">
        <v>358</v>
      </c>
      <c r="G611">
        <v>29.24</v>
      </c>
      <c r="H611">
        <v>3</v>
      </c>
      <c r="I611" s="3">
        <f>CLIENTS_CHURN[[#This Row],[Anciennete_Mois]]/12</f>
        <v>8.4166666666666661</v>
      </c>
      <c r="J611" s="3">
        <f>CLIENTS_CHURN[[#This Row],[Duree_Cumulee_Panne_Min]]/60</f>
        <v>5.9666666666666668</v>
      </c>
    </row>
    <row r="612" spans="1:10" x14ac:dyDescent="0.35">
      <c r="A612" s="3" t="s">
        <v>85</v>
      </c>
      <c r="B612" t="s">
        <v>109</v>
      </c>
      <c r="C612" t="s">
        <v>110</v>
      </c>
      <c r="D612">
        <v>110</v>
      </c>
      <c r="E612" t="s">
        <v>17</v>
      </c>
      <c r="F612">
        <v>454</v>
      </c>
      <c r="G612">
        <v>31.05</v>
      </c>
      <c r="H612">
        <v>1</v>
      </c>
      <c r="I612" s="3">
        <f>CLIENTS_CHURN[[#This Row],[Anciennete_Mois]]/12</f>
        <v>9.1666666666666661</v>
      </c>
      <c r="J612" s="3">
        <f>CLIENTS_CHURN[[#This Row],[Duree_Cumulee_Panne_Min]]/60</f>
        <v>7.5666666666666664</v>
      </c>
    </row>
    <row r="613" spans="1:10" x14ac:dyDescent="0.35">
      <c r="A613" s="3" t="s">
        <v>85</v>
      </c>
      <c r="B613" t="s">
        <v>1448</v>
      </c>
      <c r="C613" t="s">
        <v>110</v>
      </c>
      <c r="D613">
        <v>79</v>
      </c>
      <c r="E613" t="s">
        <v>31</v>
      </c>
      <c r="F613">
        <v>357</v>
      </c>
      <c r="G613">
        <v>69.900000000000006</v>
      </c>
      <c r="H613">
        <v>5</v>
      </c>
      <c r="I613" s="3">
        <f>CLIENTS_CHURN[[#This Row],[Anciennete_Mois]]/12</f>
        <v>6.583333333333333</v>
      </c>
      <c r="J613" s="3">
        <f>CLIENTS_CHURN[[#This Row],[Duree_Cumulee_Panne_Min]]/60</f>
        <v>5.95</v>
      </c>
    </row>
    <row r="614" spans="1:10" x14ac:dyDescent="0.35">
      <c r="A614" s="3" t="s">
        <v>25</v>
      </c>
      <c r="B614" t="s">
        <v>459</v>
      </c>
      <c r="C614" t="s">
        <v>110</v>
      </c>
      <c r="D614">
        <v>59</v>
      </c>
      <c r="E614" t="s">
        <v>17</v>
      </c>
      <c r="F614">
        <v>192</v>
      </c>
      <c r="G614">
        <v>86.17</v>
      </c>
      <c r="H614">
        <v>1</v>
      </c>
      <c r="I614" s="3">
        <f>CLIENTS_CHURN[[#This Row],[Anciennete_Mois]]/12</f>
        <v>4.916666666666667</v>
      </c>
      <c r="J614" s="3">
        <f>CLIENTS_CHURN[[#This Row],[Duree_Cumulee_Panne_Min]]/60</f>
        <v>3.2</v>
      </c>
    </row>
    <row r="615" spans="1:10" x14ac:dyDescent="0.35">
      <c r="A615" s="3" t="s">
        <v>25</v>
      </c>
      <c r="B615" t="s">
        <v>311</v>
      </c>
      <c r="C615" t="s">
        <v>110</v>
      </c>
      <c r="D615">
        <v>12</v>
      </c>
      <c r="E615" t="s">
        <v>20</v>
      </c>
      <c r="F615">
        <v>305</v>
      </c>
      <c r="G615">
        <v>59.96</v>
      </c>
      <c r="H615">
        <v>3</v>
      </c>
      <c r="I615" s="3">
        <f>CLIENTS_CHURN[[#This Row],[Anciennete_Mois]]/12</f>
        <v>1</v>
      </c>
      <c r="J615" s="3">
        <f>CLIENTS_CHURN[[#This Row],[Duree_Cumulee_Panne_Min]]/60</f>
        <v>5.083333333333333</v>
      </c>
    </row>
    <row r="616" spans="1:10" x14ac:dyDescent="0.35">
      <c r="A616" s="3" t="s">
        <v>25</v>
      </c>
      <c r="B616" t="s">
        <v>546</v>
      </c>
      <c r="C616" t="s">
        <v>110</v>
      </c>
      <c r="D616">
        <v>94</v>
      </c>
      <c r="E616" t="s">
        <v>17</v>
      </c>
      <c r="F616">
        <v>122</v>
      </c>
      <c r="G616">
        <v>95.74</v>
      </c>
      <c r="H616">
        <v>5</v>
      </c>
      <c r="I616" s="3">
        <f>CLIENTS_CHURN[[#This Row],[Anciennete_Mois]]/12</f>
        <v>7.833333333333333</v>
      </c>
      <c r="J616" s="3">
        <f>CLIENTS_CHURN[[#This Row],[Duree_Cumulee_Panne_Min]]/60</f>
        <v>2.0333333333333332</v>
      </c>
    </row>
    <row r="617" spans="1:10" x14ac:dyDescent="0.35">
      <c r="A617" s="3" t="s">
        <v>25</v>
      </c>
      <c r="B617" t="s">
        <v>551</v>
      </c>
      <c r="C617" t="s">
        <v>110</v>
      </c>
      <c r="D617">
        <v>22</v>
      </c>
      <c r="E617" t="s">
        <v>17</v>
      </c>
      <c r="F617">
        <v>119</v>
      </c>
      <c r="G617">
        <v>72.86</v>
      </c>
      <c r="H617">
        <v>3</v>
      </c>
      <c r="I617" s="3">
        <f>CLIENTS_CHURN[[#This Row],[Anciennete_Mois]]/12</f>
        <v>1.8333333333333333</v>
      </c>
      <c r="J617" s="3">
        <f>CLIENTS_CHURN[[#This Row],[Duree_Cumulee_Panne_Min]]/60</f>
        <v>1.9833333333333334</v>
      </c>
    </row>
    <row r="618" spans="1:10" x14ac:dyDescent="0.35">
      <c r="A618" s="3" t="s">
        <v>69</v>
      </c>
      <c r="B618" t="s">
        <v>722</v>
      </c>
      <c r="C618" t="s">
        <v>110</v>
      </c>
      <c r="D618">
        <v>72</v>
      </c>
      <c r="E618" t="s">
        <v>13</v>
      </c>
      <c r="F618">
        <v>5</v>
      </c>
      <c r="G618">
        <v>68.650000000000006</v>
      </c>
      <c r="H618">
        <v>0</v>
      </c>
      <c r="I618" s="3">
        <f>CLIENTS_CHURN[[#This Row],[Anciennete_Mois]]/12</f>
        <v>6</v>
      </c>
      <c r="J618" s="3">
        <f>CLIENTS_CHURN[[#This Row],[Duree_Cumulee_Panne_Min]]/60</f>
        <v>8.3333333333333329E-2</v>
      </c>
    </row>
    <row r="619" spans="1:10" x14ac:dyDescent="0.35">
      <c r="A619" s="3" t="s">
        <v>39</v>
      </c>
      <c r="B619" t="s">
        <v>134</v>
      </c>
      <c r="C619" t="s">
        <v>110</v>
      </c>
      <c r="D619">
        <v>68</v>
      </c>
      <c r="E619" t="s">
        <v>13</v>
      </c>
      <c r="F619">
        <v>443</v>
      </c>
      <c r="G619">
        <v>12.09</v>
      </c>
      <c r="H619">
        <v>3</v>
      </c>
      <c r="I619" s="3">
        <f>CLIENTS_CHURN[[#This Row],[Anciennete_Mois]]/12</f>
        <v>5.666666666666667</v>
      </c>
      <c r="J619" s="3">
        <f>CLIENTS_CHURN[[#This Row],[Duree_Cumulee_Panne_Min]]/60</f>
        <v>7.3833333333333337</v>
      </c>
    </row>
    <row r="620" spans="1:10" x14ac:dyDescent="0.35">
      <c r="A620" s="3" t="s">
        <v>32</v>
      </c>
      <c r="B620" t="s">
        <v>331</v>
      </c>
      <c r="C620" t="s">
        <v>110</v>
      </c>
      <c r="D620">
        <v>18</v>
      </c>
      <c r="E620" t="s">
        <v>31</v>
      </c>
      <c r="F620">
        <v>291</v>
      </c>
      <c r="G620">
        <v>97.98</v>
      </c>
      <c r="H620">
        <v>1</v>
      </c>
      <c r="I620" s="3">
        <f>CLIENTS_CHURN[[#This Row],[Anciennete_Mois]]/12</f>
        <v>1.5</v>
      </c>
      <c r="J620" s="3">
        <f>CLIENTS_CHURN[[#This Row],[Duree_Cumulee_Panne_Min]]/60</f>
        <v>4.8499999999999996</v>
      </c>
    </row>
    <row r="621" spans="1:10" x14ac:dyDescent="0.35">
      <c r="A621" s="3" t="s">
        <v>35</v>
      </c>
      <c r="B621" t="s">
        <v>258</v>
      </c>
      <c r="C621" t="s">
        <v>110</v>
      </c>
      <c r="D621">
        <v>47</v>
      </c>
      <c r="E621" t="s">
        <v>17</v>
      </c>
      <c r="F621">
        <v>340</v>
      </c>
      <c r="G621">
        <v>31.02</v>
      </c>
      <c r="H621">
        <v>5</v>
      </c>
      <c r="I621" s="3">
        <f>CLIENTS_CHURN[[#This Row],[Anciennete_Mois]]/12</f>
        <v>3.9166666666666665</v>
      </c>
      <c r="J621" s="3">
        <f>CLIENTS_CHURN[[#This Row],[Duree_Cumulee_Panne_Min]]/60</f>
        <v>5.666666666666667</v>
      </c>
    </row>
    <row r="622" spans="1:10" x14ac:dyDescent="0.35">
      <c r="A622" s="3" t="s">
        <v>14</v>
      </c>
      <c r="B622" t="s">
        <v>240</v>
      </c>
      <c r="C622" t="s">
        <v>110</v>
      </c>
      <c r="D622">
        <v>103</v>
      </c>
      <c r="E622" t="s">
        <v>13</v>
      </c>
      <c r="F622">
        <v>354</v>
      </c>
      <c r="G622">
        <v>26.19</v>
      </c>
      <c r="H622">
        <v>4</v>
      </c>
      <c r="I622" s="3">
        <f>CLIENTS_CHURN[[#This Row],[Anciennete_Mois]]/12</f>
        <v>8.5833333333333339</v>
      </c>
      <c r="J622" s="3">
        <f>CLIENTS_CHURN[[#This Row],[Duree_Cumulee_Panne_Min]]/60</f>
        <v>5.9</v>
      </c>
    </row>
    <row r="623" spans="1:10" x14ac:dyDescent="0.35">
      <c r="A623" s="3" t="s">
        <v>21</v>
      </c>
      <c r="B623" t="s">
        <v>599</v>
      </c>
      <c r="C623" t="s">
        <v>110</v>
      </c>
      <c r="D623">
        <v>113</v>
      </c>
      <c r="E623" t="s">
        <v>13</v>
      </c>
      <c r="F623">
        <v>89</v>
      </c>
      <c r="G623">
        <v>54.28</v>
      </c>
      <c r="H623">
        <v>0</v>
      </c>
      <c r="I623" s="3">
        <f>CLIENTS_CHURN[[#This Row],[Anciennete_Mois]]/12</f>
        <v>9.4166666666666661</v>
      </c>
      <c r="J623" s="3">
        <f>CLIENTS_CHURN[[#This Row],[Duree_Cumulee_Panne_Min]]/60</f>
        <v>1.4833333333333334</v>
      </c>
    </row>
    <row r="624" spans="1:10" x14ac:dyDescent="0.35">
      <c r="A624" s="3" t="s">
        <v>51</v>
      </c>
      <c r="B624" t="s">
        <v>667</v>
      </c>
      <c r="C624" t="s">
        <v>110</v>
      </c>
      <c r="D624">
        <v>34</v>
      </c>
      <c r="E624" t="s">
        <v>31</v>
      </c>
      <c r="F624">
        <v>40</v>
      </c>
      <c r="G624">
        <v>65.709999999999994</v>
      </c>
      <c r="H624">
        <v>5</v>
      </c>
      <c r="I624" s="3">
        <f>CLIENTS_CHURN[[#This Row],[Anciennete_Mois]]/12</f>
        <v>2.8333333333333335</v>
      </c>
      <c r="J624" s="3">
        <f>CLIENTS_CHURN[[#This Row],[Duree_Cumulee_Panne_Min]]/60</f>
        <v>0.66666666666666663</v>
      </c>
    </row>
    <row r="625" spans="1:10" x14ac:dyDescent="0.35">
      <c r="A625" s="3" t="s">
        <v>51</v>
      </c>
      <c r="B625" t="s">
        <v>355</v>
      </c>
      <c r="C625" t="s">
        <v>110</v>
      </c>
      <c r="D625">
        <v>19</v>
      </c>
      <c r="E625" t="s">
        <v>13</v>
      </c>
      <c r="F625">
        <v>270</v>
      </c>
      <c r="G625">
        <v>19.760000000000002</v>
      </c>
      <c r="H625">
        <v>3</v>
      </c>
      <c r="I625" s="3">
        <f>CLIENTS_CHURN[[#This Row],[Anciennete_Mois]]/12</f>
        <v>1.5833333333333333</v>
      </c>
      <c r="J625" s="3">
        <f>CLIENTS_CHURN[[#This Row],[Duree_Cumulee_Panne_Min]]/60</f>
        <v>4.5</v>
      </c>
    </row>
    <row r="626" spans="1:10" x14ac:dyDescent="0.35">
      <c r="A626" s="3" t="s">
        <v>51</v>
      </c>
      <c r="B626" t="s">
        <v>1503</v>
      </c>
      <c r="C626" t="s">
        <v>110</v>
      </c>
      <c r="D626">
        <v>101</v>
      </c>
      <c r="E626" t="s">
        <v>20</v>
      </c>
      <c r="F626">
        <v>210</v>
      </c>
      <c r="G626">
        <v>35.4</v>
      </c>
      <c r="H626">
        <v>1</v>
      </c>
      <c r="I626" s="3">
        <f>CLIENTS_CHURN[[#This Row],[Anciennete_Mois]]/12</f>
        <v>8.4166666666666661</v>
      </c>
      <c r="J626" s="3">
        <f>CLIENTS_CHURN[[#This Row],[Duree_Cumulee_Panne_Min]]/60</f>
        <v>3.5</v>
      </c>
    </row>
    <row r="627" spans="1:10" x14ac:dyDescent="0.35">
      <c r="A627" s="3" t="s">
        <v>28</v>
      </c>
      <c r="B627" t="s">
        <v>510</v>
      </c>
      <c r="C627" t="s">
        <v>110</v>
      </c>
      <c r="D627">
        <v>113</v>
      </c>
      <c r="E627" t="s">
        <v>20</v>
      </c>
      <c r="F627">
        <v>152</v>
      </c>
      <c r="G627">
        <v>51.28</v>
      </c>
      <c r="H627">
        <v>4</v>
      </c>
      <c r="I627" s="3">
        <f>CLIENTS_CHURN[[#This Row],[Anciennete_Mois]]/12</f>
        <v>9.4166666666666661</v>
      </c>
      <c r="J627" s="3">
        <f>CLIENTS_CHURN[[#This Row],[Duree_Cumulee_Panne_Min]]/60</f>
        <v>2.5333333333333332</v>
      </c>
    </row>
    <row r="628" spans="1:10" x14ac:dyDescent="0.35">
      <c r="A628" s="3" t="s">
        <v>10</v>
      </c>
      <c r="B628" t="s">
        <v>607</v>
      </c>
      <c r="C628" t="s">
        <v>110</v>
      </c>
      <c r="D628">
        <v>67</v>
      </c>
      <c r="E628" t="s">
        <v>17</v>
      </c>
      <c r="F628">
        <v>81</v>
      </c>
      <c r="G628">
        <v>28.52</v>
      </c>
      <c r="H628">
        <v>4</v>
      </c>
      <c r="I628" s="3">
        <f>CLIENTS_CHURN[[#This Row],[Anciennete_Mois]]/12</f>
        <v>5.583333333333333</v>
      </c>
      <c r="J628" s="3">
        <f>CLIENTS_CHURN[[#This Row],[Duree_Cumulee_Panne_Min]]/60</f>
        <v>1.35</v>
      </c>
    </row>
    <row r="629" spans="1:10" x14ac:dyDescent="0.35">
      <c r="A629" s="3" t="s">
        <v>10</v>
      </c>
      <c r="B629" t="s">
        <v>563</v>
      </c>
      <c r="C629" t="s">
        <v>110</v>
      </c>
      <c r="D629">
        <v>71</v>
      </c>
      <c r="E629" t="s">
        <v>20</v>
      </c>
      <c r="F629">
        <v>111</v>
      </c>
      <c r="G629">
        <v>95.53</v>
      </c>
      <c r="H629">
        <v>3</v>
      </c>
      <c r="I629" s="3">
        <f>CLIENTS_CHURN[[#This Row],[Anciennete_Mois]]/12</f>
        <v>5.916666666666667</v>
      </c>
      <c r="J629" s="3">
        <f>CLIENTS_CHURN[[#This Row],[Duree_Cumulee_Panne_Min]]/60</f>
        <v>1.85</v>
      </c>
    </row>
    <row r="630" spans="1:10" x14ac:dyDescent="0.35">
      <c r="A630" s="3" t="s">
        <v>10</v>
      </c>
      <c r="B630" t="s">
        <v>702</v>
      </c>
      <c r="C630" t="s">
        <v>110</v>
      </c>
      <c r="D630">
        <v>74</v>
      </c>
      <c r="E630" t="s">
        <v>17</v>
      </c>
      <c r="F630">
        <v>16</v>
      </c>
      <c r="G630">
        <v>93.01</v>
      </c>
      <c r="H630">
        <v>3</v>
      </c>
      <c r="I630" s="3">
        <f>CLIENTS_CHURN[[#This Row],[Anciennete_Mois]]/12</f>
        <v>6.166666666666667</v>
      </c>
      <c r="J630" s="3">
        <f>CLIENTS_CHURN[[#This Row],[Duree_Cumulee_Panne_Min]]/60</f>
        <v>0.26666666666666666</v>
      </c>
    </row>
    <row r="631" spans="1:10" x14ac:dyDescent="0.35">
      <c r="A631" s="3" t="s">
        <v>74</v>
      </c>
      <c r="B631" t="s">
        <v>582</v>
      </c>
      <c r="C631" t="s">
        <v>110</v>
      </c>
      <c r="D631">
        <v>75</v>
      </c>
      <c r="E631" t="s">
        <v>17</v>
      </c>
      <c r="F631">
        <v>99</v>
      </c>
      <c r="G631">
        <v>16.93</v>
      </c>
      <c r="H631">
        <v>5</v>
      </c>
      <c r="I631" s="3">
        <f>CLIENTS_CHURN[[#This Row],[Anciennete_Mois]]/12</f>
        <v>6.25</v>
      </c>
      <c r="J631" s="3">
        <f>CLIENTS_CHURN[[#This Row],[Duree_Cumulee_Panne_Min]]/60</f>
        <v>1.65</v>
      </c>
    </row>
    <row r="632" spans="1:10" x14ac:dyDescent="0.35">
      <c r="A632" s="3" t="s">
        <v>74</v>
      </c>
      <c r="B632" t="s">
        <v>446</v>
      </c>
      <c r="C632" t="s">
        <v>110</v>
      </c>
      <c r="D632">
        <v>15</v>
      </c>
      <c r="E632" t="s">
        <v>20</v>
      </c>
      <c r="F632">
        <v>203</v>
      </c>
      <c r="G632">
        <v>55.29</v>
      </c>
      <c r="H632">
        <v>2</v>
      </c>
      <c r="I632" s="3">
        <f>CLIENTS_CHURN[[#This Row],[Anciennete_Mois]]/12</f>
        <v>1.25</v>
      </c>
      <c r="J632" s="3">
        <f>CLIENTS_CHURN[[#This Row],[Duree_Cumulee_Panne_Min]]/60</f>
        <v>3.3833333333333333</v>
      </c>
    </row>
    <row r="633" spans="1:10" x14ac:dyDescent="0.35">
      <c r="A633" s="3" t="s">
        <v>100</v>
      </c>
      <c r="B633" t="s">
        <v>188</v>
      </c>
      <c r="C633" t="s">
        <v>110</v>
      </c>
      <c r="D633">
        <v>16</v>
      </c>
      <c r="E633" t="s">
        <v>17</v>
      </c>
      <c r="F633">
        <v>390</v>
      </c>
      <c r="G633">
        <v>52.64</v>
      </c>
      <c r="H633">
        <v>0</v>
      </c>
      <c r="I633" s="3">
        <f>CLIENTS_CHURN[[#This Row],[Anciennete_Mois]]/12</f>
        <v>1.3333333333333333</v>
      </c>
      <c r="J633" s="3">
        <f>CLIENTS_CHURN[[#This Row],[Duree_Cumulee_Panne_Min]]/60</f>
        <v>6.5</v>
      </c>
    </row>
    <row r="634" spans="1:10" x14ac:dyDescent="0.35">
      <c r="A634" s="3" t="s">
        <v>100</v>
      </c>
      <c r="B634" t="s">
        <v>1519</v>
      </c>
      <c r="C634" t="s">
        <v>110</v>
      </c>
      <c r="D634">
        <v>72</v>
      </c>
      <c r="E634" t="s">
        <v>20</v>
      </c>
      <c r="F634">
        <v>442</v>
      </c>
      <c r="G634">
        <v>59.2</v>
      </c>
      <c r="H634">
        <v>1</v>
      </c>
      <c r="I634" s="3">
        <f>CLIENTS_CHURN[[#This Row],[Anciennete_Mois]]/12</f>
        <v>6</v>
      </c>
      <c r="J634" s="3">
        <f>CLIENTS_CHURN[[#This Row],[Duree_Cumulee_Panne_Min]]/60</f>
        <v>7.3666666666666663</v>
      </c>
    </row>
    <row r="635" spans="1:10" x14ac:dyDescent="0.35">
      <c r="A635" s="3" t="s">
        <v>100</v>
      </c>
      <c r="B635" t="s">
        <v>625</v>
      </c>
      <c r="C635" t="s">
        <v>110</v>
      </c>
      <c r="D635">
        <v>80</v>
      </c>
      <c r="E635" t="s">
        <v>31</v>
      </c>
      <c r="F635">
        <v>65</v>
      </c>
      <c r="G635">
        <v>76.64</v>
      </c>
      <c r="H635">
        <v>3</v>
      </c>
      <c r="I635" s="3">
        <f>CLIENTS_CHURN[[#This Row],[Anciennete_Mois]]/12</f>
        <v>6.666666666666667</v>
      </c>
      <c r="J635" s="3">
        <f>CLIENTS_CHURN[[#This Row],[Duree_Cumulee_Panne_Min]]/60</f>
        <v>1.0833333333333333</v>
      </c>
    </row>
    <row r="636" spans="1:10" x14ac:dyDescent="0.35">
      <c r="A636" s="3" t="s">
        <v>45</v>
      </c>
      <c r="B636" t="s">
        <v>1527</v>
      </c>
      <c r="C636" t="s">
        <v>110</v>
      </c>
      <c r="D636">
        <v>14</v>
      </c>
      <c r="E636" t="s">
        <v>31</v>
      </c>
      <c r="F636">
        <v>37</v>
      </c>
      <c r="G636">
        <v>20.399999999999999</v>
      </c>
      <c r="H636">
        <v>2</v>
      </c>
      <c r="I636" s="3">
        <f>CLIENTS_CHURN[[#This Row],[Anciennete_Mois]]/12</f>
        <v>1.1666666666666667</v>
      </c>
      <c r="J636" s="3">
        <f>CLIENTS_CHURN[[#This Row],[Duree_Cumulee_Panne_Min]]/60</f>
        <v>0.6166666666666667</v>
      </c>
    </row>
    <row r="637" spans="1:10" x14ac:dyDescent="0.35">
      <c r="A637" s="3" t="s">
        <v>85</v>
      </c>
      <c r="B637" t="s">
        <v>234</v>
      </c>
      <c r="C637" t="s">
        <v>16</v>
      </c>
      <c r="D637">
        <v>91</v>
      </c>
      <c r="E637" t="s">
        <v>20</v>
      </c>
      <c r="F637">
        <v>358</v>
      </c>
      <c r="G637">
        <v>21.14</v>
      </c>
      <c r="H637">
        <v>5</v>
      </c>
      <c r="I637" s="3">
        <f>CLIENTS_CHURN[[#This Row],[Anciennete_Mois]]/12</f>
        <v>7.583333333333333</v>
      </c>
      <c r="J637" s="3">
        <f>CLIENTS_CHURN[[#This Row],[Duree_Cumulee_Panne_Min]]/60</f>
        <v>5.9666666666666668</v>
      </c>
    </row>
    <row r="638" spans="1:10" x14ac:dyDescent="0.35">
      <c r="A638" s="3" t="s">
        <v>85</v>
      </c>
      <c r="B638" t="s">
        <v>350</v>
      </c>
      <c r="C638" t="s">
        <v>16</v>
      </c>
      <c r="D638">
        <v>27</v>
      </c>
      <c r="E638" t="s">
        <v>31</v>
      </c>
      <c r="F638">
        <v>275</v>
      </c>
      <c r="G638">
        <v>80.069999999999993</v>
      </c>
      <c r="H638">
        <v>1</v>
      </c>
      <c r="I638" s="3">
        <f>CLIENTS_CHURN[[#This Row],[Anciennete_Mois]]/12</f>
        <v>2.25</v>
      </c>
      <c r="J638" s="3">
        <f>CLIENTS_CHURN[[#This Row],[Duree_Cumulee_Panne_Min]]/60</f>
        <v>4.583333333333333</v>
      </c>
    </row>
    <row r="639" spans="1:10" x14ac:dyDescent="0.35">
      <c r="A639" s="3" t="s">
        <v>85</v>
      </c>
      <c r="B639" t="s">
        <v>207</v>
      </c>
      <c r="C639" t="s">
        <v>16</v>
      </c>
      <c r="D639">
        <v>113</v>
      </c>
      <c r="E639" t="s">
        <v>17</v>
      </c>
      <c r="F639">
        <v>380</v>
      </c>
      <c r="G639">
        <v>12.11</v>
      </c>
      <c r="H639">
        <v>0</v>
      </c>
      <c r="I639" s="3">
        <f>CLIENTS_CHURN[[#This Row],[Anciennete_Mois]]/12</f>
        <v>9.4166666666666661</v>
      </c>
      <c r="J639" s="3">
        <f>CLIENTS_CHURN[[#This Row],[Duree_Cumulee_Panne_Min]]/60</f>
        <v>6.333333333333333</v>
      </c>
    </row>
    <row r="640" spans="1:10" x14ac:dyDescent="0.35">
      <c r="A640" s="3" t="s">
        <v>25</v>
      </c>
      <c r="B640" t="s">
        <v>1456</v>
      </c>
      <c r="C640" t="s">
        <v>16</v>
      </c>
      <c r="D640">
        <v>11</v>
      </c>
      <c r="E640" t="s">
        <v>31</v>
      </c>
      <c r="F640">
        <v>402</v>
      </c>
      <c r="G640">
        <v>69.599999999999994</v>
      </c>
      <c r="H640">
        <v>5</v>
      </c>
      <c r="I640" s="3">
        <f>CLIENTS_CHURN[[#This Row],[Anciennete_Mois]]/12</f>
        <v>0.91666666666666663</v>
      </c>
      <c r="J640" s="3">
        <f>CLIENTS_CHURN[[#This Row],[Duree_Cumulee_Panne_Min]]/60</f>
        <v>6.7</v>
      </c>
    </row>
    <row r="641" spans="1:10" x14ac:dyDescent="0.35">
      <c r="A641" s="3" t="s">
        <v>69</v>
      </c>
      <c r="B641" t="s">
        <v>1459</v>
      </c>
      <c r="C641" t="s">
        <v>16</v>
      </c>
      <c r="D641">
        <v>87</v>
      </c>
      <c r="E641" t="s">
        <v>20</v>
      </c>
      <c r="F641">
        <v>450</v>
      </c>
      <c r="G641">
        <v>64.3</v>
      </c>
      <c r="H641">
        <v>2</v>
      </c>
      <c r="I641" s="3">
        <f>CLIENTS_CHURN[[#This Row],[Anciennete_Mois]]/12</f>
        <v>7.25</v>
      </c>
      <c r="J641" s="3">
        <f>CLIENTS_CHURN[[#This Row],[Duree_Cumulee_Panne_Min]]/60</f>
        <v>7.5</v>
      </c>
    </row>
    <row r="642" spans="1:10" x14ac:dyDescent="0.35">
      <c r="A642" s="3" t="s">
        <v>69</v>
      </c>
      <c r="B642" t="s">
        <v>226</v>
      </c>
      <c r="C642" t="s">
        <v>16</v>
      </c>
      <c r="D642">
        <v>93</v>
      </c>
      <c r="E642" t="s">
        <v>31</v>
      </c>
      <c r="F642">
        <v>365</v>
      </c>
      <c r="G642">
        <v>72.319999999999993</v>
      </c>
      <c r="H642">
        <v>1</v>
      </c>
      <c r="I642" s="3">
        <f>CLIENTS_CHURN[[#This Row],[Anciennete_Mois]]/12</f>
        <v>7.75</v>
      </c>
      <c r="J642" s="3">
        <f>CLIENTS_CHURN[[#This Row],[Duree_Cumulee_Panne_Min]]/60</f>
        <v>6.083333333333333</v>
      </c>
    </row>
    <row r="643" spans="1:10" x14ac:dyDescent="0.35">
      <c r="A643" s="3" t="s">
        <v>39</v>
      </c>
      <c r="B643" t="s">
        <v>552</v>
      </c>
      <c r="C643" t="s">
        <v>16</v>
      </c>
      <c r="D643">
        <v>52</v>
      </c>
      <c r="E643" t="s">
        <v>17</v>
      </c>
      <c r="F643">
        <v>119</v>
      </c>
      <c r="G643">
        <v>64.709999999999994</v>
      </c>
      <c r="H643">
        <v>4</v>
      </c>
      <c r="I643" s="3">
        <f>CLIENTS_CHURN[[#This Row],[Anciennete_Mois]]/12</f>
        <v>4.333333333333333</v>
      </c>
      <c r="J643" s="3">
        <f>CLIENTS_CHURN[[#This Row],[Duree_Cumulee_Panne_Min]]/60</f>
        <v>1.9833333333333334</v>
      </c>
    </row>
    <row r="644" spans="1:10" x14ac:dyDescent="0.35">
      <c r="A644" s="3" t="s">
        <v>39</v>
      </c>
      <c r="B644" t="s">
        <v>54</v>
      </c>
      <c r="C644" t="s">
        <v>16</v>
      </c>
      <c r="D644">
        <v>97</v>
      </c>
      <c r="E644" t="s">
        <v>31</v>
      </c>
      <c r="F644">
        <v>484</v>
      </c>
      <c r="G644">
        <v>61.98</v>
      </c>
      <c r="H644">
        <v>1</v>
      </c>
      <c r="I644" s="3">
        <f>CLIENTS_CHURN[[#This Row],[Anciennete_Mois]]/12</f>
        <v>8.0833333333333339</v>
      </c>
      <c r="J644" s="3">
        <f>CLIENTS_CHURN[[#This Row],[Duree_Cumulee_Panne_Min]]/60</f>
        <v>8.0666666666666664</v>
      </c>
    </row>
    <row r="645" spans="1:10" x14ac:dyDescent="0.35">
      <c r="A645" s="3" t="s">
        <v>39</v>
      </c>
      <c r="B645" t="s">
        <v>140</v>
      </c>
      <c r="C645" t="s">
        <v>16</v>
      </c>
      <c r="D645">
        <v>48</v>
      </c>
      <c r="E645" t="s">
        <v>31</v>
      </c>
      <c r="F645">
        <v>436</v>
      </c>
      <c r="G645">
        <v>15.17</v>
      </c>
      <c r="H645">
        <v>0</v>
      </c>
      <c r="I645" s="3">
        <f>CLIENTS_CHURN[[#This Row],[Anciennete_Mois]]/12</f>
        <v>4</v>
      </c>
      <c r="J645" s="3">
        <f>CLIENTS_CHURN[[#This Row],[Duree_Cumulee_Panne_Min]]/60</f>
        <v>7.2666666666666666</v>
      </c>
    </row>
    <row r="646" spans="1:10" x14ac:dyDescent="0.35">
      <c r="A646" s="3" t="s">
        <v>39</v>
      </c>
      <c r="B646" t="s">
        <v>555</v>
      </c>
      <c r="C646" t="s">
        <v>16</v>
      </c>
      <c r="D646">
        <v>62</v>
      </c>
      <c r="E646" t="s">
        <v>13</v>
      </c>
      <c r="F646">
        <v>116</v>
      </c>
      <c r="G646">
        <v>92.99</v>
      </c>
      <c r="H646">
        <v>5</v>
      </c>
      <c r="I646" s="3">
        <f>CLIENTS_CHURN[[#This Row],[Anciennete_Mois]]/12</f>
        <v>5.166666666666667</v>
      </c>
      <c r="J646" s="3">
        <f>CLIENTS_CHURN[[#This Row],[Duree_Cumulee_Panne_Min]]/60</f>
        <v>1.9333333333333333</v>
      </c>
    </row>
    <row r="647" spans="1:10" x14ac:dyDescent="0.35">
      <c r="A647" s="3" t="s">
        <v>32</v>
      </c>
      <c r="B647" t="s">
        <v>566</v>
      </c>
      <c r="C647" t="s">
        <v>16</v>
      </c>
      <c r="D647">
        <v>6</v>
      </c>
      <c r="E647" t="s">
        <v>20</v>
      </c>
      <c r="F647">
        <v>109</v>
      </c>
      <c r="G647">
        <v>39.880000000000003</v>
      </c>
      <c r="H647">
        <v>4</v>
      </c>
      <c r="I647" s="3">
        <f>CLIENTS_CHURN[[#This Row],[Anciennete_Mois]]/12</f>
        <v>0.5</v>
      </c>
      <c r="J647" s="3">
        <f>CLIENTS_CHURN[[#This Row],[Duree_Cumulee_Panne_Min]]/60</f>
        <v>1.8166666666666667</v>
      </c>
    </row>
    <row r="648" spans="1:10" x14ac:dyDescent="0.35">
      <c r="A648" s="3" t="s">
        <v>32</v>
      </c>
      <c r="B648" t="s">
        <v>445</v>
      </c>
      <c r="C648" t="s">
        <v>16</v>
      </c>
      <c r="D648">
        <v>87</v>
      </c>
      <c r="E648" t="s">
        <v>20</v>
      </c>
      <c r="F648">
        <v>205</v>
      </c>
      <c r="G648">
        <v>40.159999999999997</v>
      </c>
      <c r="H648">
        <v>5</v>
      </c>
      <c r="I648" s="3">
        <f>CLIENTS_CHURN[[#This Row],[Anciennete_Mois]]/12</f>
        <v>7.25</v>
      </c>
      <c r="J648" s="3">
        <f>CLIENTS_CHURN[[#This Row],[Duree_Cumulee_Panne_Min]]/60</f>
        <v>3.4166666666666665</v>
      </c>
    </row>
    <row r="649" spans="1:10" x14ac:dyDescent="0.35">
      <c r="A649" s="3" t="s">
        <v>35</v>
      </c>
      <c r="B649" t="s">
        <v>569</v>
      </c>
      <c r="C649" t="s">
        <v>16</v>
      </c>
      <c r="D649">
        <v>50</v>
      </c>
      <c r="E649" t="s">
        <v>20</v>
      </c>
      <c r="F649">
        <v>108</v>
      </c>
      <c r="G649">
        <v>43.81</v>
      </c>
      <c r="H649">
        <v>5</v>
      </c>
      <c r="I649" s="3">
        <f>CLIENTS_CHURN[[#This Row],[Anciennete_Mois]]/12</f>
        <v>4.166666666666667</v>
      </c>
      <c r="J649" s="3">
        <f>CLIENTS_CHURN[[#This Row],[Duree_Cumulee_Panne_Min]]/60</f>
        <v>1.8</v>
      </c>
    </row>
    <row r="650" spans="1:10" x14ac:dyDescent="0.35">
      <c r="A650" s="3" t="s">
        <v>35</v>
      </c>
      <c r="B650" t="s">
        <v>481</v>
      </c>
      <c r="C650" t="s">
        <v>16</v>
      </c>
      <c r="D650">
        <v>89</v>
      </c>
      <c r="E650" t="s">
        <v>31</v>
      </c>
      <c r="F650">
        <v>175</v>
      </c>
      <c r="G650">
        <v>32.369999999999997</v>
      </c>
      <c r="H650">
        <v>1</v>
      </c>
      <c r="I650" s="3">
        <f>CLIENTS_CHURN[[#This Row],[Anciennete_Mois]]/12</f>
        <v>7.416666666666667</v>
      </c>
      <c r="J650" s="3">
        <f>CLIENTS_CHURN[[#This Row],[Duree_Cumulee_Panne_Min]]/60</f>
        <v>2.9166666666666665</v>
      </c>
    </row>
    <row r="651" spans="1:10" x14ac:dyDescent="0.35">
      <c r="A651" s="3" t="s">
        <v>35</v>
      </c>
      <c r="B651" t="s">
        <v>289</v>
      </c>
      <c r="C651" t="s">
        <v>16</v>
      </c>
      <c r="D651">
        <v>21</v>
      </c>
      <c r="E651" t="s">
        <v>20</v>
      </c>
      <c r="F651">
        <v>320</v>
      </c>
      <c r="G651">
        <v>64.97</v>
      </c>
      <c r="H651">
        <v>1</v>
      </c>
      <c r="I651" s="3">
        <f>CLIENTS_CHURN[[#This Row],[Anciennete_Mois]]/12</f>
        <v>1.75</v>
      </c>
      <c r="J651" s="3">
        <f>CLIENTS_CHURN[[#This Row],[Duree_Cumulee_Panne_Min]]/60</f>
        <v>5.333333333333333</v>
      </c>
    </row>
    <row r="652" spans="1:10" x14ac:dyDescent="0.35">
      <c r="A652" s="3" t="s">
        <v>14</v>
      </c>
      <c r="B652" t="s">
        <v>15</v>
      </c>
      <c r="C652" t="s">
        <v>16</v>
      </c>
      <c r="D652">
        <v>87</v>
      </c>
      <c r="E652" t="s">
        <v>17</v>
      </c>
      <c r="F652">
        <v>498</v>
      </c>
      <c r="G652">
        <v>61.57</v>
      </c>
      <c r="H652">
        <v>0</v>
      </c>
      <c r="I652" s="3">
        <f>CLIENTS_CHURN[[#This Row],[Anciennete_Mois]]/12</f>
        <v>7.25</v>
      </c>
      <c r="J652" s="3">
        <f>CLIENTS_CHURN[[#This Row],[Duree_Cumulee_Panne_Min]]/60</f>
        <v>8.3000000000000007</v>
      </c>
    </row>
    <row r="653" spans="1:10" x14ac:dyDescent="0.35">
      <c r="A653" s="3" t="s">
        <v>21</v>
      </c>
      <c r="B653" t="s">
        <v>366</v>
      </c>
      <c r="C653" t="s">
        <v>16</v>
      </c>
      <c r="D653">
        <v>63</v>
      </c>
      <c r="E653" t="s">
        <v>31</v>
      </c>
      <c r="F653">
        <v>263</v>
      </c>
      <c r="G653">
        <v>53.87</v>
      </c>
      <c r="H653">
        <v>4</v>
      </c>
      <c r="I653" s="3">
        <f>CLIENTS_CHURN[[#This Row],[Anciennete_Mois]]/12</f>
        <v>5.25</v>
      </c>
      <c r="J653" s="3">
        <f>CLIENTS_CHURN[[#This Row],[Duree_Cumulee_Panne_Min]]/60</f>
        <v>4.3833333333333337</v>
      </c>
    </row>
    <row r="654" spans="1:10" x14ac:dyDescent="0.35">
      <c r="A654" s="3" t="s">
        <v>21</v>
      </c>
      <c r="B654" t="s">
        <v>22</v>
      </c>
      <c r="C654" t="s">
        <v>16</v>
      </c>
      <c r="D654">
        <v>35</v>
      </c>
      <c r="E654" t="s">
        <v>20</v>
      </c>
      <c r="F654">
        <v>496</v>
      </c>
      <c r="G654">
        <v>19.78</v>
      </c>
      <c r="H654">
        <v>5</v>
      </c>
      <c r="I654" s="3">
        <f>CLIENTS_CHURN[[#This Row],[Anciennete_Mois]]/12</f>
        <v>2.9166666666666665</v>
      </c>
      <c r="J654" s="3">
        <f>CLIENTS_CHURN[[#This Row],[Duree_Cumulee_Panne_Min]]/60</f>
        <v>8.2666666666666675</v>
      </c>
    </row>
    <row r="655" spans="1:10" x14ac:dyDescent="0.35">
      <c r="A655" s="3" t="s">
        <v>61</v>
      </c>
      <c r="B655" t="s">
        <v>230</v>
      </c>
      <c r="C655" t="s">
        <v>16</v>
      </c>
      <c r="D655">
        <v>6</v>
      </c>
      <c r="E655" t="s">
        <v>13</v>
      </c>
      <c r="F655">
        <v>362</v>
      </c>
      <c r="G655">
        <v>75.739999999999995</v>
      </c>
      <c r="H655">
        <v>4</v>
      </c>
      <c r="I655" s="3">
        <f>CLIENTS_CHURN[[#This Row],[Anciennete_Mois]]/12</f>
        <v>0.5</v>
      </c>
      <c r="J655" s="3">
        <f>CLIENTS_CHURN[[#This Row],[Duree_Cumulee_Panne_Min]]/60</f>
        <v>6.0333333333333332</v>
      </c>
    </row>
    <row r="656" spans="1:10" x14ac:dyDescent="0.35">
      <c r="A656" s="3" t="s">
        <v>61</v>
      </c>
      <c r="B656" t="s">
        <v>515</v>
      </c>
      <c r="C656" t="s">
        <v>16</v>
      </c>
      <c r="D656">
        <v>47</v>
      </c>
      <c r="E656" t="s">
        <v>20</v>
      </c>
      <c r="F656">
        <v>149</v>
      </c>
      <c r="G656">
        <v>28.35</v>
      </c>
      <c r="H656">
        <v>1</v>
      </c>
      <c r="I656" s="3">
        <f>CLIENTS_CHURN[[#This Row],[Anciennete_Mois]]/12</f>
        <v>3.9166666666666665</v>
      </c>
      <c r="J656" s="3">
        <f>CLIENTS_CHURN[[#This Row],[Duree_Cumulee_Panne_Min]]/60</f>
        <v>2.4833333333333334</v>
      </c>
    </row>
    <row r="657" spans="1:10" x14ac:dyDescent="0.35">
      <c r="A657" s="3" t="s">
        <v>51</v>
      </c>
      <c r="B657" t="s">
        <v>52</v>
      </c>
      <c r="C657" t="s">
        <v>16</v>
      </c>
      <c r="D657">
        <v>58</v>
      </c>
      <c r="E657" t="s">
        <v>13</v>
      </c>
      <c r="F657">
        <v>485</v>
      </c>
      <c r="G657">
        <v>64.290000000000006</v>
      </c>
      <c r="H657">
        <v>4</v>
      </c>
      <c r="I657" s="3">
        <f>CLIENTS_CHURN[[#This Row],[Anciennete_Mois]]/12</f>
        <v>4.833333333333333</v>
      </c>
      <c r="J657" s="3">
        <f>CLIENTS_CHURN[[#This Row],[Duree_Cumulee_Panne_Min]]/60</f>
        <v>8.0833333333333339</v>
      </c>
    </row>
    <row r="658" spans="1:10" x14ac:dyDescent="0.35">
      <c r="A658" s="3" t="s">
        <v>51</v>
      </c>
      <c r="B658" t="s">
        <v>411</v>
      </c>
      <c r="C658" t="s">
        <v>16</v>
      </c>
      <c r="D658">
        <v>9</v>
      </c>
      <c r="E658" t="s">
        <v>17</v>
      </c>
      <c r="F658">
        <v>227</v>
      </c>
      <c r="G658">
        <v>63.74</v>
      </c>
      <c r="H658">
        <v>3</v>
      </c>
      <c r="I658" s="3">
        <f>CLIENTS_CHURN[[#This Row],[Anciennete_Mois]]/12</f>
        <v>0.75</v>
      </c>
      <c r="J658" s="3">
        <f>CLIENTS_CHURN[[#This Row],[Duree_Cumulee_Panne_Min]]/60</f>
        <v>3.7833333333333332</v>
      </c>
    </row>
    <row r="659" spans="1:10" x14ac:dyDescent="0.35">
      <c r="A659" s="3" t="s">
        <v>28</v>
      </c>
      <c r="B659" t="s">
        <v>592</v>
      </c>
      <c r="C659" t="s">
        <v>16</v>
      </c>
      <c r="D659">
        <v>37</v>
      </c>
      <c r="E659" t="s">
        <v>13</v>
      </c>
      <c r="F659">
        <v>94</v>
      </c>
      <c r="G659">
        <v>50.44</v>
      </c>
      <c r="H659">
        <v>4</v>
      </c>
      <c r="I659" s="3">
        <f>CLIENTS_CHURN[[#This Row],[Anciennete_Mois]]/12</f>
        <v>3.0833333333333335</v>
      </c>
      <c r="J659" s="3">
        <f>CLIENTS_CHURN[[#This Row],[Duree_Cumulee_Panne_Min]]/60</f>
        <v>1.5666666666666667</v>
      </c>
    </row>
    <row r="660" spans="1:10" x14ac:dyDescent="0.35">
      <c r="A660" s="3" t="s">
        <v>28</v>
      </c>
      <c r="B660" t="s">
        <v>1506</v>
      </c>
      <c r="C660" t="s">
        <v>16</v>
      </c>
      <c r="D660">
        <v>12</v>
      </c>
      <c r="E660" t="s">
        <v>17</v>
      </c>
      <c r="F660">
        <v>138</v>
      </c>
      <c r="G660">
        <v>17</v>
      </c>
      <c r="H660">
        <v>2</v>
      </c>
      <c r="I660" s="3">
        <f>CLIENTS_CHURN[[#This Row],[Anciennete_Mois]]/12</f>
        <v>1</v>
      </c>
      <c r="J660" s="3">
        <f>CLIENTS_CHURN[[#This Row],[Duree_Cumulee_Panne_Min]]/60</f>
        <v>2.2999999999999998</v>
      </c>
    </row>
    <row r="661" spans="1:10" x14ac:dyDescent="0.35">
      <c r="A661" s="3" t="s">
        <v>28</v>
      </c>
      <c r="B661" t="s">
        <v>535</v>
      </c>
      <c r="C661" t="s">
        <v>16</v>
      </c>
      <c r="D661">
        <v>110</v>
      </c>
      <c r="E661" t="s">
        <v>31</v>
      </c>
      <c r="F661">
        <v>132</v>
      </c>
      <c r="G661">
        <v>21.31</v>
      </c>
      <c r="H661">
        <v>5</v>
      </c>
      <c r="I661" s="3">
        <f>CLIENTS_CHURN[[#This Row],[Anciennete_Mois]]/12</f>
        <v>9.1666666666666661</v>
      </c>
      <c r="J661" s="3">
        <f>CLIENTS_CHURN[[#This Row],[Duree_Cumulee_Panne_Min]]/60</f>
        <v>2.2000000000000002</v>
      </c>
    </row>
    <row r="662" spans="1:10" x14ac:dyDescent="0.35">
      <c r="A662" s="3" t="s">
        <v>28</v>
      </c>
      <c r="B662" t="s">
        <v>127</v>
      </c>
      <c r="C662" t="s">
        <v>16</v>
      </c>
      <c r="D662">
        <v>57</v>
      </c>
      <c r="E662" t="s">
        <v>31</v>
      </c>
      <c r="F662">
        <v>447</v>
      </c>
      <c r="G662">
        <v>23.27</v>
      </c>
      <c r="H662">
        <v>3</v>
      </c>
      <c r="I662" s="3">
        <f>CLIENTS_CHURN[[#This Row],[Anciennete_Mois]]/12</f>
        <v>4.75</v>
      </c>
      <c r="J662" s="3">
        <f>CLIENTS_CHURN[[#This Row],[Duree_Cumulee_Panne_Min]]/60</f>
        <v>7.45</v>
      </c>
    </row>
    <row r="663" spans="1:10" x14ac:dyDescent="0.35">
      <c r="A663" s="3" t="s">
        <v>10</v>
      </c>
      <c r="B663" t="s">
        <v>621</v>
      </c>
      <c r="C663" t="s">
        <v>16</v>
      </c>
      <c r="D663">
        <v>27</v>
      </c>
      <c r="E663" t="s">
        <v>31</v>
      </c>
      <c r="F663">
        <v>70</v>
      </c>
      <c r="G663">
        <v>20.32</v>
      </c>
      <c r="H663">
        <v>3</v>
      </c>
      <c r="I663" s="3">
        <f>CLIENTS_CHURN[[#This Row],[Anciennete_Mois]]/12</f>
        <v>2.25</v>
      </c>
      <c r="J663" s="3">
        <f>CLIENTS_CHURN[[#This Row],[Duree_Cumulee_Panne_Min]]/60</f>
        <v>1.1666666666666667</v>
      </c>
    </row>
    <row r="664" spans="1:10" x14ac:dyDescent="0.35">
      <c r="A664" s="3" t="s">
        <v>74</v>
      </c>
      <c r="B664" t="s">
        <v>520</v>
      </c>
      <c r="C664" t="s">
        <v>16</v>
      </c>
      <c r="D664">
        <v>79</v>
      </c>
      <c r="E664" t="s">
        <v>17</v>
      </c>
      <c r="F664">
        <v>139</v>
      </c>
      <c r="G664">
        <v>16.25</v>
      </c>
      <c r="H664">
        <v>4</v>
      </c>
      <c r="I664" s="3">
        <f>CLIENTS_CHURN[[#This Row],[Anciennete_Mois]]/12</f>
        <v>6.583333333333333</v>
      </c>
      <c r="J664" s="3">
        <f>CLIENTS_CHURN[[#This Row],[Duree_Cumulee_Panne_Min]]/60</f>
        <v>2.3166666666666669</v>
      </c>
    </row>
    <row r="665" spans="1:10" x14ac:dyDescent="0.35">
      <c r="A665" s="3" t="s">
        <v>74</v>
      </c>
      <c r="B665" t="s">
        <v>512</v>
      </c>
      <c r="C665" t="s">
        <v>16</v>
      </c>
      <c r="D665">
        <v>59</v>
      </c>
      <c r="E665" t="s">
        <v>31</v>
      </c>
      <c r="F665">
        <v>150</v>
      </c>
      <c r="G665">
        <v>71.13</v>
      </c>
      <c r="H665">
        <v>0</v>
      </c>
      <c r="I665" s="3">
        <f>CLIENTS_CHURN[[#This Row],[Anciennete_Mois]]/12</f>
        <v>4.916666666666667</v>
      </c>
      <c r="J665" s="3">
        <f>CLIENTS_CHURN[[#This Row],[Duree_Cumulee_Panne_Min]]/60</f>
        <v>2.5</v>
      </c>
    </row>
    <row r="666" spans="1:10" x14ac:dyDescent="0.35">
      <c r="A666" s="3" t="s">
        <v>100</v>
      </c>
      <c r="B666" t="s">
        <v>314</v>
      </c>
      <c r="C666" t="s">
        <v>16</v>
      </c>
      <c r="D666">
        <v>45</v>
      </c>
      <c r="E666" t="s">
        <v>20</v>
      </c>
      <c r="F666">
        <v>304</v>
      </c>
      <c r="G666">
        <v>65.540000000000006</v>
      </c>
      <c r="H666">
        <v>2</v>
      </c>
      <c r="I666" s="3">
        <f>CLIENTS_CHURN[[#This Row],[Anciennete_Mois]]/12</f>
        <v>3.75</v>
      </c>
      <c r="J666" s="3">
        <f>CLIENTS_CHURN[[#This Row],[Duree_Cumulee_Panne_Min]]/60</f>
        <v>5.0666666666666664</v>
      </c>
    </row>
    <row r="667" spans="1:10" x14ac:dyDescent="0.35">
      <c r="A667" s="3" t="s">
        <v>45</v>
      </c>
      <c r="B667" t="s">
        <v>1528</v>
      </c>
      <c r="C667" t="s">
        <v>16</v>
      </c>
      <c r="D667">
        <v>15</v>
      </c>
      <c r="E667" t="s">
        <v>31</v>
      </c>
      <c r="F667">
        <v>30</v>
      </c>
      <c r="G667">
        <v>30.5</v>
      </c>
      <c r="H667">
        <v>1</v>
      </c>
      <c r="I667" s="3">
        <f>CLIENTS_CHURN[[#This Row],[Anciennete_Mois]]/12</f>
        <v>1.25</v>
      </c>
      <c r="J667" s="3">
        <f>CLIENTS_CHURN[[#This Row],[Duree_Cumulee_Panne_Min]]/60</f>
        <v>0.5</v>
      </c>
    </row>
    <row r="668" spans="1:10" x14ac:dyDescent="0.35">
      <c r="A668" s="3" t="s">
        <v>45</v>
      </c>
      <c r="B668" t="s">
        <v>53</v>
      </c>
      <c r="C668" t="s">
        <v>16</v>
      </c>
      <c r="D668">
        <v>58</v>
      </c>
      <c r="E668" t="s">
        <v>13</v>
      </c>
      <c r="F668">
        <v>485</v>
      </c>
      <c r="G668">
        <v>65.41</v>
      </c>
      <c r="H668">
        <v>5</v>
      </c>
      <c r="I668" s="3">
        <f>CLIENTS_CHURN[[#This Row],[Anciennete_Mois]]/12</f>
        <v>4.833333333333333</v>
      </c>
      <c r="J668" s="3">
        <f>CLIENTS_CHURN[[#This Row],[Duree_Cumulee_Panne_Min]]/60</f>
        <v>8.0833333333333339</v>
      </c>
    </row>
    <row r="669" spans="1:10" x14ac:dyDescent="0.35">
      <c r="A669" s="3" t="s">
        <v>85</v>
      </c>
      <c r="B669" t="s">
        <v>479</v>
      </c>
      <c r="C669" t="s">
        <v>123</v>
      </c>
      <c r="D669">
        <v>115</v>
      </c>
      <c r="E669" t="s">
        <v>31</v>
      </c>
      <c r="F669">
        <v>176</v>
      </c>
      <c r="G669">
        <v>33.28</v>
      </c>
      <c r="H669">
        <v>4</v>
      </c>
      <c r="I669" s="3">
        <f>CLIENTS_CHURN[[#This Row],[Anciennete_Mois]]/12</f>
        <v>9.5833333333333339</v>
      </c>
      <c r="J669" s="3">
        <f>CLIENTS_CHURN[[#This Row],[Duree_Cumulee_Panne_Min]]/60</f>
        <v>2.9333333333333331</v>
      </c>
    </row>
    <row r="670" spans="1:10" x14ac:dyDescent="0.35">
      <c r="A670" s="3" t="s">
        <v>69</v>
      </c>
      <c r="B670" t="s">
        <v>544</v>
      </c>
      <c r="C670" t="s">
        <v>123</v>
      </c>
      <c r="D670">
        <v>29</v>
      </c>
      <c r="E670" t="s">
        <v>17</v>
      </c>
      <c r="F670">
        <v>124</v>
      </c>
      <c r="G670">
        <v>43.83</v>
      </c>
      <c r="H670">
        <v>5</v>
      </c>
      <c r="I670" s="3">
        <f>CLIENTS_CHURN[[#This Row],[Anciennete_Mois]]/12</f>
        <v>2.4166666666666665</v>
      </c>
      <c r="J670" s="3">
        <f>CLIENTS_CHURN[[#This Row],[Duree_Cumulee_Panne_Min]]/60</f>
        <v>2.0666666666666669</v>
      </c>
    </row>
    <row r="671" spans="1:10" x14ac:dyDescent="0.35">
      <c r="A671" s="3" t="s">
        <v>69</v>
      </c>
      <c r="B671" t="s">
        <v>308</v>
      </c>
      <c r="C671" t="s">
        <v>123</v>
      </c>
      <c r="D671">
        <v>69</v>
      </c>
      <c r="E671" t="s">
        <v>31</v>
      </c>
      <c r="F671">
        <v>306</v>
      </c>
      <c r="G671">
        <v>13.97</v>
      </c>
      <c r="H671">
        <v>1</v>
      </c>
      <c r="I671" s="3">
        <f>CLIENTS_CHURN[[#This Row],[Anciennete_Mois]]/12</f>
        <v>5.75</v>
      </c>
      <c r="J671" s="3">
        <f>CLIENTS_CHURN[[#This Row],[Duree_Cumulee_Panne_Min]]/60</f>
        <v>5.0999999999999996</v>
      </c>
    </row>
    <row r="672" spans="1:10" x14ac:dyDescent="0.35">
      <c r="A672" s="3" t="s">
        <v>69</v>
      </c>
      <c r="B672" t="s">
        <v>420</v>
      </c>
      <c r="C672" t="s">
        <v>123</v>
      </c>
      <c r="D672">
        <v>83</v>
      </c>
      <c r="E672" t="s">
        <v>20</v>
      </c>
      <c r="F672">
        <v>219</v>
      </c>
      <c r="G672">
        <v>52.26</v>
      </c>
      <c r="H672">
        <v>1</v>
      </c>
      <c r="I672" s="3">
        <f>CLIENTS_CHURN[[#This Row],[Anciennete_Mois]]/12</f>
        <v>6.916666666666667</v>
      </c>
      <c r="J672" s="3">
        <f>CLIENTS_CHURN[[#This Row],[Duree_Cumulee_Panne_Min]]/60</f>
        <v>3.65</v>
      </c>
    </row>
    <row r="673" spans="1:10" x14ac:dyDescent="0.35">
      <c r="A673" s="3" t="s">
        <v>69</v>
      </c>
      <c r="B673" t="s">
        <v>168</v>
      </c>
      <c r="C673" t="s">
        <v>123</v>
      </c>
      <c r="D673">
        <v>55</v>
      </c>
      <c r="E673" t="s">
        <v>31</v>
      </c>
      <c r="F673">
        <v>407</v>
      </c>
      <c r="G673">
        <v>23.11</v>
      </c>
      <c r="H673">
        <v>0</v>
      </c>
      <c r="I673" s="3">
        <f>CLIENTS_CHURN[[#This Row],[Anciennete_Mois]]/12</f>
        <v>4.583333333333333</v>
      </c>
      <c r="J673" s="3">
        <f>CLIENTS_CHURN[[#This Row],[Duree_Cumulee_Panne_Min]]/60</f>
        <v>6.7833333333333332</v>
      </c>
    </row>
    <row r="674" spans="1:10" x14ac:dyDescent="0.35">
      <c r="A674" s="3" t="s">
        <v>39</v>
      </c>
      <c r="B674" t="s">
        <v>1465</v>
      </c>
      <c r="C674" t="s">
        <v>123</v>
      </c>
      <c r="D674">
        <v>83</v>
      </c>
      <c r="E674" t="s">
        <v>20</v>
      </c>
      <c r="F674">
        <v>420</v>
      </c>
      <c r="G674">
        <v>94.9</v>
      </c>
      <c r="H674">
        <v>1</v>
      </c>
      <c r="I674" s="3">
        <f>CLIENTS_CHURN[[#This Row],[Anciennete_Mois]]/12</f>
        <v>6.916666666666667</v>
      </c>
      <c r="J674" s="3">
        <f>CLIENTS_CHURN[[#This Row],[Duree_Cumulee_Panne_Min]]/60</f>
        <v>7</v>
      </c>
    </row>
    <row r="675" spans="1:10" x14ac:dyDescent="0.35">
      <c r="A675" s="3" t="s">
        <v>39</v>
      </c>
      <c r="B675" t="s">
        <v>611</v>
      </c>
      <c r="C675" t="s">
        <v>123</v>
      </c>
      <c r="D675">
        <v>48</v>
      </c>
      <c r="E675" t="s">
        <v>20</v>
      </c>
      <c r="F675">
        <v>76</v>
      </c>
      <c r="G675">
        <v>39.35</v>
      </c>
      <c r="H675">
        <v>2</v>
      </c>
      <c r="I675" s="3">
        <f>CLIENTS_CHURN[[#This Row],[Anciennete_Mois]]/12</f>
        <v>4</v>
      </c>
      <c r="J675" s="3">
        <f>CLIENTS_CHURN[[#This Row],[Duree_Cumulee_Panne_Min]]/60</f>
        <v>1.2666666666666666</v>
      </c>
    </row>
    <row r="676" spans="1:10" x14ac:dyDescent="0.35">
      <c r="A676" s="3" t="s">
        <v>32</v>
      </c>
      <c r="B676" t="s">
        <v>560</v>
      </c>
      <c r="C676" t="s">
        <v>123</v>
      </c>
      <c r="D676">
        <v>110</v>
      </c>
      <c r="E676" t="s">
        <v>31</v>
      </c>
      <c r="F676">
        <v>112</v>
      </c>
      <c r="G676">
        <v>98.95</v>
      </c>
      <c r="H676">
        <v>5</v>
      </c>
      <c r="I676" s="3">
        <f>CLIENTS_CHURN[[#This Row],[Anciennete_Mois]]/12</f>
        <v>9.1666666666666661</v>
      </c>
      <c r="J676" s="3">
        <f>CLIENTS_CHURN[[#This Row],[Duree_Cumulee_Panne_Min]]/60</f>
        <v>1.8666666666666667</v>
      </c>
    </row>
    <row r="677" spans="1:10" x14ac:dyDescent="0.35">
      <c r="A677" s="3" t="s">
        <v>32</v>
      </c>
      <c r="B677" t="s">
        <v>1472</v>
      </c>
      <c r="C677" t="s">
        <v>123</v>
      </c>
      <c r="D677">
        <v>2</v>
      </c>
      <c r="E677" t="s">
        <v>20</v>
      </c>
      <c r="F677">
        <v>142</v>
      </c>
      <c r="G677">
        <v>37.799999999999997</v>
      </c>
      <c r="H677">
        <v>0</v>
      </c>
      <c r="I677" s="3">
        <f>CLIENTS_CHURN[[#This Row],[Anciennete_Mois]]/12</f>
        <v>0.16666666666666666</v>
      </c>
      <c r="J677" s="3">
        <f>CLIENTS_CHURN[[#This Row],[Duree_Cumulee_Panne_Min]]/60</f>
        <v>2.3666666666666667</v>
      </c>
    </row>
    <row r="678" spans="1:10" x14ac:dyDescent="0.35">
      <c r="A678" s="3" t="s">
        <v>32</v>
      </c>
      <c r="B678" t="s">
        <v>183</v>
      </c>
      <c r="C678" t="s">
        <v>123</v>
      </c>
      <c r="D678">
        <v>63</v>
      </c>
      <c r="E678" t="s">
        <v>31</v>
      </c>
      <c r="F678">
        <v>392</v>
      </c>
      <c r="G678">
        <v>93.11</v>
      </c>
      <c r="H678">
        <v>3</v>
      </c>
      <c r="I678" s="3">
        <f>CLIENTS_CHURN[[#This Row],[Anciennete_Mois]]/12</f>
        <v>5.25</v>
      </c>
      <c r="J678" s="3">
        <f>CLIENTS_CHURN[[#This Row],[Duree_Cumulee_Panne_Min]]/60</f>
        <v>6.5333333333333332</v>
      </c>
    </row>
    <row r="679" spans="1:10" x14ac:dyDescent="0.35">
      <c r="A679" s="3" t="s">
        <v>35</v>
      </c>
      <c r="B679" t="s">
        <v>380</v>
      </c>
      <c r="C679" t="s">
        <v>123</v>
      </c>
      <c r="D679">
        <v>50</v>
      </c>
      <c r="E679" t="s">
        <v>31</v>
      </c>
      <c r="F679">
        <v>248</v>
      </c>
      <c r="G679">
        <v>69.42</v>
      </c>
      <c r="H679">
        <v>0</v>
      </c>
      <c r="I679" s="3">
        <f>CLIENTS_CHURN[[#This Row],[Anciennete_Mois]]/12</f>
        <v>4.166666666666667</v>
      </c>
      <c r="J679" s="3">
        <f>CLIENTS_CHURN[[#This Row],[Duree_Cumulee_Panne_Min]]/60</f>
        <v>4.1333333333333337</v>
      </c>
    </row>
    <row r="680" spans="1:10" x14ac:dyDescent="0.35">
      <c r="A680" s="3" t="s">
        <v>14</v>
      </c>
      <c r="B680" t="s">
        <v>1480</v>
      </c>
      <c r="C680" t="s">
        <v>123</v>
      </c>
      <c r="D680">
        <v>85</v>
      </c>
      <c r="E680" t="s">
        <v>20</v>
      </c>
      <c r="F680">
        <v>60</v>
      </c>
      <c r="G680">
        <v>26.3</v>
      </c>
      <c r="H680">
        <v>2</v>
      </c>
      <c r="I680" s="3">
        <f>CLIENTS_CHURN[[#This Row],[Anciennete_Mois]]/12</f>
        <v>7.083333333333333</v>
      </c>
      <c r="J680" s="3">
        <f>CLIENTS_CHURN[[#This Row],[Duree_Cumulee_Panne_Min]]/60</f>
        <v>1</v>
      </c>
    </row>
    <row r="681" spans="1:10" x14ac:dyDescent="0.35">
      <c r="A681" s="3" t="s">
        <v>14</v>
      </c>
      <c r="B681" t="s">
        <v>604</v>
      </c>
      <c r="C681" t="s">
        <v>123</v>
      </c>
      <c r="D681">
        <v>55</v>
      </c>
      <c r="E681" t="s">
        <v>13</v>
      </c>
      <c r="F681">
        <v>86</v>
      </c>
      <c r="G681">
        <v>17.440000000000001</v>
      </c>
      <c r="H681">
        <v>2</v>
      </c>
      <c r="I681" s="3">
        <f>CLIENTS_CHURN[[#This Row],[Anciennete_Mois]]/12</f>
        <v>4.583333333333333</v>
      </c>
      <c r="J681" s="3">
        <f>CLIENTS_CHURN[[#This Row],[Duree_Cumulee_Panne_Min]]/60</f>
        <v>1.4333333333333333</v>
      </c>
    </row>
    <row r="682" spans="1:10" x14ac:dyDescent="0.35">
      <c r="A682" s="3" t="s">
        <v>21</v>
      </c>
      <c r="B682" t="s">
        <v>187</v>
      </c>
      <c r="C682" t="s">
        <v>123</v>
      </c>
      <c r="D682">
        <v>16</v>
      </c>
      <c r="E682" t="s">
        <v>13</v>
      </c>
      <c r="F682">
        <v>391</v>
      </c>
      <c r="G682">
        <v>90.12</v>
      </c>
      <c r="H682">
        <v>5</v>
      </c>
      <c r="I682" s="3">
        <f>CLIENTS_CHURN[[#This Row],[Anciennete_Mois]]/12</f>
        <v>1.3333333333333333</v>
      </c>
      <c r="J682" s="3">
        <f>CLIENTS_CHURN[[#This Row],[Duree_Cumulee_Panne_Min]]/60</f>
        <v>6.5166666666666666</v>
      </c>
    </row>
    <row r="683" spans="1:10" x14ac:dyDescent="0.35">
      <c r="A683" s="3" t="s">
        <v>21</v>
      </c>
      <c r="B683" t="s">
        <v>302</v>
      </c>
      <c r="C683" t="s">
        <v>123</v>
      </c>
      <c r="D683">
        <v>36</v>
      </c>
      <c r="E683" t="s">
        <v>31</v>
      </c>
      <c r="F683">
        <v>311</v>
      </c>
      <c r="G683">
        <v>13.19</v>
      </c>
      <c r="H683">
        <v>4</v>
      </c>
      <c r="I683" s="3">
        <f>CLIENTS_CHURN[[#This Row],[Anciennete_Mois]]/12</f>
        <v>3</v>
      </c>
      <c r="J683" s="3">
        <f>CLIENTS_CHURN[[#This Row],[Duree_Cumulee_Panne_Min]]/60</f>
        <v>5.1833333333333336</v>
      </c>
    </row>
    <row r="684" spans="1:10" x14ac:dyDescent="0.35">
      <c r="A684" s="3" t="s">
        <v>21</v>
      </c>
      <c r="B684" t="s">
        <v>556</v>
      </c>
      <c r="C684" t="s">
        <v>123</v>
      </c>
      <c r="D684">
        <v>94</v>
      </c>
      <c r="E684" t="s">
        <v>17</v>
      </c>
      <c r="F684">
        <v>115</v>
      </c>
      <c r="G684">
        <v>19.12</v>
      </c>
      <c r="H684">
        <v>0</v>
      </c>
      <c r="I684" s="3">
        <f>CLIENTS_CHURN[[#This Row],[Anciennete_Mois]]/12</f>
        <v>7.833333333333333</v>
      </c>
      <c r="J684" s="3">
        <f>CLIENTS_CHURN[[#This Row],[Duree_Cumulee_Panne_Min]]/60</f>
        <v>1.9166666666666667</v>
      </c>
    </row>
    <row r="685" spans="1:10" x14ac:dyDescent="0.35">
      <c r="A685" s="3" t="s">
        <v>61</v>
      </c>
      <c r="B685" t="s">
        <v>622</v>
      </c>
      <c r="C685" t="s">
        <v>123</v>
      </c>
      <c r="D685">
        <v>71</v>
      </c>
      <c r="E685" t="s">
        <v>17</v>
      </c>
      <c r="F685">
        <v>68</v>
      </c>
      <c r="G685">
        <v>53.11</v>
      </c>
      <c r="H685">
        <v>2</v>
      </c>
      <c r="I685" s="3">
        <f>CLIENTS_CHURN[[#This Row],[Anciennete_Mois]]/12</f>
        <v>5.916666666666667</v>
      </c>
      <c r="J685" s="3">
        <f>CLIENTS_CHURN[[#This Row],[Duree_Cumulee_Panne_Min]]/60</f>
        <v>1.1333333333333333</v>
      </c>
    </row>
    <row r="686" spans="1:10" x14ac:dyDescent="0.35">
      <c r="A686" s="3" t="s">
        <v>61</v>
      </c>
      <c r="B686" t="s">
        <v>723</v>
      </c>
      <c r="C686" t="s">
        <v>123</v>
      </c>
      <c r="D686">
        <v>92</v>
      </c>
      <c r="E686" t="s">
        <v>31</v>
      </c>
      <c r="F686">
        <v>4</v>
      </c>
      <c r="G686">
        <v>22.03</v>
      </c>
      <c r="H686">
        <v>3</v>
      </c>
      <c r="I686" s="3">
        <f>CLIENTS_CHURN[[#This Row],[Anciennete_Mois]]/12</f>
        <v>7.666666666666667</v>
      </c>
      <c r="J686" s="3">
        <f>CLIENTS_CHURN[[#This Row],[Duree_Cumulee_Panne_Min]]/60</f>
        <v>6.6666666666666666E-2</v>
      </c>
    </row>
    <row r="687" spans="1:10" x14ac:dyDescent="0.35">
      <c r="A687" s="3" t="s">
        <v>61</v>
      </c>
      <c r="B687" t="s">
        <v>727</v>
      </c>
      <c r="C687" t="s">
        <v>123</v>
      </c>
      <c r="D687">
        <v>39</v>
      </c>
      <c r="E687" t="s">
        <v>13</v>
      </c>
      <c r="F687">
        <v>1</v>
      </c>
      <c r="G687">
        <v>66.94</v>
      </c>
      <c r="H687">
        <v>5</v>
      </c>
      <c r="I687" s="3">
        <f>CLIENTS_CHURN[[#This Row],[Anciennete_Mois]]/12</f>
        <v>3.25</v>
      </c>
      <c r="J687" s="3">
        <f>CLIENTS_CHURN[[#This Row],[Duree_Cumulee_Panne_Min]]/60</f>
        <v>1.6666666666666666E-2</v>
      </c>
    </row>
    <row r="688" spans="1:10" x14ac:dyDescent="0.35">
      <c r="A688" s="3" t="s">
        <v>61</v>
      </c>
      <c r="B688" t="s">
        <v>369</v>
      </c>
      <c r="C688" t="s">
        <v>123</v>
      </c>
      <c r="D688">
        <v>115</v>
      </c>
      <c r="E688" t="s">
        <v>20</v>
      </c>
      <c r="F688">
        <v>262</v>
      </c>
      <c r="G688">
        <v>66.34</v>
      </c>
      <c r="H688">
        <v>3</v>
      </c>
      <c r="I688" s="3">
        <f>CLIENTS_CHURN[[#This Row],[Anciennete_Mois]]/12</f>
        <v>9.5833333333333339</v>
      </c>
      <c r="J688" s="3">
        <f>CLIENTS_CHURN[[#This Row],[Duree_Cumulee_Panne_Min]]/60</f>
        <v>4.3666666666666663</v>
      </c>
    </row>
    <row r="689" spans="1:10" x14ac:dyDescent="0.35">
      <c r="A689" s="3" t="s">
        <v>51</v>
      </c>
      <c r="B689" t="s">
        <v>431</v>
      </c>
      <c r="C689" t="s">
        <v>123</v>
      </c>
      <c r="D689">
        <v>1</v>
      </c>
      <c r="E689" t="s">
        <v>17</v>
      </c>
      <c r="F689">
        <v>213</v>
      </c>
      <c r="G689">
        <v>52.16</v>
      </c>
      <c r="H689">
        <v>3</v>
      </c>
      <c r="I689" s="3">
        <f>CLIENTS_CHURN[[#This Row],[Anciennete_Mois]]/12</f>
        <v>8.3333333333333329E-2</v>
      </c>
      <c r="J689" s="3">
        <f>CLIENTS_CHURN[[#This Row],[Duree_Cumulee_Panne_Min]]/60</f>
        <v>3.55</v>
      </c>
    </row>
    <row r="690" spans="1:10" x14ac:dyDescent="0.35">
      <c r="A690" s="3" t="s">
        <v>51</v>
      </c>
      <c r="B690" t="s">
        <v>214</v>
      </c>
      <c r="C690" t="s">
        <v>123</v>
      </c>
      <c r="D690">
        <v>77</v>
      </c>
      <c r="E690" t="s">
        <v>17</v>
      </c>
      <c r="F690">
        <v>375</v>
      </c>
      <c r="G690">
        <v>24.03</v>
      </c>
      <c r="H690">
        <v>1</v>
      </c>
      <c r="I690" s="3">
        <f>CLIENTS_CHURN[[#This Row],[Anciennete_Mois]]/12</f>
        <v>6.416666666666667</v>
      </c>
      <c r="J690" s="3">
        <f>CLIENTS_CHURN[[#This Row],[Duree_Cumulee_Panne_Min]]/60</f>
        <v>6.25</v>
      </c>
    </row>
    <row r="691" spans="1:10" x14ac:dyDescent="0.35">
      <c r="A691" s="3" t="s">
        <v>28</v>
      </c>
      <c r="B691" t="s">
        <v>711</v>
      </c>
      <c r="C691" t="s">
        <v>123</v>
      </c>
      <c r="D691">
        <v>9</v>
      </c>
      <c r="E691" t="s">
        <v>31</v>
      </c>
      <c r="F691">
        <v>11</v>
      </c>
      <c r="G691">
        <v>72.36</v>
      </c>
      <c r="H691">
        <v>2</v>
      </c>
      <c r="I691" s="3">
        <f>CLIENTS_CHURN[[#This Row],[Anciennete_Mois]]/12</f>
        <v>0.75</v>
      </c>
      <c r="J691" s="3">
        <f>CLIENTS_CHURN[[#This Row],[Duree_Cumulee_Panne_Min]]/60</f>
        <v>0.18333333333333332</v>
      </c>
    </row>
    <row r="692" spans="1:10" x14ac:dyDescent="0.35">
      <c r="A692" s="3" t="s">
        <v>28</v>
      </c>
      <c r="B692" t="s">
        <v>1505</v>
      </c>
      <c r="C692" t="s">
        <v>123</v>
      </c>
      <c r="D692">
        <v>18</v>
      </c>
      <c r="E692" t="s">
        <v>31</v>
      </c>
      <c r="F692">
        <v>446</v>
      </c>
      <c r="G692">
        <v>97.3</v>
      </c>
      <c r="H692">
        <v>5</v>
      </c>
      <c r="I692" s="3">
        <f>CLIENTS_CHURN[[#This Row],[Anciennete_Mois]]/12</f>
        <v>1.5</v>
      </c>
      <c r="J692" s="3">
        <f>CLIENTS_CHURN[[#This Row],[Duree_Cumulee_Panne_Min]]/60</f>
        <v>7.4333333333333336</v>
      </c>
    </row>
    <row r="693" spans="1:10" x14ac:dyDescent="0.35">
      <c r="A693" s="3" t="s">
        <v>10</v>
      </c>
      <c r="B693" t="s">
        <v>381</v>
      </c>
      <c r="C693" t="s">
        <v>123</v>
      </c>
      <c r="D693">
        <v>94</v>
      </c>
      <c r="E693" t="s">
        <v>20</v>
      </c>
      <c r="F693">
        <v>247</v>
      </c>
      <c r="G693">
        <v>96.57</v>
      </c>
      <c r="H693">
        <v>0</v>
      </c>
      <c r="I693" s="3">
        <f>CLIENTS_CHURN[[#This Row],[Anciennete_Mois]]/12</f>
        <v>7.833333333333333</v>
      </c>
      <c r="J693" s="3">
        <f>CLIENTS_CHURN[[#This Row],[Duree_Cumulee_Panne_Min]]/60</f>
        <v>4.1166666666666663</v>
      </c>
    </row>
    <row r="694" spans="1:10" x14ac:dyDescent="0.35">
      <c r="A694" s="3" t="s">
        <v>74</v>
      </c>
      <c r="B694" t="s">
        <v>273</v>
      </c>
      <c r="C694" t="s">
        <v>123</v>
      </c>
      <c r="D694">
        <v>35</v>
      </c>
      <c r="E694" t="s">
        <v>13</v>
      </c>
      <c r="F694">
        <v>332</v>
      </c>
      <c r="G694">
        <v>11.15</v>
      </c>
      <c r="H694">
        <v>0</v>
      </c>
      <c r="I694" s="3">
        <f>CLIENTS_CHURN[[#This Row],[Anciennete_Mois]]/12</f>
        <v>2.9166666666666665</v>
      </c>
      <c r="J694" s="3">
        <f>CLIENTS_CHURN[[#This Row],[Duree_Cumulee_Panne_Min]]/60</f>
        <v>5.5333333333333332</v>
      </c>
    </row>
    <row r="695" spans="1:10" x14ac:dyDescent="0.35">
      <c r="A695" s="3" t="s">
        <v>100</v>
      </c>
      <c r="B695" t="s">
        <v>646</v>
      </c>
      <c r="C695" t="s">
        <v>123</v>
      </c>
      <c r="D695">
        <v>33</v>
      </c>
      <c r="E695" t="s">
        <v>31</v>
      </c>
      <c r="F695">
        <v>54</v>
      </c>
      <c r="G695">
        <v>71.319999999999993</v>
      </c>
      <c r="H695">
        <v>4</v>
      </c>
      <c r="I695" s="3">
        <f>CLIENTS_CHURN[[#This Row],[Anciennete_Mois]]/12</f>
        <v>2.75</v>
      </c>
      <c r="J695" s="3">
        <f>CLIENTS_CHURN[[#This Row],[Duree_Cumulee_Panne_Min]]/60</f>
        <v>0.9</v>
      </c>
    </row>
    <row r="696" spans="1:10" x14ac:dyDescent="0.35">
      <c r="A696" s="3" t="s">
        <v>100</v>
      </c>
      <c r="B696" t="s">
        <v>368</v>
      </c>
      <c r="C696" t="s">
        <v>123</v>
      </c>
      <c r="D696">
        <v>67</v>
      </c>
      <c r="E696" t="s">
        <v>13</v>
      </c>
      <c r="F696">
        <v>262</v>
      </c>
      <c r="G696">
        <v>28.46</v>
      </c>
      <c r="H696">
        <v>3</v>
      </c>
      <c r="I696" s="3">
        <f>CLIENTS_CHURN[[#This Row],[Anciennete_Mois]]/12</f>
        <v>5.583333333333333</v>
      </c>
      <c r="J696" s="3">
        <f>CLIENTS_CHURN[[#This Row],[Duree_Cumulee_Panne_Min]]/60</f>
        <v>4.3666666666666663</v>
      </c>
    </row>
    <row r="697" spans="1:10" x14ac:dyDescent="0.35">
      <c r="A697" s="3" t="s">
        <v>45</v>
      </c>
      <c r="B697" t="s">
        <v>122</v>
      </c>
      <c r="C697" t="s">
        <v>123</v>
      </c>
      <c r="D697">
        <v>4</v>
      </c>
      <c r="E697" t="s">
        <v>20</v>
      </c>
      <c r="F697">
        <v>449</v>
      </c>
      <c r="G697">
        <v>43.95</v>
      </c>
      <c r="H697">
        <v>2</v>
      </c>
      <c r="I697" s="3">
        <f>CLIENTS_CHURN[[#This Row],[Anciennete_Mois]]/12</f>
        <v>0.33333333333333331</v>
      </c>
      <c r="J697" s="3">
        <f>CLIENTS_CHURN[[#This Row],[Duree_Cumulee_Panne_Min]]/60</f>
        <v>7.4833333333333334</v>
      </c>
    </row>
    <row r="698" spans="1:10" x14ac:dyDescent="0.35">
      <c r="A698" s="3" t="s">
        <v>45</v>
      </c>
      <c r="B698" t="s">
        <v>159</v>
      </c>
      <c r="C698" t="s">
        <v>123</v>
      </c>
      <c r="D698">
        <v>10</v>
      </c>
      <c r="E698" t="s">
        <v>17</v>
      </c>
      <c r="F698">
        <v>418</v>
      </c>
      <c r="G698">
        <v>27.66</v>
      </c>
      <c r="H698">
        <v>2</v>
      </c>
      <c r="I698" s="3">
        <f>CLIENTS_CHURN[[#This Row],[Anciennete_Mois]]/12</f>
        <v>0.83333333333333337</v>
      </c>
      <c r="J698" s="3">
        <f>CLIENTS_CHURN[[#This Row],[Duree_Cumulee_Panne_Min]]/60</f>
        <v>6.9666666666666668</v>
      </c>
    </row>
    <row r="699" spans="1:10" x14ac:dyDescent="0.35">
      <c r="A699" s="3" t="s">
        <v>85</v>
      </c>
      <c r="B699" t="s">
        <v>438</v>
      </c>
      <c r="C699" t="s">
        <v>144</v>
      </c>
      <c r="D699">
        <v>6</v>
      </c>
      <c r="E699" t="s">
        <v>13</v>
      </c>
      <c r="F699">
        <v>207</v>
      </c>
      <c r="G699">
        <v>61.55</v>
      </c>
      <c r="H699">
        <v>0</v>
      </c>
      <c r="I699" s="3">
        <f>CLIENTS_CHURN[[#This Row],[Anciennete_Mois]]/12</f>
        <v>0.5</v>
      </c>
      <c r="J699" s="3">
        <f>CLIENTS_CHURN[[#This Row],[Duree_Cumulee_Panne_Min]]/60</f>
        <v>3.45</v>
      </c>
    </row>
    <row r="700" spans="1:10" x14ac:dyDescent="0.35">
      <c r="A700" s="3" t="s">
        <v>25</v>
      </c>
      <c r="B700" t="s">
        <v>435</v>
      </c>
      <c r="C700" t="s">
        <v>144</v>
      </c>
      <c r="D700">
        <v>74</v>
      </c>
      <c r="E700" t="s">
        <v>13</v>
      </c>
      <c r="F700">
        <v>208</v>
      </c>
      <c r="G700">
        <v>39.56</v>
      </c>
      <c r="H700">
        <v>0</v>
      </c>
      <c r="I700" s="3">
        <f>CLIENTS_CHURN[[#This Row],[Anciennete_Mois]]/12</f>
        <v>6.166666666666667</v>
      </c>
      <c r="J700" s="3">
        <f>CLIENTS_CHURN[[#This Row],[Duree_Cumulee_Panne_Min]]/60</f>
        <v>3.4666666666666668</v>
      </c>
    </row>
    <row r="701" spans="1:10" x14ac:dyDescent="0.35">
      <c r="A701" s="3" t="s">
        <v>25</v>
      </c>
      <c r="B701" t="s">
        <v>632</v>
      </c>
      <c r="C701" t="s">
        <v>144</v>
      </c>
      <c r="D701">
        <v>58</v>
      </c>
      <c r="E701" t="s">
        <v>17</v>
      </c>
      <c r="F701">
        <v>61</v>
      </c>
      <c r="G701">
        <v>58.64</v>
      </c>
      <c r="H701">
        <v>3</v>
      </c>
      <c r="I701" s="3">
        <f>CLIENTS_CHURN[[#This Row],[Anciennete_Mois]]/12</f>
        <v>4.833333333333333</v>
      </c>
      <c r="J701" s="3">
        <f>CLIENTS_CHURN[[#This Row],[Duree_Cumulee_Panne_Min]]/60</f>
        <v>1.0166666666666666</v>
      </c>
    </row>
    <row r="702" spans="1:10" x14ac:dyDescent="0.35">
      <c r="A702" s="3" t="s">
        <v>69</v>
      </c>
      <c r="B702" t="s">
        <v>473</v>
      </c>
      <c r="C702" t="s">
        <v>144</v>
      </c>
      <c r="D702">
        <v>43</v>
      </c>
      <c r="E702" t="s">
        <v>31</v>
      </c>
      <c r="F702">
        <v>181</v>
      </c>
      <c r="G702">
        <v>72.39</v>
      </c>
      <c r="H702">
        <v>2</v>
      </c>
      <c r="I702" s="3">
        <f>CLIENTS_CHURN[[#This Row],[Anciennete_Mois]]/12</f>
        <v>3.5833333333333335</v>
      </c>
      <c r="J702" s="3">
        <f>CLIENTS_CHURN[[#This Row],[Duree_Cumulee_Panne_Min]]/60</f>
        <v>3.0166666666666666</v>
      </c>
    </row>
    <row r="703" spans="1:10" x14ac:dyDescent="0.35">
      <c r="A703" s="3" t="s">
        <v>69</v>
      </c>
      <c r="B703" t="s">
        <v>710</v>
      </c>
      <c r="C703" t="s">
        <v>144</v>
      </c>
      <c r="D703">
        <v>16</v>
      </c>
      <c r="E703" t="s">
        <v>31</v>
      </c>
      <c r="F703">
        <v>13</v>
      </c>
      <c r="G703">
        <v>14.91</v>
      </c>
      <c r="H703">
        <v>1</v>
      </c>
      <c r="I703" s="3">
        <f>CLIENTS_CHURN[[#This Row],[Anciennete_Mois]]/12</f>
        <v>1.3333333333333333</v>
      </c>
      <c r="J703" s="3">
        <f>CLIENTS_CHURN[[#This Row],[Duree_Cumulee_Panne_Min]]/60</f>
        <v>0.21666666666666667</v>
      </c>
    </row>
    <row r="704" spans="1:10" x14ac:dyDescent="0.35">
      <c r="A704" s="3" t="s">
        <v>39</v>
      </c>
      <c r="B704" t="s">
        <v>461</v>
      </c>
      <c r="C704" t="s">
        <v>144</v>
      </c>
      <c r="D704">
        <v>11</v>
      </c>
      <c r="E704" t="s">
        <v>13</v>
      </c>
      <c r="F704">
        <v>191</v>
      </c>
      <c r="G704">
        <v>87.37</v>
      </c>
      <c r="H704">
        <v>3</v>
      </c>
      <c r="I704" s="3">
        <f>CLIENTS_CHURN[[#This Row],[Anciennete_Mois]]/12</f>
        <v>0.91666666666666663</v>
      </c>
      <c r="J704" s="3">
        <f>CLIENTS_CHURN[[#This Row],[Duree_Cumulee_Panne_Min]]/60</f>
        <v>3.1833333333333331</v>
      </c>
    </row>
    <row r="705" spans="1:10" x14ac:dyDescent="0.35">
      <c r="A705" s="3" t="s">
        <v>39</v>
      </c>
      <c r="B705" t="s">
        <v>143</v>
      </c>
      <c r="C705" t="s">
        <v>144</v>
      </c>
      <c r="D705">
        <v>51</v>
      </c>
      <c r="E705" t="s">
        <v>17</v>
      </c>
      <c r="F705">
        <v>433</v>
      </c>
      <c r="G705">
        <v>12.89</v>
      </c>
      <c r="H705">
        <v>1</v>
      </c>
      <c r="I705" s="3">
        <f>CLIENTS_CHURN[[#This Row],[Anciennete_Mois]]/12</f>
        <v>4.25</v>
      </c>
      <c r="J705" s="3">
        <f>CLIENTS_CHURN[[#This Row],[Duree_Cumulee_Panne_Min]]/60</f>
        <v>7.2166666666666668</v>
      </c>
    </row>
    <row r="706" spans="1:10" x14ac:dyDescent="0.35">
      <c r="A706" s="3" t="s">
        <v>32</v>
      </c>
      <c r="B706" t="s">
        <v>655</v>
      </c>
      <c r="C706" t="s">
        <v>144</v>
      </c>
      <c r="D706">
        <v>108</v>
      </c>
      <c r="E706" t="s">
        <v>20</v>
      </c>
      <c r="F706">
        <v>48</v>
      </c>
      <c r="G706">
        <v>86.22</v>
      </c>
      <c r="H706">
        <v>3</v>
      </c>
      <c r="I706" s="3">
        <f>CLIENTS_CHURN[[#This Row],[Anciennete_Mois]]/12</f>
        <v>9</v>
      </c>
      <c r="J706" s="3">
        <f>CLIENTS_CHURN[[#This Row],[Duree_Cumulee_Panne_Min]]/60</f>
        <v>0.8</v>
      </c>
    </row>
    <row r="707" spans="1:10" x14ac:dyDescent="0.35">
      <c r="A707" s="3" t="s">
        <v>35</v>
      </c>
      <c r="B707" t="s">
        <v>164</v>
      </c>
      <c r="C707" t="s">
        <v>144</v>
      </c>
      <c r="D707">
        <v>48</v>
      </c>
      <c r="E707" t="s">
        <v>13</v>
      </c>
      <c r="F707">
        <v>416</v>
      </c>
      <c r="G707">
        <v>81.260000000000005</v>
      </c>
      <c r="H707">
        <v>5</v>
      </c>
      <c r="I707" s="3">
        <f>CLIENTS_CHURN[[#This Row],[Anciennete_Mois]]/12</f>
        <v>4</v>
      </c>
      <c r="J707" s="3">
        <f>CLIENTS_CHURN[[#This Row],[Duree_Cumulee_Panne_Min]]/60</f>
        <v>6.9333333333333336</v>
      </c>
    </row>
    <row r="708" spans="1:10" x14ac:dyDescent="0.35">
      <c r="A708" s="3" t="s">
        <v>35</v>
      </c>
      <c r="B708" t="s">
        <v>201</v>
      </c>
      <c r="C708" t="s">
        <v>144</v>
      </c>
      <c r="D708">
        <v>5</v>
      </c>
      <c r="E708" t="s">
        <v>13</v>
      </c>
      <c r="F708">
        <v>384</v>
      </c>
      <c r="G708">
        <v>97.26</v>
      </c>
      <c r="H708">
        <v>3</v>
      </c>
      <c r="I708" s="3">
        <f>CLIENTS_CHURN[[#This Row],[Anciennete_Mois]]/12</f>
        <v>0.41666666666666669</v>
      </c>
      <c r="J708" s="3">
        <f>CLIENTS_CHURN[[#This Row],[Duree_Cumulee_Panne_Min]]/60</f>
        <v>6.4</v>
      </c>
    </row>
    <row r="709" spans="1:10" x14ac:dyDescent="0.35">
      <c r="A709" s="3" t="s">
        <v>21</v>
      </c>
      <c r="B709" t="s">
        <v>623</v>
      </c>
      <c r="C709" t="s">
        <v>144</v>
      </c>
      <c r="D709">
        <v>104</v>
      </c>
      <c r="E709" t="s">
        <v>13</v>
      </c>
      <c r="F709">
        <v>68</v>
      </c>
      <c r="G709">
        <v>21.15</v>
      </c>
      <c r="H709">
        <v>2</v>
      </c>
      <c r="I709" s="3">
        <f>CLIENTS_CHURN[[#This Row],[Anciennete_Mois]]/12</f>
        <v>8.6666666666666661</v>
      </c>
      <c r="J709" s="3">
        <f>CLIENTS_CHURN[[#This Row],[Duree_Cumulee_Panne_Min]]/60</f>
        <v>1.1333333333333333</v>
      </c>
    </row>
    <row r="710" spans="1:10" x14ac:dyDescent="0.35">
      <c r="A710" s="3" t="s">
        <v>61</v>
      </c>
      <c r="B710" t="s">
        <v>570</v>
      </c>
      <c r="C710" t="s">
        <v>144</v>
      </c>
      <c r="D710">
        <v>47</v>
      </c>
      <c r="E710" t="s">
        <v>20</v>
      </c>
      <c r="F710">
        <v>107</v>
      </c>
      <c r="G710">
        <v>35.380000000000003</v>
      </c>
      <c r="H710">
        <v>1</v>
      </c>
      <c r="I710" s="3">
        <f>CLIENTS_CHURN[[#This Row],[Anciennete_Mois]]/12</f>
        <v>3.9166666666666665</v>
      </c>
      <c r="J710" s="3">
        <f>CLIENTS_CHURN[[#This Row],[Duree_Cumulee_Panne_Min]]/60</f>
        <v>1.7833333333333334</v>
      </c>
    </row>
    <row r="711" spans="1:10" x14ac:dyDescent="0.35">
      <c r="A711" s="3" t="s">
        <v>61</v>
      </c>
      <c r="B711" t="s">
        <v>518</v>
      </c>
      <c r="C711" t="s">
        <v>144</v>
      </c>
      <c r="D711">
        <v>2</v>
      </c>
      <c r="E711" t="s">
        <v>31</v>
      </c>
      <c r="F711">
        <v>142</v>
      </c>
      <c r="G711">
        <v>49.05</v>
      </c>
      <c r="H711">
        <v>4</v>
      </c>
      <c r="I711" s="3">
        <f>CLIENTS_CHURN[[#This Row],[Anciennete_Mois]]/12</f>
        <v>0.16666666666666666</v>
      </c>
      <c r="J711" s="3">
        <f>CLIENTS_CHURN[[#This Row],[Duree_Cumulee_Panne_Min]]/60</f>
        <v>2.3666666666666667</v>
      </c>
    </row>
    <row r="712" spans="1:10" x14ac:dyDescent="0.35">
      <c r="A712" s="3" t="s">
        <v>61</v>
      </c>
      <c r="B712" t="s">
        <v>376</v>
      </c>
      <c r="C712" t="s">
        <v>144</v>
      </c>
      <c r="D712">
        <v>24</v>
      </c>
      <c r="E712" t="s">
        <v>31</v>
      </c>
      <c r="F712">
        <v>257</v>
      </c>
      <c r="G712">
        <v>41.99</v>
      </c>
      <c r="H712">
        <v>5</v>
      </c>
      <c r="I712" s="3">
        <f>CLIENTS_CHURN[[#This Row],[Anciennete_Mois]]/12</f>
        <v>2</v>
      </c>
      <c r="J712" s="3">
        <f>CLIENTS_CHURN[[#This Row],[Duree_Cumulee_Panne_Min]]/60</f>
        <v>4.2833333333333332</v>
      </c>
    </row>
    <row r="713" spans="1:10" x14ac:dyDescent="0.35">
      <c r="A713" s="3" t="s">
        <v>51</v>
      </c>
      <c r="B713" t="s">
        <v>720</v>
      </c>
      <c r="C713" t="s">
        <v>144</v>
      </c>
      <c r="D713">
        <v>94</v>
      </c>
      <c r="E713" t="s">
        <v>17</v>
      </c>
      <c r="F713">
        <v>6</v>
      </c>
      <c r="G713">
        <v>67.459999999999994</v>
      </c>
      <c r="H713">
        <v>5</v>
      </c>
      <c r="I713" s="3">
        <f>CLIENTS_CHURN[[#This Row],[Anciennete_Mois]]/12</f>
        <v>7.833333333333333</v>
      </c>
      <c r="J713" s="3">
        <f>CLIENTS_CHURN[[#This Row],[Duree_Cumulee_Panne_Min]]/60</f>
        <v>0.1</v>
      </c>
    </row>
    <row r="714" spans="1:10" x14ac:dyDescent="0.35">
      <c r="A714" s="3" t="s">
        <v>51</v>
      </c>
      <c r="B714" t="s">
        <v>670</v>
      </c>
      <c r="C714" t="s">
        <v>144</v>
      </c>
      <c r="D714">
        <v>37</v>
      </c>
      <c r="E714" t="s">
        <v>20</v>
      </c>
      <c r="F714">
        <v>37</v>
      </c>
      <c r="G714">
        <v>92.72</v>
      </c>
      <c r="H714">
        <v>0</v>
      </c>
      <c r="I714" s="3">
        <f>CLIENTS_CHURN[[#This Row],[Anciennete_Mois]]/12</f>
        <v>3.0833333333333335</v>
      </c>
      <c r="J714" s="3">
        <f>CLIENTS_CHURN[[#This Row],[Duree_Cumulee_Panne_Min]]/60</f>
        <v>0.6166666666666667</v>
      </c>
    </row>
    <row r="715" spans="1:10" x14ac:dyDescent="0.35">
      <c r="A715" s="3" t="s">
        <v>28</v>
      </c>
      <c r="B715" t="s">
        <v>193</v>
      </c>
      <c r="C715" t="s">
        <v>144</v>
      </c>
      <c r="D715">
        <v>74</v>
      </c>
      <c r="E715" t="s">
        <v>31</v>
      </c>
      <c r="F715">
        <v>388</v>
      </c>
      <c r="G715">
        <v>10.89</v>
      </c>
      <c r="H715">
        <v>4</v>
      </c>
      <c r="I715" s="3">
        <f>CLIENTS_CHURN[[#This Row],[Anciennete_Mois]]/12</f>
        <v>6.166666666666667</v>
      </c>
      <c r="J715" s="3">
        <f>CLIENTS_CHURN[[#This Row],[Duree_Cumulee_Panne_Min]]/60</f>
        <v>6.4666666666666668</v>
      </c>
    </row>
    <row r="716" spans="1:10" x14ac:dyDescent="0.35">
      <c r="A716" s="3" t="s">
        <v>28</v>
      </c>
      <c r="B716" t="s">
        <v>283</v>
      </c>
      <c r="C716" t="s">
        <v>144</v>
      </c>
      <c r="D716">
        <v>23</v>
      </c>
      <c r="E716" t="s">
        <v>31</v>
      </c>
      <c r="F716">
        <v>325</v>
      </c>
      <c r="G716">
        <v>65.489999999999995</v>
      </c>
      <c r="H716">
        <v>1</v>
      </c>
      <c r="I716" s="3">
        <f>CLIENTS_CHURN[[#This Row],[Anciennete_Mois]]/12</f>
        <v>1.9166666666666667</v>
      </c>
      <c r="J716" s="3">
        <f>CLIENTS_CHURN[[#This Row],[Duree_Cumulee_Panne_Min]]/60</f>
        <v>5.416666666666667</v>
      </c>
    </row>
    <row r="717" spans="1:10" x14ac:dyDescent="0.35">
      <c r="A717" s="3" t="s">
        <v>28</v>
      </c>
      <c r="B717" t="s">
        <v>245</v>
      </c>
      <c r="C717" t="s">
        <v>144</v>
      </c>
      <c r="D717">
        <v>47</v>
      </c>
      <c r="E717" t="s">
        <v>13</v>
      </c>
      <c r="F717">
        <v>350</v>
      </c>
      <c r="G717">
        <v>80.48</v>
      </c>
      <c r="H717">
        <v>3</v>
      </c>
      <c r="I717" s="3">
        <f>CLIENTS_CHURN[[#This Row],[Anciennete_Mois]]/12</f>
        <v>3.9166666666666665</v>
      </c>
      <c r="J717" s="3">
        <f>CLIENTS_CHURN[[#This Row],[Duree_Cumulee_Panne_Min]]/60</f>
        <v>5.833333333333333</v>
      </c>
    </row>
    <row r="718" spans="1:10" x14ac:dyDescent="0.35">
      <c r="A718" s="3" t="s">
        <v>10</v>
      </c>
      <c r="B718" t="s">
        <v>703</v>
      </c>
      <c r="C718" t="s">
        <v>144</v>
      </c>
      <c r="D718">
        <v>21</v>
      </c>
      <c r="E718" t="s">
        <v>31</v>
      </c>
      <c r="F718">
        <v>15</v>
      </c>
      <c r="G718">
        <v>57.74</v>
      </c>
      <c r="H718">
        <v>0</v>
      </c>
      <c r="I718" s="3">
        <f>CLIENTS_CHURN[[#This Row],[Anciennete_Mois]]/12</f>
        <v>1.75</v>
      </c>
      <c r="J718" s="3">
        <f>CLIENTS_CHURN[[#This Row],[Duree_Cumulee_Panne_Min]]/60</f>
        <v>0.25</v>
      </c>
    </row>
    <row r="719" spans="1:10" x14ac:dyDescent="0.35">
      <c r="A719" s="3" t="s">
        <v>10</v>
      </c>
      <c r="B719" t="s">
        <v>537</v>
      </c>
      <c r="C719" t="s">
        <v>144</v>
      </c>
      <c r="D719">
        <v>30</v>
      </c>
      <c r="E719" t="s">
        <v>31</v>
      </c>
      <c r="F719">
        <v>130</v>
      </c>
      <c r="G719">
        <v>50.15</v>
      </c>
      <c r="H719">
        <v>4</v>
      </c>
      <c r="I719" s="3">
        <f>CLIENTS_CHURN[[#This Row],[Anciennete_Mois]]/12</f>
        <v>2.5</v>
      </c>
      <c r="J719" s="3">
        <f>CLIENTS_CHURN[[#This Row],[Duree_Cumulee_Panne_Min]]/60</f>
        <v>2.1666666666666665</v>
      </c>
    </row>
    <row r="720" spans="1:10" x14ac:dyDescent="0.35">
      <c r="A720" s="3" t="s">
        <v>74</v>
      </c>
      <c r="B720" t="s">
        <v>708</v>
      </c>
      <c r="C720" t="s">
        <v>144</v>
      </c>
      <c r="D720">
        <v>116</v>
      </c>
      <c r="E720" t="s">
        <v>13</v>
      </c>
      <c r="F720">
        <v>14</v>
      </c>
      <c r="G720">
        <v>30.38</v>
      </c>
      <c r="H720">
        <v>1</v>
      </c>
      <c r="I720" s="3">
        <f>CLIENTS_CHURN[[#This Row],[Anciennete_Mois]]/12</f>
        <v>9.6666666666666661</v>
      </c>
      <c r="J720" s="3">
        <f>CLIENTS_CHURN[[#This Row],[Duree_Cumulee_Panne_Min]]/60</f>
        <v>0.23333333333333334</v>
      </c>
    </row>
    <row r="721" spans="1:10" x14ac:dyDescent="0.35">
      <c r="A721" s="3" t="s">
        <v>100</v>
      </c>
      <c r="B721" t="s">
        <v>256</v>
      </c>
      <c r="C721" t="s">
        <v>144</v>
      </c>
      <c r="D721">
        <v>28</v>
      </c>
      <c r="E721" t="s">
        <v>13</v>
      </c>
      <c r="F721">
        <v>343</v>
      </c>
      <c r="G721">
        <v>64.34</v>
      </c>
      <c r="H721">
        <v>5</v>
      </c>
      <c r="I721" s="3">
        <f>CLIENTS_CHURN[[#This Row],[Anciennete_Mois]]/12</f>
        <v>2.3333333333333335</v>
      </c>
      <c r="J721" s="3">
        <f>CLIENTS_CHURN[[#This Row],[Duree_Cumulee_Panne_Min]]/60</f>
        <v>5.7166666666666668</v>
      </c>
    </row>
    <row r="722" spans="1:10" x14ac:dyDescent="0.35">
      <c r="A722" s="3" t="s">
        <v>100</v>
      </c>
      <c r="B722" t="s">
        <v>275</v>
      </c>
      <c r="C722" t="s">
        <v>144</v>
      </c>
      <c r="D722">
        <v>7</v>
      </c>
      <c r="E722" t="s">
        <v>20</v>
      </c>
      <c r="F722">
        <v>332</v>
      </c>
      <c r="G722">
        <v>83.95</v>
      </c>
      <c r="H722">
        <v>4</v>
      </c>
      <c r="I722" s="3">
        <f>CLIENTS_CHURN[[#This Row],[Anciennete_Mois]]/12</f>
        <v>0.58333333333333337</v>
      </c>
      <c r="J722" s="3">
        <f>CLIENTS_CHURN[[#This Row],[Duree_Cumulee_Panne_Min]]/60</f>
        <v>5.5333333333333332</v>
      </c>
    </row>
    <row r="723" spans="1:10" x14ac:dyDescent="0.35">
      <c r="A723" s="3" t="s">
        <v>45</v>
      </c>
      <c r="B723" t="s">
        <v>195</v>
      </c>
      <c r="C723" t="s">
        <v>144</v>
      </c>
      <c r="D723">
        <v>78</v>
      </c>
      <c r="E723" t="s">
        <v>13</v>
      </c>
      <c r="F723">
        <v>387</v>
      </c>
      <c r="G723">
        <v>11.63</v>
      </c>
      <c r="H723">
        <v>2</v>
      </c>
      <c r="I723" s="3">
        <f>CLIENTS_CHURN[[#This Row],[Anciennete_Mois]]/12</f>
        <v>6.5</v>
      </c>
      <c r="J723" s="3">
        <f>CLIENTS_CHURN[[#This Row],[Duree_Cumulee_Panne_Min]]/60</f>
        <v>6.45</v>
      </c>
    </row>
    <row r="724" spans="1:10" x14ac:dyDescent="0.35">
      <c r="A724" s="3" t="s">
        <v>45</v>
      </c>
      <c r="B724" t="s">
        <v>213</v>
      </c>
      <c r="C724" t="s">
        <v>144</v>
      </c>
      <c r="D724">
        <v>57</v>
      </c>
      <c r="E724" t="s">
        <v>17</v>
      </c>
      <c r="F724">
        <v>375</v>
      </c>
      <c r="G724">
        <v>64.73</v>
      </c>
      <c r="H724">
        <v>1</v>
      </c>
      <c r="I724" s="3">
        <f>CLIENTS_CHURN[[#This Row],[Anciennete_Mois]]/12</f>
        <v>4.75</v>
      </c>
      <c r="J724" s="3">
        <f>CLIENTS_CHURN[[#This Row],[Duree_Cumulee_Panne_Min]]/60</f>
        <v>6.25</v>
      </c>
    </row>
    <row r="725" spans="1:10" x14ac:dyDescent="0.35">
      <c r="A725" s="3" t="s">
        <v>85</v>
      </c>
      <c r="B725" t="s">
        <v>165</v>
      </c>
      <c r="C725" t="s">
        <v>82</v>
      </c>
      <c r="D725">
        <v>14</v>
      </c>
      <c r="E725" t="s">
        <v>31</v>
      </c>
      <c r="F725">
        <v>415</v>
      </c>
      <c r="G725">
        <v>36.93</v>
      </c>
      <c r="H725">
        <v>5</v>
      </c>
      <c r="I725" s="3">
        <f>CLIENTS_CHURN[[#This Row],[Anciennete_Mois]]/12</f>
        <v>1.1666666666666667</v>
      </c>
      <c r="J725" s="3">
        <f>CLIENTS_CHURN[[#This Row],[Duree_Cumulee_Panne_Min]]/60</f>
        <v>6.916666666666667</v>
      </c>
    </row>
    <row r="726" spans="1:10" x14ac:dyDescent="0.35">
      <c r="A726" s="3" t="s">
        <v>85</v>
      </c>
      <c r="B726" t="s">
        <v>517</v>
      </c>
      <c r="C726" t="s">
        <v>82</v>
      </c>
      <c r="D726">
        <v>89</v>
      </c>
      <c r="E726" t="s">
        <v>13</v>
      </c>
      <c r="F726">
        <v>143</v>
      </c>
      <c r="G726">
        <v>48.05</v>
      </c>
      <c r="H726">
        <v>4</v>
      </c>
      <c r="I726" s="3">
        <f>CLIENTS_CHURN[[#This Row],[Anciennete_Mois]]/12</f>
        <v>7.416666666666667</v>
      </c>
      <c r="J726" s="3">
        <f>CLIENTS_CHURN[[#This Row],[Duree_Cumulee_Panne_Min]]/60</f>
        <v>2.3833333333333333</v>
      </c>
    </row>
    <row r="727" spans="1:10" x14ac:dyDescent="0.35">
      <c r="A727" s="3" t="s">
        <v>85</v>
      </c>
      <c r="B727" t="s">
        <v>444</v>
      </c>
      <c r="C727" t="s">
        <v>82</v>
      </c>
      <c r="D727">
        <v>63</v>
      </c>
      <c r="E727" t="s">
        <v>20</v>
      </c>
      <c r="F727">
        <v>205</v>
      </c>
      <c r="G727">
        <v>89.19</v>
      </c>
      <c r="H727">
        <v>0</v>
      </c>
      <c r="I727" s="3">
        <f>CLIENTS_CHURN[[#This Row],[Anciennete_Mois]]/12</f>
        <v>5.25</v>
      </c>
      <c r="J727" s="3">
        <f>CLIENTS_CHURN[[#This Row],[Duree_Cumulee_Panne_Min]]/60</f>
        <v>3.4166666666666665</v>
      </c>
    </row>
    <row r="728" spans="1:10" x14ac:dyDescent="0.35">
      <c r="A728" s="3" t="s">
        <v>69</v>
      </c>
      <c r="B728" t="s">
        <v>410</v>
      </c>
      <c r="C728" t="s">
        <v>82</v>
      </c>
      <c r="D728">
        <v>4</v>
      </c>
      <c r="E728" t="s">
        <v>31</v>
      </c>
      <c r="F728">
        <v>227</v>
      </c>
      <c r="G728">
        <v>83.32</v>
      </c>
      <c r="H728">
        <v>2</v>
      </c>
      <c r="I728" s="3">
        <f>CLIENTS_CHURN[[#This Row],[Anciennete_Mois]]/12</f>
        <v>0.33333333333333331</v>
      </c>
      <c r="J728" s="3">
        <f>CLIENTS_CHURN[[#This Row],[Duree_Cumulee_Panne_Min]]/60</f>
        <v>3.7833333333333332</v>
      </c>
    </row>
    <row r="729" spans="1:10" x14ac:dyDescent="0.35">
      <c r="A729" s="3" t="s">
        <v>69</v>
      </c>
      <c r="B729" t="s">
        <v>585</v>
      </c>
      <c r="C729" t="s">
        <v>82</v>
      </c>
      <c r="D729">
        <v>47</v>
      </c>
      <c r="E729" t="s">
        <v>31</v>
      </c>
      <c r="F729">
        <v>98</v>
      </c>
      <c r="G729">
        <v>16.16</v>
      </c>
      <c r="H729">
        <v>5</v>
      </c>
      <c r="I729" s="3">
        <f>CLIENTS_CHURN[[#This Row],[Anciennete_Mois]]/12</f>
        <v>3.9166666666666665</v>
      </c>
      <c r="J729" s="3">
        <f>CLIENTS_CHURN[[#This Row],[Duree_Cumulee_Panne_Min]]/60</f>
        <v>1.6333333333333333</v>
      </c>
    </row>
    <row r="730" spans="1:10" x14ac:dyDescent="0.35">
      <c r="A730" s="3" t="s">
        <v>69</v>
      </c>
      <c r="B730" t="s">
        <v>717</v>
      </c>
      <c r="C730" t="s">
        <v>82</v>
      </c>
      <c r="D730">
        <v>6</v>
      </c>
      <c r="E730" t="s">
        <v>31</v>
      </c>
      <c r="F730">
        <v>6</v>
      </c>
      <c r="G730">
        <v>72.27</v>
      </c>
      <c r="H730">
        <v>4</v>
      </c>
      <c r="I730" s="3">
        <f>CLIENTS_CHURN[[#This Row],[Anciennete_Mois]]/12</f>
        <v>0.5</v>
      </c>
      <c r="J730" s="3">
        <f>CLIENTS_CHURN[[#This Row],[Duree_Cumulee_Panne_Min]]/60</f>
        <v>0.1</v>
      </c>
    </row>
    <row r="731" spans="1:10" x14ac:dyDescent="0.35">
      <c r="A731" s="3" t="s">
        <v>69</v>
      </c>
      <c r="B731" t="s">
        <v>312</v>
      </c>
      <c r="C731" t="s">
        <v>82</v>
      </c>
      <c r="D731">
        <v>114</v>
      </c>
      <c r="E731" t="s">
        <v>31</v>
      </c>
      <c r="F731">
        <v>304</v>
      </c>
      <c r="G731">
        <v>52.07</v>
      </c>
      <c r="H731">
        <v>1</v>
      </c>
      <c r="I731" s="3">
        <f>CLIENTS_CHURN[[#This Row],[Anciennete_Mois]]/12</f>
        <v>9.5</v>
      </c>
      <c r="J731" s="3">
        <f>CLIENTS_CHURN[[#This Row],[Duree_Cumulee_Panne_Min]]/60</f>
        <v>5.0666666666666664</v>
      </c>
    </row>
    <row r="732" spans="1:10" x14ac:dyDescent="0.35">
      <c r="A732" s="3" t="s">
        <v>39</v>
      </c>
      <c r="B732" t="s">
        <v>1466</v>
      </c>
      <c r="C732" t="s">
        <v>82</v>
      </c>
      <c r="D732">
        <v>108</v>
      </c>
      <c r="E732" t="s">
        <v>13</v>
      </c>
      <c r="F732">
        <v>230</v>
      </c>
      <c r="G732">
        <v>16.3</v>
      </c>
      <c r="H732">
        <v>5</v>
      </c>
      <c r="I732" s="3">
        <f>CLIENTS_CHURN[[#This Row],[Anciennete_Mois]]/12</f>
        <v>9</v>
      </c>
      <c r="J732" s="3">
        <f>CLIENTS_CHURN[[#This Row],[Duree_Cumulee_Panne_Min]]/60</f>
        <v>3.8333333333333335</v>
      </c>
    </row>
    <row r="733" spans="1:10" x14ac:dyDescent="0.35">
      <c r="A733" s="3" t="s">
        <v>32</v>
      </c>
      <c r="B733" t="s">
        <v>567</v>
      </c>
      <c r="C733" t="s">
        <v>82</v>
      </c>
      <c r="D733">
        <v>96</v>
      </c>
      <c r="E733" t="s">
        <v>17</v>
      </c>
      <c r="F733">
        <v>108</v>
      </c>
      <c r="G733">
        <v>30.92</v>
      </c>
      <c r="H733">
        <v>1</v>
      </c>
      <c r="I733" s="3">
        <f>CLIENTS_CHURN[[#This Row],[Anciennete_Mois]]/12</f>
        <v>8</v>
      </c>
      <c r="J733" s="3">
        <f>CLIENTS_CHURN[[#This Row],[Duree_Cumulee_Panne_Min]]/60</f>
        <v>1.8</v>
      </c>
    </row>
    <row r="734" spans="1:10" x14ac:dyDescent="0.35">
      <c r="A734" s="3" t="s">
        <v>32</v>
      </c>
      <c r="B734" t="s">
        <v>433</v>
      </c>
      <c r="C734" t="s">
        <v>82</v>
      </c>
      <c r="D734">
        <v>96</v>
      </c>
      <c r="E734" t="s">
        <v>17</v>
      </c>
      <c r="F734">
        <v>210</v>
      </c>
      <c r="G734">
        <v>28.39</v>
      </c>
      <c r="H734">
        <v>3</v>
      </c>
      <c r="I734" s="3">
        <f>CLIENTS_CHURN[[#This Row],[Anciennete_Mois]]/12</f>
        <v>8</v>
      </c>
      <c r="J734" s="3">
        <f>CLIENTS_CHURN[[#This Row],[Duree_Cumulee_Panne_Min]]/60</f>
        <v>3.5</v>
      </c>
    </row>
    <row r="735" spans="1:10" x14ac:dyDescent="0.35">
      <c r="A735" s="3" t="s">
        <v>21</v>
      </c>
      <c r="B735" t="s">
        <v>357</v>
      </c>
      <c r="C735" t="s">
        <v>82</v>
      </c>
      <c r="D735">
        <v>103</v>
      </c>
      <c r="E735" t="s">
        <v>20</v>
      </c>
      <c r="F735">
        <v>270</v>
      </c>
      <c r="G735">
        <v>67.87</v>
      </c>
      <c r="H735">
        <v>3</v>
      </c>
      <c r="I735" s="3">
        <f>CLIENTS_CHURN[[#This Row],[Anciennete_Mois]]/12</f>
        <v>8.5833333333333339</v>
      </c>
      <c r="J735" s="3">
        <f>CLIENTS_CHURN[[#This Row],[Duree_Cumulee_Panne_Min]]/60</f>
        <v>4.5</v>
      </c>
    </row>
    <row r="736" spans="1:10" x14ac:dyDescent="0.35">
      <c r="A736" s="3" t="s">
        <v>21</v>
      </c>
      <c r="B736" t="s">
        <v>467</v>
      </c>
      <c r="C736" t="s">
        <v>82</v>
      </c>
      <c r="D736">
        <v>76</v>
      </c>
      <c r="E736" t="s">
        <v>13</v>
      </c>
      <c r="F736">
        <v>187</v>
      </c>
      <c r="G736">
        <v>56.29</v>
      </c>
      <c r="H736">
        <v>1</v>
      </c>
      <c r="I736" s="3">
        <f>CLIENTS_CHURN[[#This Row],[Anciennete_Mois]]/12</f>
        <v>6.333333333333333</v>
      </c>
      <c r="J736" s="3">
        <f>CLIENTS_CHURN[[#This Row],[Duree_Cumulee_Panne_Min]]/60</f>
        <v>3.1166666666666667</v>
      </c>
    </row>
    <row r="737" spans="1:10" x14ac:dyDescent="0.35">
      <c r="A737" s="3" t="s">
        <v>21</v>
      </c>
      <c r="B737" t="s">
        <v>349</v>
      </c>
      <c r="C737" t="s">
        <v>82</v>
      </c>
      <c r="D737">
        <v>97</v>
      </c>
      <c r="E737" t="s">
        <v>20</v>
      </c>
      <c r="F737">
        <v>276</v>
      </c>
      <c r="G737">
        <v>88.35</v>
      </c>
      <c r="H737">
        <v>0</v>
      </c>
      <c r="I737" s="3">
        <f>CLIENTS_CHURN[[#This Row],[Anciennete_Mois]]/12</f>
        <v>8.0833333333333339</v>
      </c>
      <c r="J737" s="3">
        <f>CLIENTS_CHURN[[#This Row],[Duree_Cumulee_Panne_Min]]/60</f>
        <v>4.5999999999999996</v>
      </c>
    </row>
    <row r="738" spans="1:10" x14ac:dyDescent="0.35">
      <c r="A738" s="3" t="s">
        <v>61</v>
      </c>
      <c r="B738" t="s">
        <v>330</v>
      </c>
      <c r="C738" t="s">
        <v>82</v>
      </c>
      <c r="D738">
        <v>35</v>
      </c>
      <c r="E738" t="s">
        <v>20</v>
      </c>
      <c r="F738">
        <v>292</v>
      </c>
      <c r="G738">
        <v>39.21</v>
      </c>
      <c r="H738">
        <v>1</v>
      </c>
      <c r="I738" s="3">
        <f>CLIENTS_CHURN[[#This Row],[Anciennete_Mois]]/12</f>
        <v>2.9166666666666665</v>
      </c>
      <c r="J738" s="3">
        <f>CLIENTS_CHURN[[#This Row],[Duree_Cumulee_Panne_Min]]/60</f>
        <v>4.8666666666666663</v>
      </c>
    </row>
    <row r="739" spans="1:10" x14ac:dyDescent="0.35">
      <c r="A739" s="3" t="s">
        <v>51</v>
      </c>
      <c r="B739" t="s">
        <v>163</v>
      </c>
      <c r="C739" t="s">
        <v>82</v>
      </c>
      <c r="D739">
        <v>101</v>
      </c>
      <c r="E739" t="s">
        <v>31</v>
      </c>
      <c r="F739">
        <v>416</v>
      </c>
      <c r="G739">
        <v>83.49</v>
      </c>
      <c r="H739">
        <v>2</v>
      </c>
      <c r="I739" s="3">
        <f>CLIENTS_CHURN[[#This Row],[Anciennete_Mois]]/12</f>
        <v>8.4166666666666661</v>
      </c>
      <c r="J739" s="3">
        <f>CLIENTS_CHURN[[#This Row],[Duree_Cumulee_Panne_Min]]/60</f>
        <v>6.9333333333333336</v>
      </c>
    </row>
    <row r="740" spans="1:10" x14ac:dyDescent="0.35">
      <c r="A740" s="3" t="s">
        <v>51</v>
      </c>
      <c r="B740" t="s">
        <v>332</v>
      </c>
      <c r="C740" t="s">
        <v>82</v>
      </c>
      <c r="D740">
        <v>103</v>
      </c>
      <c r="E740" t="s">
        <v>17</v>
      </c>
      <c r="F740">
        <v>291</v>
      </c>
      <c r="G740">
        <v>60.34</v>
      </c>
      <c r="H740">
        <v>5</v>
      </c>
      <c r="I740" s="3">
        <f>CLIENTS_CHURN[[#This Row],[Anciennete_Mois]]/12</f>
        <v>8.5833333333333339</v>
      </c>
      <c r="J740" s="3">
        <f>CLIENTS_CHURN[[#This Row],[Duree_Cumulee_Panne_Min]]/60</f>
        <v>4.8499999999999996</v>
      </c>
    </row>
    <row r="741" spans="1:10" x14ac:dyDescent="0.35">
      <c r="A741" s="3" t="s">
        <v>28</v>
      </c>
      <c r="B741" t="s">
        <v>360</v>
      </c>
      <c r="C741" t="s">
        <v>82</v>
      </c>
      <c r="D741">
        <v>73</v>
      </c>
      <c r="E741" t="s">
        <v>20</v>
      </c>
      <c r="F741">
        <v>268</v>
      </c>
      <c r="G741">
        <v>56.86</v>
      </c>
      <c r="H741">
        <v>5</v>
      </c>
      <c r="I741" s="3">
        <f>CLIENTS_CHURN[[#This Row],[Anciennete_Mois]]/12</f>
        <v>6.083333333333333</v>
      </c>
      <c r="J741" s="3">
        <f>CLIENTS_CHURN[[#This Row],[Duree_Cumulee_Panne_Min]]/60</f>
        <v>4.4666666666666668</v>
      </c>
    </row>
    <row r="742" spans="1:10" x14ac:dyDescent="0.35">
      <c r="A742" s="3" t="s">
        <v>10</v>
      </c>
      <c r="B742" t="s">
        <v>363</v>
      </c>
      <c r="C742" t="s">
        <v>82</v>
      </c>
      <c r="D742">
        <v>74</v>
      </c>
      <c r="E742" t="s">
        <v>31</v>
      </c>
      <c r="F742">
        <v>265</v>
      </c>
      <c r="G742">
        <v>90.81</v>
      </c>
      <c r="H742">
        <v>3</v>
      </c>
      <c r="I742" s="3">
        <f>CLIENTS_CHURN[[#This Row],[Anciennete_Mois]]/12</f>
        <v>6.166666666666667</v>
      </c>
      <c r="J742" s="3">
        <f>CLIENTS_CHURN[[#This Row],[Duree_Cumulee_Panne_Min]]/60</f>
        <v>4.416666666666667</v>
      </c>
    </row>
    <row r="743" spans="1:10" x14ac:dyDescent="0.35">
      <c r="A743" s="3" t="s">
        <v>10</v>
      </c>
      <c r="B743" t="s">
        <v>584</v>
      </c>
      <c r="C743" t="s">
        <v>82</v>
      </c>
      <c r="D743">
        <v>103</v>
      </c>
      <c r="E743" t="s">
        <v>31</v>
      </c>
      <c r="F743">
        <v>98</v>
      </c>
      <c r="G743">
        <v>38.69</v>
      </c>
      <c r="H743">
        <v>4</v>
      </c>
      <c r="I743" s="3">
        <f>CLIENTS_CHURN[[#This Row],[Anciennete_Mois]]/12</f>
        <v>8.5833333333333339</v>
      </c>
      <c r="J743" s="3">
        <f>CLIENTS_CHURN[[#This Row],[Duree_Cumulee_Panne_Min]]/60</f>
        <v>1.6333333333333333</v>
      </c>
    </row>
    <row r="744" spans="1:10" x14ac:dyDescent="0.35">
      <c r="A744" s="3" t="s">
        <v>100</v>
      </c>
      <c r="B744" t="s">
        <v>1516</v>
      </c>
      <c r="C744" t="s">
        <v>82</v>
      </c>
      <c r="D744">
        <v>2</v>
      </c>
      <c r="E744" t="s">
        <v>13</v>
      </c>
      <c r="F744">
        <v>201</v>
      </c>
      <c r="G744">
        <v>71.900000000000006</v>
      </c>
      <c r="H744">
        <v>2</v>
      </c>
      <c r="I744" s="3">
        <f>CLIENTS_CHURN[[#This Row],[Anciennete_Mois]]/12</f>
        <v>0.16666666666666666</v>
      </c>
      <c r="J744" s="3">
        <f>CLIENTS_CHURN[[#This Row],[Duree_Cumulee_Panne_Min]]/60</f>
        <v>3.35</v>
      </c>
    </row>
    <row r="745" spans="1:10" x14ac:dyDescent="0.35">
      <c r="A745" s="3" t="s">
        <v>100</v>
      </c>
      <c r="B745" t="s">
        <v>251</v>
      </c>
      <c r="C745" t="s">
        <v>82</v>
      </c>
      <c r="D745">
        <v>19</v>
      </c>
      <c r="E745" t="s">
        <v>31</v>
      </c>
      <c r="F745">
        <v>345</v>
      </c>
      <c r="G745">
        <v>54.37</v>
      </c>
      <c r="H745">
        <v>2</v>
      </c>
      <c r="I745" s="3">
        <f>CLIENTS_CHURN[[#This Row],[Anciennete_Mois]]/12</f>
        <v>1.5833333333333333</v>
      </c>
      <c r="J745" s="3">
        <f>CLIENTS_CHURN[[#This Row],[Duree_Cumulee_Panne_Min]]/60</f>
        <v>5.75</v>
      </c>
    </row>
    <row r="746" spans="1:10" x14ac:dyDescent="0.35">
      <c r="A746" s="3" t="s">
        <v>100</v>
      </c>
      <c r="B746" t="s">
        <v>225</v>
      </c>
      <c r="C746" t="s">
        <v>82</v>
      </c>
      <c r="D746">
        <v>56</v>
      </c>
      <c r="E746" t="s">
        <v>17</v>
      </c>
      <c r="F746">
        <v>367</v>
      </c>
      <c r="G746">
        <v>72.790000000000006</v>
      </c>
      <c r="H746">
        <v>1</v>
      </c>
      <c r="I746" s="3">
        <f>CLIENTS_CHURN[[#This Row],[Anciennete_Mois]]/12</f>
        <v>4.666666666666667</v>
      </c>
      <c r="J746" s="3">
        <f>CLIENTS_CHURN[[#This Row],[Duree_Cumulee_Panne_Min]]/60</f>
        <v>6.1166666666666663</v>
      </c>
    </row>
    <row r="747" spans="1:10" x14ac:dyDescent="0.35">
      <c r="A747" s="3" t="s">
        <v>100</v>
      </c>
      <c r="B747" t="s">
        <v>166</v>
      </c>
      <c r="C747" t="s">
        <v>82</v>
      </c>
      <c r="D747">
        <v>76</v>
      </c>
      <c r="E747" t="s">
        <v>13</v>
      </c>
      <c r="F747">
        <v>413</v>
      </c>
      <c r="G747">
        <v>28.39</v>
      </c>
      <c r="H747">
        <v>3</v>
      </c>
      <c r="I747" s="3">
        <f>CLIENTS_CHURN[[#This Row],[Anciennete_Mois]]/12</f>
        <v>6.333333333333333</v>
      </c>
      <c r="J747" s="3">
        <f>CLIENTS_CHURN[[#This Row],[Duree_Cumulee_Panne_Min]]/60</f>
        <v>6.8833333333333337</v>
      </c>
    </row>
    <row r="748" spans="1:10" x14ac:dyDescent="0.35">
      <c r="A748" s="3" t="s">
        <v>45</v>
      </c>
      <c r="B748" t="s">
        <v>430</v>
      </c>
      <c r="C748" t="s">
        <v>82</v>
      </c>
      <c r="D748">
        <v>37</v>
      </c>
      <c r="E748" t="s">
        <v>13</v>
      </c>
      <c r="F748">
        <v>213</v>
      </c>
      <c r="G748">
        <v>14.12</v>
      </c>
      <c r="H748">
        <v>1</v>
      </c>
      <c r="I748" s="3">
        <f>CLIENTS_CHURN[[#This Row],[Anciennete_Mois]]/12</f>
        <v>3.0833333333333335</v>
      </c>
      <c r="J748" s="3">
        <f>CLIENTS_CHURN[[#This Row],[Duree_Cumulee_Panne_Min]]/60</f>
        <v>3.55</v>
      </c>
    </row>
    <row r="749" spans="1:10" x14ac:dyDescent="0.35">
      <c r="A749" s="3" t="s">
        <v>45</v>
      </c>
      <c r="B749" t="s">
        <v>81</v>
      </c>
      <c r="C749" t="s">
        <v>82</v>
      </c>
      <c r="D749">
        <v>48</v>
      </c>
      <c r="E749" t="s">
        <v>13</v>
      </c>
      <c r="F749">
        <v>473</v>
      </c>
      <c r="G749">
        <v>71.52</v>
      </c>
      <c r="H749">
        <v>5</v>
      </c>
      <c r="I749" s="3">
        <f>CLIENTS_CHURN[[#This Row],[Anciennete_Mois]]/12</f>
        <v>4</v>
      </c>
      <c r="J749" s="3">
        <f>CLIENTS_CHURN[[#This Row],[Duree_Cumulee_Panne_Min]]/60</f>
        <v>7.8833333333333337</v>
      </c>
    </row>
    <row r="750" spans="1:10" x14ac:dyDescent="0.35">
      <c r="A750" s="3" t="s">
        <v>45</v>
      </c>
      <c r="B750" t="s">
        <v>477</v>
      </c>
      <c r="C750" t="s">
        <v>82</v>
      </c>
      <c r="D750">
        <v>63</v>
      </c>
      <c r="E750" t="s">
        <v>13</v>
      </c>
      <c r="F750">
        <v>177</v>
      </c>
      <c r="G750">
        <v>77.73</v>
      </c>
      <c r="H750">
        <v>3</v>
      </c>
      <c r="I750" s="3">
        <f>CLIENTS_CHURN[[#This Row],[Anciennete_Mois]]/12</f>
        <v>5.25</v>
      </c>
      <c r="J750" s="3">
        <f>CLIENTS_CHURN[[#This Row],[Duree_Cumulee_Panne_Min]]/60</f>
        <v>2.95</v>
      </c>
    </row>
    <row r="751" spans="1:10" x14ac:dyDescent="0.35">
      <c r="A751" s="3" t="s">
        <v>45</v>
      </c>
      <c r="B751" t="s">
        <v>620</v>
      </c>
      <c r="C751" t="s">
        <v>82</v>
      </c>
      <c r="D751">
        <v>5</v>
      </c>
      <c r="E751" t="s">
        <v>13</v>
      </c>
      <c r="F751">
        <v>71</v>
      </c>
      <c r="G751">
        <v>93.81</v>
      </c>
      <c r="H751">
        <v>3</v>
      </c>
      <c r="I751" s="3">
        <f>CLIENTS_CHURN[[#This Row],[Anciennete_Mois]]/12</f>
        <v>0.41666666666666669</v>
      </c>
      <c r="J751" s="3">
        <f>CLIENTS_CHURN[[#This Row],[Duree_Cumulee_Panne_Min]]/60</f>
        <v>1.1833333333333333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483524-1E06-42EF-BF8C-748F965AD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TCD</vt:lpstr>
      <vt:lpstr>LOGS_Repertoire_Fusion_clean_im</vt:lpstr>
      <vt:lpstr>Dim_Prov</vt:lpstr>
      <vt:lpstr>CLIENTS_CHURN_clean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GTC-PC</dc:creator>
  <cp:lastModifiedBy>GTC-PC</cp:lastModifiedBy>
  <dcterms:created xsi:type="dcterms:W3CDTF">2015-06-05T18:19:34Z</dcterms:created>
  <dcterms:modified xsi:type="dcterms:W3CDTF">2026-03-31T18:00:05Z</dcterms:modified>
</cp:coreProperties>
</file>