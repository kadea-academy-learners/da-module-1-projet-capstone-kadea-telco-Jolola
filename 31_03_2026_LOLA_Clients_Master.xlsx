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GTC-PC\Desktop\KADEA ACADEMY\Module 1\capstone\da-module-1-projet-capstone-kadea-telco-Jolola-main\bases\EXAMEN\"/>
    </mc:Choice>
  </mc:AlternateContent>
  <xr:revisionPtr revIDLastSave="0" documentId="13_ncr:1_{6D09D534-9C1E-4601-B361-9CCED320B09A}" xr6:coauthVersionLast="47" xr6:coauthVersionMax="47" xr10:uidLastSave="{00000000-0000-0000-0000-000000000000}"/>
  <bookViews>
    <workbookView xWindow="-110" yWindow="-110" windowWidth="19420" windowHeight="11020" firstSheet="1" activeTab="1" xr2:uid="{00000000-000D-0000-FFFF-FFFF00000000}"/>
  </bookViews>
  <sheets>
    <sheet name="CLIENTS_Matrice_de_retention" sheetId="5" r:id="rId1"/>
    <sheet name="CLIENTS_CHURN_clean" sheetId="4" r:id="rId2"/>
    <sheet name="CLIENTS_CHURN_brut" sheetId="2" r:id="rId3"/>
    <sheet name="CLIENTS_CHURN_traitement" sheetId="3" r:id="rId4"/>
    <sheet name="Feuil1" sheetId="1" r:id="rId5"/>
  </sheets>
  <definedNames>
    <definedName name="DonnéesExternes_1" localSheetId="2" hidden="1">CLIENTS_CHURN_brut!$A$1:$H$751</definedName>
    <definedName name="DonnéesExternes_1" localSheetId="1" hidden="1">CLIENTS_CHURN_clean!$A$1:$G$674</definedName>
    <definedName name="DonnéesExternes_1" localSheetId="3" hidden="1">CLIENTS_CHURN_traitement!$A$1:$H$674</definedName>
    <definedName name="DonnéesExternes_1" localSheetId="0" hidden="1">CLIENTS_Matrice_de_retention!$A$1:$H$674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10" i="5" l="1"/>
  <c r="K375" i="5"/>
  <c r="K518" i="5"/>
  <c r="K299" i="5"/>
  <c r="K332" i="5"/>
  <c r="K443" i="5"/>
  <c r="K487" i="5"/>
  <c r="K447" i="5"/>
  <c r="K270" i="5"/>
  <c r="K579" i="5"/>
  <c r="K342" i="5"/>
  <c r="K500" i="5"/>
  <c r="K449" i="5"/>
  <c r="K408" i="5"/>
  <c r="K498" i="5"/>
  <c r="K582" i="5"/>
  <c r="K646" i="5"/>
  <c r="K529" i="5"/>
  <c r="K534" i="5"/>
  <c r="K519" i="5"/>
  <c r="K527" i="5"/>
  <c r="K584" i="5"/>
  <c r="K649" i="5"/>
  <c r="K463" i="5"/>
  <c r="K607" i="5"/>
  <c r="K302" i="5"/>
  <c r="K484" i="5"/>
  <c r="K389" i="5"/>
  <c r="K396" i="5"/>
  <c r="K439" i="5"/>
  <c r="K294" i="5"/>
  <c r="K414" i="5"/>
  <c r="K366" i="5"/>
  <c r="K524" i="5"/>
  <c r="K480" i="5"/>
  <c r="K356" i="5"/>
  <c r="K382" i="5"/>
  <c r="K562" i="5"/>
  <c r="K559" i="5"/>
  <c r="K589" i="5"/>
  <c r="K405" i="5"/>
  <c r="K616" i="5"/>
  <c r="K665" i="5"/>
  <c r="K362" i="5"/>
  <c r="K448" i="5"/>
  <c r="K502" i="5"/>
  <c r="K327" i="5"/>
  <c r="K437" i="5"/>
  <c r="K313" i="5"/>
  <c r="K440" i="5"/>
  <c r="K425" i="5"/>
  <c r="K455" i="5"/>
  <c r="K557" i="5"/>
  <c r="K635" i="5"/>
  <c r="K352" i="5"/>
  <c r="K488" i="5"/>
  <c r="K668" i="5"/>
  <c r="K279" i="5"/>
  <c r="K617" i="5"/>
  <c r="K394" i="5"/>
  <c r="K593" i="5"/>
  <c r="K461" i="5"/>
  <c r="K252" i="5"/>
  <c r="K495" i="5"/>
  <c r="K575" i="5"/>
  <c r="K576" i="5"/>
  <c r="K580" i="5"/>
  <c r="K251" i="5"/>
  <c r="K642" i="5"/>
  <c r="K420" i="5"/>
  <c r="K418" i="5"/>
  <c r="K446" i="5"/>
  <c r="K459" i="5"/>
  <c r="K468" i="5"/>
  <c r="K618" i="5"/>
  <c r="K355" i="5"/>
  <c r="K399" i="5"/>
  <c r="K359" i="5"/>
  <c r="K441" i="5"/>
  <c r="K248" i="5"/>
  <c r="K403" i="5"/>
  <c r="K267" i="5"/>
  <c r="K351" i="5"/>
  <c r="K511" i="5"/>
  <c r="K280" i="5"/>
  <c r="K652" i="5"/>
  <c r="K628" i="5"/>
  <c r="K295" i="5"/>
  <c r="K376" i="5"/>
  <c r="K497" i="5"/>
  <c r="K277" i="5"/>
  <c r="K477" i="5"/>
  <c r="K417" i="5"/>
  <c r="K357" i="5"/>
  <c r="K338" i="5"/>
  <c r="K569" i="5"/>
  <c r="K397" i="5"/>
  <c r="K621" i="5"/>
  <c r="K661" i="5"/>
  <c r="K444" i="5"/>
  <c r="K595" i="5"/>
  <c r="K419" i="5"/>
  <c r="K368" i="5"/>
  <c r="K390" i="5"/>
  <c r="K543" i="5"/>
  <c r="K374" i="5"/>
  <c r="K622" i="5"/>
  <c r="K639" i="5"/>
  <c r="K513" i="5"/>
  <c r="K609" i="5"/>
  <c r="K599" i="5"/>
  <c r="K415" i="5"/>
  <c r="K380" i="5"/>
  <c r="K337" i="5"/>
  <c r="K354" i="5"/>
  <c r="K507" i="5"/>
  <c r="K316" i="5"/>
  <c r="K547" i="5"/>
  <c r="K672" i="5"/>
  <c r="K583" i="5"/>
  <c r="K346" i="5"/>
  <c r="K585" i="5"/>
  <c r="K379" i="5"/>
  <c r="K586" i="5"/>
  <c r="K510" i="5"/>
  <c r="K554" i="5"/>
  <c r="K383" i="5"/>
  <c r="K526" i="5"/>
  <c r="K372" i="5"/>
  <c r="K647" i="5"/>
  <c r="K312" i="5"/>
  <c r="K634" i="5"/>
  <c r="K545" i="5"/>
  <c r="K638" i="5"/>
  <c r="K472" i="5"/>
  <c r="K669" i="5"/>
  <c r="K592" i="5"/>
  <c r="K466" i="5"/>
  <c r="K544" i="5"/>
  <c r="K256" i="5"/>
  <c r="K433" i="5"/>
  <c r="K262" i="5"/>
  <c r="K606" i="5"/>
  <c r="K253" i="5"/>
  <c r="K436" i="5"/>
  <c r="K656" i="5"/>
  <c r="K551" i="5"/>
  <c r="K662" i="5"/>
  <c r="K478" i="5"/>
  <c r="K373" i="5"/>
  <c r="K430" i="5"/>
  <c r="K549" i="5"/>
  <c r="K640" i="5"/>
  <c r="K269" i="5"/>
  <c r="K458" i="5"/>
  <c r="K555" i="5"/>
  <c r="K413" i="5"/>
  <c r="K632" i="5"/>
  <c r="K451" i="5"/>
  <c r="K531" i="5"/>
  <c r="K358" i="5"/>
  <c r="K432" i="5"/>
  <c r="K370" i="5"/>
  <c r="K457" i="5"/>
  <c r="K474" i="5"/>
  <c r="K347" i="5"/>
  <c r="K653" i="5"/>
  <c r="K331" i="5"/>
  <c r="K542" i="5"/>
  <c r="K369" i="5"/>
  <c r="K410" i="5"/>
  <c r="K566" i="5"/>
  <c r="K565" i="5"/>
  <c r="K429" i="5"/>
  <c r="K626" i="5"/>
  <c r="K574" i="5"/>
  <c r="K577" i="5"/>
  <c r="K645" i="5"/>
  <c r="K558" i="5"/>
  <c r="K388" i="5"/>
  <c r="K341" i="5"/>
  <c r="K659" i="5"/>
  <c r="K406" i="5"/>
  <c r="K276" i="5"/>
  <c r="K505" i="5"/>
  <c r="K400" i="5"/>
  <c r="K367" i="5"/>
  <c r="K365" i="5"/>
  <c r="K567" i="5"/>
  <c r="K570" i="5"/>
  <c r="K614" i="5"/>
  <c r="K596" i="5"/>
  <c r="K503" i="5"/>
  <c r="K438" i="5"/>
  <c r="K401" i="5"/>
  <c r="K445" i="5"/>
  <c r="K611" i="5"/>
  <c r="K481" i="5"/>
  <c r="K428" i="5"/>
  <c r="K636" i="5"/>
  <c r="K247" i="5"/>
  <c r="K602" i="5"/>
  <c r="K530" i="5"/>
  <c r="K467" i="5"/>
  <c r="K393" i="5"/>
  <c r="K506" i="5"/>
  <c r="K572" i="5"/>
  <c r="K386" i="5"/>
  <c r="K522" i="5"/>
  <c r="K340" i="5"/>
  <c r="K550" i="5"/>
  <c r="K535" i="5"/>
  <c r="K619" i="5"/>
  <c r="K532" i="5"/>
  <c r="K660" i="5"/>
  <c r="K560" i="5"/>
  <c r="K571" i="5"/>
  <c r="K353" i="5"/>
  <c r="K407" i="5"/>
  <c r="K258" i="5"/>
  <c r="K581" i="5"/>
  <c r="K613" i="5"/>
  <c r="K608" i="5"/>
  <c r="K548" i="5"/>
  <c r="K422" i="5"/>
  <c r="K464" i="5"/>
  <c r="K514" i="5"/>
  <c r="K624" i="5"/>
  <c r="K483" i="5"/>
  <c r="K536" i="5"/>
  <c r="K629" i="5"/>
  <c r="K310" i="5"/>
  <c r="K501" i="5"/>
  <c r="K605" i="5"/>
  <c r="K601" i="5"/>
  <c r="K533" i="5"/>
  <c r="K492" i="5"/>
  <c r="K631" i="5"/>
  <c r="K395" i="5"/>
  <c r="K588" i="5"/>
  <c r="K663" i="5"/>
  <c r="K482" i="5"/>
  <c r="K590" i="5"/>
  <c r="K520" i="5"/>
  <c r="K325" i="5"/>
  <c r="K402" i="5"/>
  <c r="K435" i="5"/>
  <c r="K620" i="5"/>
  <c r="K278" i="5"/>
  <c r="K460" i="5"/>
  <c r="K328" i="5"/>
  <c r="K600" i="5"/>
  <c r="K431" i="5"/>
  <c r="K603" i="5"/>
  <c r="K283" i="5"/>
  <c r="K525" i="5"/>
  <c r="K598" i="5"/>
  <c r="K508" i="5"/>
  <c r="K471" i="5"/>
  <c r="K456" i="5"/>
  <c r="K537" i="5"/>
  <c r="K521" i="5"/>
  <c r="K512" i="5"/>
  <c r="K515" i="5"/>
  <c r="K637" i="5"/>
  <c r="K604" i="5"/>
  <c r="K378" i="5"/>
  <c r="K282" i="5"/>
  <c r="K670" i="5"/>
  <c r="K561" i="5"/>
  <c r="K655" i="5"/>
  <c r="K476" i="5"/>
  <c r="K291" i="5"/>
  <c r="K615" i="5"/>
  <c r="K255" i="5"/>
  <c r="K633" i="5"/>
  <c r="K427" i="5"/>
  <c r="K667" i="5"/>
  <c r="K509" i="5"/>
  <c r="K470" i="5"/>
  <c r="K654" i="5"/>
  <c r="K610" i="5"/>
  <c r="K643" i="5"/>
  <c r="K494" i="5"/>
  <c r="K491" i="5"/>
  <c r="K384" i="5"/>
  <c r="K385" i="5"/>
  <c r="K650" i="5"/>
  <c r="K411" i="5"/>
  <c r="K450" i="5"/>
  <c r="K597" i="5"/>
  <c r="K594" i="5"/>
  <c r="K523" i="5"/>
  <c r="K392" i="5"/>
  <c r="K434" i="5"/>
  <c r="K630" i="5"/>
  <c r="K591" i="5"/>
  <c r="K409" i="5"/>
  <c r="K377" i="5"/>
  <c r="K423" i="5"/>
  <c r="K452" i="5"/>
  <c r="K330" i="5"/>
  <c r="K578" i="5"/>
  <c r="K546" i="5"/>
  <c r="K371" i="5"/>
  <c r="K404" i="5"/>
  <c r="K496" i="5"/>
  <c r="K573" i="5"/>
  <c r="K462" i="5"/>
  <c r="K641" i="5"/>
  <c r="K666" i="5"/>
  <c r="K627" i="5"/>
  <c r="K479" i="5"/>
  <c r="K475" i="5"/>
  <c r="K381" i="5"/>
  <c r="K540" i="5"/>
  <c r="K612" i="5"/>
  <c r="K556" i="5"/>
  <c r="K421" i="5"/>
  <c r="K539" i="5"/>
  <c r="K364" i="5"/>
  <c r="K568" i="5"/>
  <c r="K442" i="5"/>
  <c r="K651" i="5"/>
  <c r="K416" i="5"/>
  <c r="K504" i="5"/>
  <c r="K553" i="5"/>
  <c r="K657" i="5"/>
  <c r="K361" i="5"/>
  <c r="K552" i="5"/>
  <c r="K387" i="5"/>
  <c r="K424" i="5"/>
  <c r="K485" i="5"/>
  <c r="K493" i="5"/>
  <c r="K538" i="5"/>
  <c r="K486" i="5"/>
  <c r="K516" i="5"/>
  <c r="K528" i="5"/>
  <c r="K454" i="5"/>
  <c r="K273" i="5"/>
  <c r="K363" i="5"/>
  <c r="K104" i="5"/>
  <c r="K360" i="5"/>
  <c r="K322" i="5"/>
  <c r="K76" i="5"/>
  <c r="K268" i="5"/>
  <c r="K136" i="5"/>
  <c r="K293" i="5"/>
  <c r="K176" i="5"/>
  <c r="K284" i="5"/>
  <c r="K193" i="5"/>
  <c r="K125" i="5"/>
  <c r="K191" i="5"/>
  <c r="K197" i="5"/>
  <c r="K265" i="5"/>
  <c r="K100" i="5"/>
  <c r="K88" i="5"/>
  <c r="K205" i="5"/>
  <c r="K59" i="5"/>
  <c r="K126" i="5"/>
  <c r="K232" i="5"/>
  <c r="K14" i="5"/>
  <c r="K320" i="5"/>
  <c r="K473" i="5"/>
  <c r="K287" i="5"/>
  <c r="K146" i="5"/>
  <c r="K261" i="5"/>
  <c r="K25" i="5"/>
  <c r="K296" i="5"/>
  <c r="K105" i="5"/>
  <c r="K288" i="5"/>
  <c r="K227" i="5"/>
  <c r="K85" i="5"/>
  <c r="K116" i="5"/>
  <c r="K212" i="5"/>
  <c r="K249" i="5"/>
  <c r="K286" i="5"/>
  <c r="K124" i="5"/>
  <c r="K57" i="5"/>
  <c r="K157" i="5"/>
  <c r="K241" i="5"/>
  <c r="K67" i="5"/>
  <c r="K303" i="5"/>
  <c r="K182" i="5"/>
  <c r="K517" i="5"/>
  <c r="K54" i="5"/>
  <c r="K233" i="5"/>
  <c r="K317" i="5"/>
  <c r="K587" i="5"/>
  <c r="K285" i="5"/>
  <c r="K333" i="5"/>
  <c r="K237" i="5"/>
  <c r="K272" i="5"/>
  <c r="K266" i="5"/>
  <c r="K309" i="5"/>
  <c r="K177" i="5"/>
  <c r="K188" i="5"/>
  <c r="K181" i="5"/>
  <c r="K297" i="5"/>
  <c r="K52" i="5"/>
  <c r="K263" i="5"/>
  <c r="K95" i="5"/>
  <c r="K412" i="5"/>
  <c r="K128" i="5"/>
  <c r="K194" i="5"/>
  <c r="K27" i="5"/>
  <c r="K219" i="5"/>
  <c r="K625" i="5"/>
  <c r="K129" i="5"/>
  <c r="K20" i="5"/>
  <c r="K211" i="5"/>
  <c r="K165" i="5"/>
  <c r="K17" i="5"/>
  <c r="K119" i="5"/>
  <c r="K23" i="5"/>
  <c r="K53" i="5"/>
  <c r="K8" i="5"/>
  <c r="K49" i="5"/>
  <c r="K94" i="5"/>
  <c r="K31" i="5"/>
  <c r="K200" i="5"/>
  <c r="K151" i="5"/>
  <c r="K259" i="5"/>
  <c r="K161" i="5"/>
  <c r="K63" i="5"/>
  <c r="K175" i="5"/>
  <c r="K110" i="5"/>
  <c r="K36" i="5"/>
  <c r="K218" i="5"/>
  <c r="K186" i="5"/>
  <c r="K321" i="5"/>
  <c r="K44" i="5"/>
  <c r="K65" i="5"/>
  <c r="K153" i="5"/>
  <c r="K3" i="5"/>
  <c r="K121" i="5"/>
  <c r="K162" i="5"/>
  <c r="K167" i="5"/>
  <c r="K306" i="5"/>
  <c r="K187" i="5"/>
  <c r="K244" i="5"/>
  <c r="K246" i="5"/>
  <c r="K170" i="5"/>
  <c r="K674" i="5"/>
  <c r="K132" i="5"/>
  <c r="K334" i="5"/>
  <c r="K79" i="5"/>
  <c r="K40" i="5"/>
  <c r="K102" i="5"/>
  <c r="K87" i="5"/>
  <c r="K215" i="5"/>
  <c r="K172" i="5"/>
  <c r="K190" i="5"/>
  <c r="K323" i="5"/>
  <c r="K185" i="5"/>
  <c r="K344" i="5"/>
  <c r="K260" i="5"/>
  <c r="K35" i="5"/>
  <c r="K164" i="5"/>
  <c r="K11" i="5"/>
  <c r="K231" i="5"/>
  <c r="K223" i="5"/>
  <c r="K220" i="5"/>
  <c r="K138" i="5"/>
  <c r="K155" i="5"/>
  <c r="K208" i="5"/>
  <c r="K55" i="5"/>
  <c r="K673" i="5"/>
  <c r="K168" i="5"/>
  <c r="K271" i="5"/>
  <c r="K563" i="5"/>
  <c r="K226" i="5"/>
  <c r="K50" i="5"/>
  <c r="K192" i="5"/>
  <c r="K28" i="5"/>
  <c r="K93" i="5"/>
  <c r="K18" i="5"/>
  <c r="K78" i="5"/>
  <c r="K133" i="5"/>
  <c r="K239" i="5"/>
  <c r="K51" i="5"/>
  <c r="K137" i="5"/>
  <c r="K147" i="5"/>
  <c r="K131" i="5"/>
  <c r="K298" i="5"/>
  <c r="K97" i="5"/>
  <c r="K257" i="5"/>
  <c r="K86" i="5"/>
  <c r="K230" i="5"/>
  <c r="K199" i="5"/>
  <c r="K4" i="5"/>
  <c r="K391" i="5"/>
  <c r="K142" i="5"/>
  <c r="K234" i="5"/>
  <c r="K203" i="5"/>
  <c r="K301" i="5"/>
  <c r="K42" i="5"/>
  <c r="K166" i="5"/>
  <c r="K9" i="5"/>
  <c r="K62" i="5"/>
  <c r="K196" i="5"/>
  <c r="K201" i="5"/>
  <c r="K143" i="5"/>
  <c r="K184" i="5"/>
  <c r="K15" i="5"/>
  <c r="K47" i="5"/>
  <c r="K2" i="5"/>
  <c r="K169" i="5"/>
  <c r="K111" i="5"/>
  <c r="K343" i="5"/>
  <c r="K179" i="5"/>
  <c r="K73" i="5"/>
  <c r="K236" i="5"/>
  <c r="K134" i="5"/>
  <c r="K305" i="5"/>
  <c r="K242" i="5"/>
  <c r="K229" i="5"/>
  <c r="K109" i="5"/>
  <c r="K75" i="5"/>
  <c r="K64" i="5"/>
  <c r="K281" i="5"/>
  <c r="K101" i="5"/>
  <c r="K112" i="5"/>
  <c r="K107" i="5"/>
  <c r="K658" i="5"/>
  <c r="K243" i="5"/>
  <c r="K210" i="5"/>
  <c r="K60" i="5"/>
  <c r="K43" i="5"/>
  <c r="K300" i="5"/>
  <c r="K209" i="5"/>
  <c r="K140" i="5"/>
  <c r="K623" i="5"/>
  <c r="K564" i="5"/>
  <c r="K77" i="5"/>
  <c r="K315" i="5"/>
  <c r="K5" i="5"/>
  <c r="K84" i="5"/>
  <c r="K465" i="5"/>
  <c r="K319" i="5"/>
  <c r="K68" i="5"/>
  <c r="K304" i="5"/>
  <c r="K180" i="5"/>
  <c r="K74" i="5"/>
  <c r="K117" i="5"/>
  <c r="K66" i="5"/>
  <c r="K307" i="5"/>
  <c r="K12" i="5"/>
  <c r="K290" i="5"/>
  <c r="K91" i="5"/>
  <c r="K308" i="5"/>
  <c r="K152" i="5"/>
  <c r="K24" i="5"/>
  <c r="K38" i="5"/>
  <c r="K348" i="5"/>
  <c r="K173" i="5"/>
  <c r="K130" i="5"/>
  <c r="K235" i="5"/>
  <c r="K26" i="5"/>
  <c r="K453" i="5"/>
  <c r="K275" i="5"/>
  <c r="K349" i="5"/>
  <c r="K489" i="5"/>
  <c r="K339" i="5"/>
  <c r="K225" i="5"/>
  <c r="K250" i="5"/>
  <c r="K648" i="5"/>
  <c r="K118" i="5"/>
  <c r="K99" i="5"/>
  <c r="K207" i="5"/>
  <c r="K335" i="5"/>
  <c r="K127" i="5"/>
  <c r="K46" i="5"/>
  <c r="K644" i="5"/>
  <c r="K81" i="5"/>
  <c r="K426" i="5"/>
  <c r="K83" i="5"/>
  <c r="K113" i="5"/>
  <c r="K204" i="5"/>
  <c r="K664" i="5"/>
  <c r="K245" i="5"/>
  <c r="K228" i="5"/>
  <c r="K499" i="5"/>
  <c r="K22" i="5"/>
  <c r="K10" i="5"/>
  <c r="K289" i="5"/>
  <c r="K156" i="5"/>
  <c r="K345" i="5"/>
  <c r="K221" i="5"/>
  <c r="K314" i="5"/>
  <c r="K329" i="5"/>
  <c r="K150" i="5"/>
  <c r="K6" i="5"/>
  <c r="K13" i="5"/>
  <c r="K33" i="5"/>
  <c r="K58" i="5"/>
  <c r="K114" i="5"/>
  <c r="K158" i="5"/>
  <c r="K490" i="5"/>
  <c r="K240" i="5"/>
  <c r="K37" i="5"/>
  <c r="K324" i="5"/>
  <c r="K103" i="5"/>
  <c r="K154" i="5"/>
  <c r="K70" i="5"/>
  <c r="K72" i="5"/>
  <c r="K671" i="5"/>
  <c r="K159" i="5"/>
  <c r="K123" i="5"/>
  <c r="K254" i="5"/>
  <c r="K350" i="5"/>
  <c r="K217" i="5"/>
  <c r="K41" i="5"/>
  <c r="K7" i="5"/>
  <c r="K145" i="5"/>
  <c r="K34" i="5"/>
  <c r="K336" i="5"/>
  <c r="K21" i="5"/>
  <c r="K39" i="5"/>
  <c r="K326" i="5"/>
  <c r="K122" i="5"/>
  <c r="K71" i="5"/>
  <c r="K56" i="5"/>
  <c r="K206" i="5"/>
  <c r="K264" i="5"/>
  <c r="K216" i="5"/>
  <c r="K45" i="5"/>
  <c r="K318" i="5"/>
  <c r="K202" i="5"/>
  <c r="K214" i="5"/>
  <c r="K183" i="5"/>
  <c r="K19" i="5"/>
  <c r="K61" i="5"/>
  <c r="K141" i="5"/>
  <c r="K398" i="5"/>
  <c r="K30" i="5"/>
  <c r="K160" i="5"/>
  <c r="K108" i="5"/>
  <c r="K311" i="5"/>
  <c r="K115" i="5"/>
  <c r="K224" i="5"/>
  <c r="K213" i="5"/>
  <c r="K469" i="5"/>
  <c r="K48" i="5"/>
  <c r="K29" i="5"/>
  <c r="K171" i="5"/>
  <c r="K222" i="5"/>
  <c r="K90" i="5"/>
  <c r="K82" i="5"/>
  <c r="K120" i="5"/>
  <c r="K198" i="5"/>
  <c r="K189" i="5"/>
  <c r="K274" i="5"/>
  <c r="K163" i="5"/>
  <c r="K139" i="5"/>
  <c r="K69" i="5"/>
  <c r="K195" i="5"/>
  <c r="K32" i="5"/>
  <c r="K16" i="5"/>
  <c r="K80" i="5"/>
  <c r="K292" i="5"/>
  <c r="K135" i="5"/>
  <c r="K89" i="5"/>
  <c r="K149" i="5"/>
  <c r="K238" i="5"/>
  <c r="K144" i="5"/>
  <c r="K92" i="5"/>
  <c r="K178" i="5"/>
  <c r="K96" i="5"/>
  <c r="K174" i="5"/>
  <c r="K106" i="5"/>
  <c r="K98" i="5"/>
  <c r="K148" i="5"/>
  <c r="K541" i="5"/>
  <c r="J541" i="5"/>
  <c r="I541" i="5"/>
  <c r="J148" i="5"/>
  <c r="I148" i="5"/>
  <c r="J98" i="5"/>
  <c r="I98" i="5"/>
  <c r="J106" i="5"/>
  <c r="I106" i="5"/>
  <c r="J174" i="5"/>
  <c r="I174" i="5"/>
  <c r="J96" i="5"/>
  <c r="I96" i="5"/>
  <c r="J178" i="5"/>
  <c r="I178" i="5"/>
  <c r="J92" i="5"/>
  <c r="I92" i="5"/>
  <c r="J144" i="5"/>
  <c r="I144" i="5"/>
  <c r="J238" i="5"/>
  <c r="I238" i="5"/>
  <c r="J149" i="5"/>
  <c r="I149" i="5"/>
  <c r="J89" i="5"/>
  <c r="I89" i="5"/>
  <c r="J135" i="5"/>
  <c r="I135" i="5"/>
  <c r="J292" i="5"/>
  <c r="I292" i="5"/>
  <c r="J80" i="5"/>
  <c r="I80" i="5"/>
  <c r="J16" i="5"/>
  <c r="I16" i="5"/>
  <c r="J32" i="5"/>
  <c r="I32" i="5"/>
  <c r="J195" i="5"/>
  <c r="I195" i="5"/>
  <c r="J69" i="5"/>
  <c r="I69" i="5"/>
  <c r="J139" i="5"/>
  <c r="I139" i="5"/>
  <c r="J163" i="5"/>
  <c r="I163" i="5"/>
  <c r="J274" i="5"/>
  <c r="I274" i="5"/>
  <c r="J189" i="5"/>
  <c r="I189" i="5"/>
  <c r="J198" i="5"/>
  <c r="I198" i="5"/>
  <c r="J120" i="5"/>
  <c r="I120" i="5"/>
  <c r="J82" i="5"/>
  <c r="I82" i="5"/>
  <c r="J90" i="5"/>
  <c r="I90" i="5"/>
  <c r="J222" i="5"/>
  <c r="I222" i="5"/>
  <c r="J171" i="5"/>
  <c r="I171" i="5"/>
  <c r="J29" i="5"/>
  <c r="I29" i="5"/>
  <c r="J48" i="5"/>
  <c r="I48" i="5"/>
  <c r="J469" i="5"/>
  <c r="I469" i="5"/>
  <c r="J213" i="5"/>
  <c r="I213" i="5"/>
  <c r="J224" i="5"/>
  <c r="I224" i="5"/>
  <c r="J115" i="5"/>
  <c r="I115" i="5"/>
  <c r="J311" i="5"/>
  <c r="I311" i="5"/>
  <c r="J108" i="5"/>
  <c r="I108" i="5"/>
  <c r="J160" i="5"/>
  <c r="I160" i="5"/>
  <c r="J30" i="5"/>
  <c r="I30" i="5"/>
  <c r="J398" i="5"/>
  <c r="I398" i="5"/>
  <c r="J141" i="5"/>
  <c r="I141" i="5"/>
  <c r="J61" i="5"/>
  <c r="I61" i="5"/>
  <c r="J19" i="5"/>
  <c r="I19" i="5"/>
  <c r="J183" i="5"/>
  <c r="I183" i="5"/>
  <c r="J214" i="5"/>
  <c r="I214" i="5"/>
  <c r="J202" i="5"/>
  <c r="I202" i="5"/>
  <c r="J318" i="5"/>
  <c r="I318" i="5"/>
  <c r="J45" i="5"/>
  <c r="I45" i="5"/>
  <c r="J216" i="5"/>
  <c r="I216" i="5"/>
  <c r="J264" i="5"/>
  <c r="I264" i="5"/>
  <c r="J206" i="5"/>
  <c r="I206" i="5"/>
  <c r="J56" i="5"/>
  <c r="I56" i="5"/>
  <c r="J71" i="5"/>
  <c r="I71" i="5"/>
  <c r="J122" i="5"/>
  <c r="I122" i="5"/>
  <c r="J326" i="5"/>
  <c r="I326" i="5"/>
  <c r="J39" i="5"/>
  <c r="I39" i="5"/>
  <c r="J21" i="5"/>
  <c r="I21" i="5"/>
  <c r="J336" i="5"/>
  <c r="I336" i="5"/>
  <c r="J34" i="5"/>
  <c r="I34" i="5"/>
  <c r="J145" i="5"/>
  <c r="I145" i="5"/>
  <c r="J7" i="5"/>
  <c r="I7" i="5"/>
  <c r="J41" i="5"/>
  <c r="I41" i="5"/>
  <c r="J217" i="5"/>
  <c r="I217" i="5"/>
  <c r="J350" i="5"/>
  <c r="I350" i="5"/>
  <c r="J254" i="5"/>
  <c r="I254" i="5"/>
  <c r="J123" i="5"/>
  <c r="I123" i="5"/>
  <c r="J159" i="5"/>
  <c r="I159" i="5"/>
  <c r="J671" i="5"/>
  <c r="M671" i="5" s="1"/>
  <c r="I671" i="5"/>
  <c r="J72" i="5"/>
  <c r="I72" i="5"/>
  <c r="J70" i="5"/>
  <c r="M70" i="5" s="1"/>
  <c r="I70" i="5"/>
  <c r="J154" i="5"/>
  <c r="I154" i="5"/>
  <c r="J103" i="5"/>
  <c r="M103" i="5" s="1"/>
  <c r="I103" i="5"/>
  <c r="J324" i="5"/>
  <c r="I324" i="5"/>
  <c r="J37" i="5"/>
  <c r="M37" i="5" s="1"/>
  <c r="I37" i="5"/>
  <c r="J240" i="5"/>
  <c r="I240" i="5"/>
  <c r="J490" i="5"/>
  <c r="M490" i="5" s="1"/>
  <c r="I490" i="5"/>
  <c r="J158" i="5"/>
  <c r="I158" i="5"/>
  <c r="J114" i="5"/>
  <c r="M114" i="5" s="1"/>
  <c r="I114" i="5"/>
  <c r="J58" i="5"/>
  <c r="I58" i="5"/>
  <c r="J33" i="5"/>
  <c r="M33" i="5" s="1"/>
  <c r="I33" i="5"/>
  <c r="J13" i="5"/>
  <c r="I13" i="5"/>
  <c r="J6" i="5"/>
  <c r="M6" i="5" s="1"/>
  <c r="I6" i="5"/>
  <c r="J150" i="5"/>
  <c r="I150" i="5"/>
  <c r="J329" i="5"/>
  <c r="M329" i="5" s="1"/>
  <c r="I329" i="5"/>
  <c r="J314" i="5"/>
  <c r="I314" i="5"/>
  <c r="J221" i="5"/>
  <c r="M221" i="5" s="1"/>
  <c r="I221" i="5"/>
  <c r="J345" i="5"/>
  <c r="I345" i="5"/>
  <c r="J156" i="5"/>
  <c r="M156" i="5" s="1"/>
  <c r="I156" i="5"/>
  <c r="J289" i="5"/>
  <c r="I289" i="5"/>
  <c r="J10" i="5"/>
  <c r="M10" i="5" s="1"/>
  <c r="I10" i="5"/>
  <c r="J22" i="5"/>
  <c r="I22" i="5"/>
  <c r="J499" i="5"/>
  <c r="M499" i="5" s="1"/>
  <c r="I499" i="5"/>
  <c r="J228" i="5"/>
  <c r="I228" i="5"/>
  <c r="J245" i="5"/>
  <c r="M245" i="5" s="1"/>
  <c r="I245" i="5"/>
  <c r="J664" i="5"/>
  <c r="I664" i="5"/>
  <c r="J204" i="5"/>
  <c r="M204" i="5" s="1"/>
  <c r="I204" i="5"/>
  <c r="J113" i="5"/>
  <c r="I113" i="5"/>
  <c r="J83" i="5"/>
  <c r="M83" i="5" s="1"/>
  <c r="I83" i="5"/>
  <c r="J426" i="5"/>
  <c r="I426" i="5"/>
  <c r="J81" i="5"/>
  <c r="M81" i="5" s="1"/>
  <c r="I81" i="5"/>
  <c r="J644" i="5"/>
  <c r="I644" i="5"/>
  <c r="J46" i="5"/>
  <c r="M46" i="5" s="1"/>
  <c r="I46" i="5"/>
  <c r="J127" i="5"/>
  <c r="I127" i="5"/>
  <c r="J335" i="5"/>
  <c r="M335" i="5" s="1"/>
  <c r="I335" i="5"/>
  <c r="J207" i="5"/>
  <c r="I207" i="5"/>
  <c r="J99" i="5"/>
  <c r="M99" i="5" s="1"/>
  <c r="I99" i="5"/>
  <c r="J118" i="5"/>
  <c r="I118" i="5"/>
  <c r="J648" i="5"/>
  <c r="M648" i="5" s="1"/>
  <c r="I648" i="5"/>
  <c r="J250" i="5"/>
  <c r="I250" i="5"/>
  <c r="J225" i="5"/>
  <c r="M225" i="5" s="1"/>
  <c r="I225" i="5"/>
  <c r="J339" i="5"/>
  <c r="I339" i="5"/>
  <c r="J489" i="5"/>
  <c r="M489" i="5" s="1"/>
  <c r="I489" i="5"/>
  <c r="J349" i="5"/>
  <c r="I349" i="5"/>
  <c r="J275" i="5"/>
  <c r="M275" i="5" s="1"/>
  <c r="I275" i="5"/>
  <c r="J453" i="5"/>
  <c r="I453" i="5"/>
  <c r="J26" i="5"/>
  <c r="M26" i="5" s="1"/>
  <c r="I26" i="5"/>
  <c r="J235" i="5"/>
  <c r="I235" i="5"/>
  <c r="J130" i="5"/>
  <c r="M130" i="5" s="1"/>
  <c r="I130" i="5"/>
  <c r="J173" i="5"/>
  <c r="I173" i="5"/>
  <c r="J348" i="5"/>
  <c r="M348" i="5" s="1"/>
  <c r="I348" i="5"/>
  <c r="J38" i="5"/>
  <c r="I38" i="5"/>
  <c r="J24" i="5"/>
  <c r="M24" i="5" s="1"/>
  <c r="I24" i="5"/>
  <c r="J152" i="5"/>
  <c r="I152" i="5"/>
  <c r="J308" i="5"/>
  <c r="M308" i="5" s="1"/>
  <c r="I308" i="5"/>
  <c r="J91" i="5"/>
  <c r="I91" i="5"/>
  <c r="J290" i="5"/>
  <c r="M290" i="5" s="1"/>
  <c r="I290" i="5"/>
  <c r="J12" i="5"/>
  <c r="I12" i="5"/>
  <c r="J307" i="5"/>
  <c r="M307" i="5" s="1"/>
  <c r="I307" i="5"/>
  <c r="J66" i="5"/>
  <c r="I66" i="5"/>
  <c r="J117" i="5"/>
  <c r="M117" i="5" s="1"/>
  <c r="I117" i="5"/>
  <c r="J74" i="5"/>
  <c r="I74" i="5"/>
  <c r="J180" i="5"/>
  <c r="M180" i="5" s="1"/>
  <c r="I180" i="5"/>
  <c r="J304" i="5"/>
  <c r="I304" i="5"/>
  <c r="J68" i="5"/>
  <c r="M68" i="5" s="1"/>
  <c r="I68" i="5"/>
  <c r="J319" i="5"/>
  <c r="I319" i="5"/>
  <c r="J465" i="5"/>
  <c r="M465" i="5" s="1"/>
  <c r="I465" i="5"/>
  <c r="J84" i="5"/>
  <c r="I84" i="5"/>
  <c r="J5" i="5"/>
  <c r="M5" i="5" s="1"/>
  <c r="I5" i="5"/>
  <c r="J315" i="5"/>
  <c r="I315" i="5"/>
  <c r="J77" i="5"/>
  <c r="M77" i="5" s="1"/>
  <c r="I77" i="5"/>
  <c r="J564" i="5"/>
  <c r="I564" i="5"/>
  <c r="J623" i="5"/>
  <c r="M623" i="5" s="1"/>
  <c r="I623" i="5"/>
  <c r="J140" i="5"/>
  <c r="I140" i="5"/>
  <c r="J209" i="5"/>
  <c r="M209" i="5" s="1"/>
  <c r="I209" i="5"/>
  <c r="J300" i="5"/>
  <c r="I300" i="5"/>
  <c r="J43" i="5"/>
  <c r="M43" i="5" s="1"/>
  <c r="I43" i="5"/>
  <c r="J60" i="5"/>
  <c r="I60" i="5"/>
  <c r="J210" i="5"/>
  <c r="M210" i="5" s="1"/>
  <c r="I210" i="5"/>
  <c r="J243" i="5"/>
  <c r="I243" i="5"/>
  <c r="J658" i="5"/>
  <c r="M658" i="5" s="1"/>
  <c r="I658" i="5"/>
  <c r="J107" i="5"/>
  <c r="I107" i="5"/>
  <c r="J112" i="5"/>
  <c r="M112" i="5" s="1"/>
  <c r="I112" i="5"/>
  <c r="J101" i="5"/>
  <c r="I101" i="5"/>
  <c r="J281" i="5"/>
  <c r="M281" i="5" s="1"/>
  <c r="I281" i="5"/>
  <c r="J64" i="5"/>
  <c r="I64" i="5"/>
  <c r="J75" i="5"/>
  <c r="M75" i="5" s="1"/>
  <c r="I75" i="5"/>
  <c r="J109" i="5"/>
  <c r="I109" i="5"/>
  <c r="J229" i="5"/>
  <c r="M229" i="5" s="1"/>
  <c r="I229" i="5"/>
  <c r="J242" i="5"/>
  <c r="I242" i="5"/>
  <c r="J305" i="5"/>
  <c r="M305" i="5" s="1"/>
  <c r="I305" i="5"/>
  <c r="J134" i="5"/>
  <c r="I134" i="5"/>
  <c r="J236" i="5"/>
  <c r="M236" i="5" s="1"/>
  <c r="I236" i="5"/>
  <c r="J73" i="5"/>
  <c r="I73" i="5"/>
  <c r="J179" i="5"/>
  <c r="M179" i="5" s="1"/>
  <c r="I179" i="5"/>
  <c r="J343" i="5"/>
  <c r="I343" i="5"/>
  <c r="J111" i="5"/>
  <c r="M111" i="5" s="1"/>
  <c r="I111" i="5"/>
  <c r="J169" i="5"/>
  <c r="I169" i="5"/>
  <c r="J2" i="5"/>
  <c r="M2" i="5" s="1"/>
  <c r="I2" i="5"/>
  <c r="J47" i="5"/>
  <c r="I47" i="5"/>
  <c r="J15" i="5"/>
  <c r="M15" i="5" s="1"/>
  <c r="I15" i="5"/>
  <c r="J184" i="5"/>
  <c r="I184" i="5"/>
  <c r="J143" i="5"/>
  <c r="M143" i="5" s="1"/>
  <c r="I143" i="5"/>
  <c r="J201" i="5"/>
  <c r="I201" i="5"/>
  <c r="J196" i="5"/>
  <c r="M196" i="5" s="1"/>
  <c r="I196" i="5"/>
  <c r="J62" i="5"/>
  <c r="I62" i="5"/>
  <c r="J9" i="5"/>
  <c r="M9" i="5" s="1"/>
  <c r="I9" i="5"/>
  <c r="J166" i="5"/>
  <c r="I166" i="5"/>
  <c r="J42" i="5"/>
  <c r="M42" i="5" s="1"/>
  <c r="I42" i="5"/>
  <c r="J301" i="5"/>
  <c r="I301" i="5"/>
  <c r="J203" i="5"/>
  <c r="M203" i="5" s="1"/>
  <c r="I203" i="5"/>
  <c r="J234" i="5"/>
  <c r="I234" i="5"/>
  <c r="J142" i="5"/>
  <c r="M142" i="5" s="1"/>
  <c r="I142" i="5"/>
  <c r="J391" i="5"/>
  <c r="I391" i="5"/>
  <c r="J4" i="5"/>
  <c r="M4" i="5" s="1"/>
  <c r="I4" i="5"/>
  <c r="J199" i="5"/>
  <c r="I199" i="5"/>
  <c r="J230" i="5"/>
  <c r="M230" i="5" s="1"/>
  <c r="I230" i="5"/>
  <c r="J86" i="5"/>
  <c r="I86" i="5"/>
  <c r="J257" i="5"/>
  <c r="M257" i="5" s="1"/>
  <c r="I257" i="5"/>
  <c r="J97" i="5"/>
  <c r="I97" i="5"/>
  <c r="J298" i="5"/>
  <c r="M298" i="5" s="1"/>
  <c r="I298" i="5"/>
  <c r="J131" i="5"/>
  <c r="I131" i="5"/>
  <c r="J147" i="5"/>
  <c r="M147" i="5" s="1"/>
  <c r="I147" i="5"/>
  <c r="J137" i="5"/>
  <c r="I137" i="5"/>
  <c r="J51" i="5"/>
  <c r="M51" i="5" s="1"/>
  <c r="I51" i="5"/>
  <c r="J239" i="5"/>
  <c r="I239" i="5"/>
  <c r="J133" i="5"/>
  <c r="M133" i="5" s="1"/>
  <c r="I133" i="5"/>
  <c r="J78" i="5"/>
  <c r="I78" i="5"/>
  <c r="J18" i="5"/>
  <c r="M18" i="5" s="1"/>
  <c r="I18" i="5"/>
  <c r="J93" i="5"/>
  <c r="I93" i="5"/>
  <c r="J28" i="5"/>
  <c r="M28" i="5" s="1"/>
  <c r="I28" i="5"/>
  <c r="J192" i="5"/>
  <c r="I192" i="5"/>
  <c r="J50" i="5"/>
  <c r="M50" i="5" s="1"/>
  <c r="I50" i="5"/>
  <c r="J226" i="5"/>
  <c r="I226" i="5"/>
  <c r="J563" i="5"/>
  <c r="M563" i="5" s="1"/>
  <c r="I563" i="5"/>
  <c r="J271" i="5"/>
  <c r="I271" i="5"/>
  <c r="J168" i="5"/>
  <c r="M168" i="5" s="1"/>
  <c r="I168" i="5"/>
  <c r="J673" i="5"/>
  <c r="I673" i="5"/>
  <c r="J55" i="5"/>
  <c r="M55" i="5" s="1"/>
  <c r="I55" i="5"/>
  <c r="J208" i="5"/>
  <c r="I208" i="5"/>
  <c r="J155" i="5"/>
  <c r="M155" i="5" s="1"/>
  <c r="I155" i="5"/>
  <c r="J138" i="5"/>
  <c r="I138" i="5"/>
  <c r="J220" i="5"/>
  <c r="M220" i="5" s="1"/>
  <c r="I220" i="5"/>
  <c r="J223" i="5"/>
  <c r="I223" i="5"/>
  <c r="J231" i="5"/>
  <c r="M231" i="5" s="1"/>
  <c r="I231" i="5"/>
  <c r="J11" i="5"/>
  <c r="I11" i="5"/>
  <c r="J164" i="5"/>
  <c r="M164" i="5" s="1"/>
  <c r="I164" i="5"/>
  <c r="J35" i="5"/>
  <c r="I35" i="5"/>
  <c r="J260" i="5"/>
  <c r="M260" i="5" s="1"/>
  <c r="I260" i="5"/>
  <c r="J344" i="5"/>
  <c r="I344" i="5"/>
  <c r="J185" i="5"/>
  <c r="M185" i="5" s="1"/>
  <c r="I185" i="5"/>
  <c r="J323" i="5"/>
  <c r="I323" i="5"/>
  <c r="J190" i="5"/>
  <c r="M190" i="5" s="1"/>
  <c r="I190" i="5"/>
  <c r="J172" i="5"/>
  <c r="I172" i="5"/>
  <c r="J215" i="5"/>
  <c r="M215" i="5" s="1"/>
  <c r="I215" i="5"/>
  <c r="J87" i="5"/>
  <c r="I87" i="5"/>
  <c r="J102" i="5"/>
  <c r="M102" i="5" s="1"/>
  <c r="I102" i="5"/>
  <c r="J40" i="5"/>
  <c r="I40" i="5"/>
  <c r="J79" i="5"/>
  <c r="M79" i="5" s="1"/>
  <c r="I79" i="5"/>
  <c r="J334" i="5"/>
  <c r="I334" i="5"/>
  <c r="J132" i="5"/>
  <c r="M132" i="5" s="1"/>
  <c r="I132" i="5"/>
  <c r="J674" i="5"/>
  <c r="I674" i="5"/>
  <c r="J170" i="5"/>
  <c r="M170" i="5" s="1"/>
  <c r="I170" i="5"/>
  <c r="J246" i="5"/>
  <c r="I246" i="5"/>
  <c r="J244" i="5"/>
  <c r="M244" i="5" s="1"/>
  <c r="I244" i="5"/>
  <c r="J187" i="5"/>
  <c r="I187" i="5"/>
  <c r="J306" i="5"/>
  <c r="M306" i="5" s="1"/>
  <c r="I306" i="5"/>
  <c r="J167" i="5"/>
  <c r="I167" i="5"/>
  <c r="J162" i="5"/>
  <c r="M162" i="5" s="1"/>
  <c r="I162" i="5"/>
  <c r="J121" i="5"/>
  <c r="I121" i="5"/>
  <c r="J3" i="5"/>
  <c r="M3" i="5" s="1"/>
  <c r="I3" i="5"/>
  <c r="J153" i="5"/>
  <c r="I153" i="5"/>
  <c r="J65" i="5"/>
  <c r="M65" i="5" s="1"/>
  <c r="I65" i="5"/>
  <c r="J44" i="5"/>
  <c r="I44" i="5"/>
  <c r="J321" i="5"/>
  <c r="M321" i="5" s="1"/>
  <c r="I321" i="5"/>
  <c r="J186" i="5"/>
  <c r="I186" i="5"/>
  <c r="J218" i="5"/>
  <c r="M218" i="5" s="1"/>
  <c r="I218" i="5"/>
  <c r="J36" i="5"/>
  <c r="I36" i="5"/>
  <c r="J110" i="5"/>
  <c r="M110" i="5" s="1"/>
  <c r="I110" i="5"/>
  <c r="J175" i="5"/>
  <c r="I175" i="5"/>
  <c r="J63" i="5"/>
  <c r="M63" i="5" s="1"/>
  <c r="I63" i="5"/>
  <c r="J161" i="5"/>
  <c r="I161" i="5"/>
  <c r="J259" i="5"/>
  <c r="M259" i="5" s="1"/>
  <c r="I259" i="5"/>
  <c r="J151" i="5"/>
  <c r="I151" i="5"/>
  <c r="J200" i="5"/>
  <c r="M200" i="5" s="1"/>
  <c r="I200" i="5"/>
  <c r="J31" i="5"/>
  <c r="I31" i="5"/>
  <c r="J94" i="5"/>
  <c r="M94" i="5" s="1"/>
  <c r="I94" i="5"/>
  <c r="J49" i="5"/>
  <c r="I49" i="5"/>
  <c r="J8" i="5"/>
  <c r="M8" i="5" s="1"/>
  <c r="I8" i="5"/>
  <c r="J53" i="5"/>
  <c r="I53" i="5"/>
  <c r="J23" i="5"/>
  <c r="M23" i="5" s="1"/>
  <c r="I23" i="5"/>
  <c r="J119" i="5"/>
  <c r="I119" i="5"/>
  <c r="J17" i="5"/>
  <c r="M17" i="5" s="1"/>
  <c r="I17" i="5"/>
  <c r="J165" i="5"/>
  <c r="I165" i="5"/>
  <c r="J211" i="5"/>
  <c r="M211" i="5" s="1"/>
  <c r="I211" i="5"/>
  <c r="J20" i="5"/>
  <c r="I20" i="5"/>
  <c r="J129" i="5"/>
  <c r="M129" i="5" s="1"/>
  <c r="I129" i="5"/>
  <c r="J625" i="5"/>
  <c r="I625" i="5"/>
  <c r="J219" i="5"/>
  <c r="M219" i="5" s="1"/>
  <c r="I219" i="5"/>
  <c r="J27" i="5"/>
  <c r="I27" i="5"/>
  <c r="J194" i="5"/>
  <c r="M194" i="5" s="1"/>
  <c r="I194" i="5"/>
  <c r="J128" i="5"/>
  <c r="I128" i="5"/>
  <c r="J412" i="5"/>
  <c r="M412" i="5" s="1"/>
  <c r="I412" i="5"/>
  <c r="J95" i="5"/>
  <c r="I95" i="5"/>
  <c r="J263" i="5"/>
  <c r="M263" i="5" s="1"/>
  <c r="I263" i="5"/>
  <c r="J52" i="5"/>
  <c r="I52" i="5"/>
  <c r="J297" i="5"/>
  <c r="M297" i="5" s="1"/>
  <c r="I297" i="5"/>
  <c r="J181" i="5"/>
  <c r="I181" i="5"/>
  <c r="J188" i="5"/>
  <c r="M188" i="5" s="1"/>
  <c r="I188" i="5"/>
  <c r="J177" i="5"/>
  <c r="I177" i="5"/>
  <c r="J309" i="5"/>
  <c r="M309" i="5" s="1"/>
  <c r="I309" i="5"/>
  <c r="J266" i="5"/>
  <c r="I266" i="5"/>
  <c r="J272" i="5"/>
  <c r="M272" i="5" s="1"/>
  <c r="I272" i="5"/>
  <c r="J237" i="5"/>
  <c r="I237" i="5"/>
  <c r="J333" i="5"/>
  <c r="M333" i="5" s="1"/>
  <c r="I333" i="5"/>
  <c r="J285" i="5"/>
  <c r="I285" i="5"/>
  <c r="J587" i="5"/>
  <c r="M587" i="5" s="1"/>
  <c r="I587" i="5"/>
  <c r="J317" i="5"/>
  <c r="I317" i="5"/>
  <c r="J233" i="5"/>
  <c r="M233" i="5" s="1"/>
  <c r="I233" i="5"/>
  <c r="J54" i="5"/>
  <c r="I54" i="5"/>
  <c r="J517" i="5"/>
  <c r="M517" i="5" s="1"/>
  <c r="I517" i="5"/>
  <c r="J182" i="5"/>
  <c r="I182" i="5"/>
  <c r="J303" i="5"/>
  <c r="M303" i="5" s="1"/>
  <c r="I303" i="5"/>
  <c r="J67" i="5"/>
  <c r="I67" i="5"/>
  <c r="J241" i="5"/>
  <c r="M241" i="5" s="1"/>
  <c r="I241" i="5"/>
  <c r="J157" i="5"/>
  <c r="I157" i="5"/>
  <c r="J57" i="5"/>
  <c r="M57" i="5" s="1"/>
  <c r="I57" i="5"/>
  <c r="J124" i="5"/>
  <c r="I124" i="5"/>
  <c r="J286" i="5"/>
  <c r="M286" i="5" s="1"/>
  <c r="I286" i="5"/>
  <c r="J249" i="5"/>
  <c r="I249" i="5"/>
  <c r="J212" i="5"/>
  <c r="M212" i="5" s="1"/>
  <c r="I212" i="5"/>
  <c r="J116" i="5"/>
  <c r="I116" i="5"/>
  <c r="J85" i="5"/>
  <c r="M85" i="5" s="1"/>
  <c r="I85" i="5"/>
  <c r="J227" i="5"/>
  <c r="I227" i="5"/>
  <c r="J288" i="5"/>
  <c r="M288" i="5" s="1"/>
  <c r="I288" i="5"/>
  <c r="J105" i="5"/>
  <c r="I105" i="5"/>
  <c r="J296" i="5"/>
  <c r="M296" i="5" s="1"/>
  <c r="I296" i="5"/>
  <c r="J25" i="5"/>
  <c r="I25" i="5"/>
  <c r="J261" i="5"/>
  <c r="M261" i="5" s="1"/>
  <c r="I261" i="5"/>
  <c r="J146" i="5"/>
  <c r="I146" i="5"/>
  <c r="J287" i="5"/>
  <c r="M287" i="5" s="1"/>
  <c r="I287" i="5"/>
  <c r="J473" i="5"/>
  <c r="I473" i="5"/>
  <c r="J320" i="5"/>
  <c r="M320" i="5" s="1"/>
  <c r="I320" i="5"/>
  <c r="J14" i="5"/>
  <c r="I14" i="5"/>
  <c r="J232" i="5"/>
  <c r="M232" i="5" s="1"/>
  <c r="I232" i="5"/>
  <c r="J126" i="5"/>
  <c r="I126" i="5"/>
  <c r="J59" i="5"/>
  <c r="M59" i="5" s="1"/>
  <c r="I59" i="5"/>
  <c r="J205" i="5"/>
  <c r="I205" i="5"/>
  <c r="J88" i="5"/>
  <c r="M88" i="5" s="1"/>
  <c r="I88" i="5"/>
  <c r="J100" i="5"/>
  <c r="I100" i="5"/>
  <c r="J265" i="5"/>
  <c r="M265" i="5" s="1"/>
  <c r="I265" i="5"/>
  <c r="J197" i="5"/>
  <c r="I197" i="5"/>
  <c r="J191" i="5"/>
  <c r="M191" i="5" s="1"/>
  <c r="I191" i="5"/>
  <c r="J125" i="5"/>
  <c r="I125" i="5"/>
  <c r="J193" i="5"/>
  <c r="M193" i="5" s="1"/>
  <c r="I193" i="5"/>
  <c r="J284" i="5"/>
  <c r="I284" i="5"/>
  <c r="J176" i="5"/>
  <c r="M176" i="5" s="1"/>
  <c r="I176" i="5"/>
  <c r="J293" i="5"/>
  <c r="I293" i="5"/>
  <c r="J136" i="5"/>
  <c r="M136" i="5" s="1"/>
  <c r="I136" i="5"/>
  <c r="J268" i="5"/>
  <c r="I268" i="5"/>
  <c r="J76" i="5"/>
  <c r="M76" i="5" s="1"/>
  <c r="I76" i="5"/>
  <c r="J322" i="5"/>
  <c r="I322" i="5"/>
  <c r="J360" i="5"/>
  <c r="M360" i="5" s="1"/>
  <c r="I360" i="5"/>
  <c r="J104" i="5"/>
  <c r="I104" i="5"/>
  <c r="J363" i="5"/>
  <c r="M363" i="5" s="1"/>
  <c r="I363" i="5"/>
  <c r="J273" i="5"/>
  <c r="I273" i="5"/>
  <c r="J454" i="5"/>
  <c r="M454" i="5" s="1"/>
  <c r="I454" i="5"/>
  <c r="J528" i="5"/>
  <c r="I528" i="5"/>
  <c r="J516" i="5"/>
  <c r="M516" i="5" s="1"/>
  <c r="I516" i="5"/>
  <c r="J486" i="5"/>
  <c r="I486" i="5"/>
  <c r="J538" i="5"/>
  <c r="M538" i="5" s="1"/>
  <c r="I538" i="5"/>
  <c r="J493" i="5"/>
  <c r="I493" i="5"/>
  <c r="J485" i="5"/>
  <c r="M485" i="5" s="1"/>
  <c r="I485" i="5"/>
  <c r="J424" i="5"/>
  <c r="I424" i="5"/>
  <c r="J387" i="5"/>
  <c r="M387" i="5" s="1"/>
  <c r="I387" i="5"/>
  <c r="J552" i="5"/>
  <c r="I552" i="5"/>
  <c r="J361" i="5"/>
  <c r="M361" i="5" s="1"/>
  <c r="I361" i="5"/>
  <c r="J657" i="5"/>
  <c r="I657" i="5"/>
  <c r="J553" i="5"/>
  <c r="M553" i="5" s="1"/>
  <c r="I553" i="5"/>
  <c r="J504" i="5"/>
  <c r="I504" i="5"/>
  <c r="J416" i="5"/>
  <c r="M416" i="5" s="1"/>
  <c r="I416" i="5"/>
  <c r="J651" i="5"/>
  <c r="I651" i="5"/>
  <c r="J442" i="5"/>
  <c r="M442" i="5" s="1"/>
  <c r="I442" i="5"/>
  <c r="J568" i="5"/>
  <c r="I568" i="5"/>
  <c r="J364" i="5"/>
  <c r="M364" i="5" s="1"/>
  <c r="I364" i="5"/>
  <c r="J539" i="5"/>
  <c r="I539" i="5"/>
  <c r="J421" i="5"/>
  <c r="M421" i="5" s="1"/>
  <c r="I421" i="5"/>
  <c r="J556" i="5"/>
  <c r="I556" i="5"/>
  <c r="J612" i="5"/>
  <c r="M612" i="5" s="1"/>
  <c r="I612" i="5"/>
  <c r="J540" i="5"/>
  <c r="I540" i="5"/>
  <c r="J381" i="5"/>
  <c r="M381" i="5" s="1"/>
  <c r="I381" i="5"/>
  <c r="J475" i="5"/>
  <c r="I475" i="5"/>
  <c r="J479" i="5"/>
  <c r="M479" i="5" s="1"/>
  <c r="I479" i="5"/>
  <c r="J627" i="5"/>
  <c r="I627" i="5"/>
  <c r="J666" i="5"/>
  <c r="M666" i="5" s="1"/>
  <c r="I666" i="5"/>
  <c r="J641" i="5"/>
  <c r="I641" i="5"/>
  <c r="J462" i="5"/>
  <c r="M462" i="5" s="1"/>
  <c r="I462" i="5"/>
  <c r="J573" i="5"/>
  <c r="I573" i="5"/>
  <c r="J496" i="5"/>
  <c r="M496" i="5" s="1"/>
  <c r="I496" i="5"/>
  <c r="J404" i="5"/>
  <c r="I404" i="5"/>
  <c r="J371" i="5"/>
  <c r="M371" i="5" s="1"/>
  <c r="I371" i="5"/>
  <c r="J546" i="5"/>
  <c r="I546" i="5"/>
  <c r="J578" i="5"/>
  <c r="M578" i="5" s="1"/>
  <c r="I578" i="5"/>
  <c r="J330" i="5"/>
  <c r="I330" i="5"/>
  <c r="J452" i="5"/>
  <c r="M452" i="5" s="1"/>
  <c r="I452" i="5"/>
  <c r="J423" i="5"/>
  <c r="I423" i="5"/>
  <c r="J377" i="5"/>
  <c r="M377" i="5" s="1"/>
  <c r="I377" i="5"/>
  <c r="J409" i="5"/>
  <c r="I409" i="5"/>
  <c r="J591" i="5"/>
  <c r="M591" i="5" s="1"/>
  <c r="I591" i="5"/>
  <c r="J630" i="5"/>
  <c r="I630" i="5"/>
  <c r="J434" i="5"/>
  <c r="M434" i="5" s="1"/>
  <c r="I434" i="5"/>
  <c r="J392" i="5"/>
  <c r="I392" i="5"/>
  <c r="J523" i="5"/>
  <c r="M523" i="5" s="1"/>
  <c r="I523" i="5"/>
  <c r="J594" i="5"/>
  <c r="I594" i="5"/>
  <c r="J597" i="5"/>
  <c r="M597" i="5" s="1"/>
  <c r="I597" i="5"/>
  <c r="J450" i="5"/>
  <c r="I450" i="5"/>
  <c r="J411" i="5"/>
  <c r="M411" i="5" s="1"/>
  <c r="I411" i="5"/>
  <c r="J650" i="5"/>
  <c r="I650" i="5"/>
  <c r="J385" i="5"/>
  <c r="M385" i="5" s="1"/>
  <c r="I385" i="5"/>
  <c r="J384" i="5"/>
  <c r="I384" i="5"/>
  <c r="J491" i="5"/>
  <c r="M491" i="5" s="1"/>
  <c r="I491" i="5"/>
  <c r="J494" i="5"/>
  <c r="I494" i="5"/>
  <c r="J643" i="5"/>
  <c r="M643" i="5" s="1"/>
  <c r="I643" i="5"/>
  <c r="J610" i="5"/>
  <c r="I610" i="5"/>
  <c r="J654" i="5"/>
  <c r="M654" i="5" s="1"/>
  <c r="I654" i="5"/>
  <c r="J470" i="5"/>
  <c r="I470" i="5"/>
  <c r="J509" i="5"/>
  <c r="M509" i="5" s="1"/>
  <c r="I509" i="5"/>
  <c r="J667" i="5"/>
  <c r="I667" i="5"/>
  <c r="J427" i="5"/>
  <c r="M427" i="5" s="1"/>
  <c r="I427" i="5"/>
  <c r="J633" i="5"/>
  <c r="I633" i="5"/>
  <c r="J255" i="5"/>
  <c r="M255" i="5" s="1"/>
  <c r="I255" i="5"/>
  <c r="J615" i="5"/>
  <c r="I615" i="5"/>
  <c r="J291" i="5"/>
  <c r="M291" i="5" s="1"/>
  <c r="I291" i="5"/>
  <c r="J476" i="5"/>
  <c r="I476" i="5"/>
  <c r="J655" i="5"/>
  <c r="M655" i="5" s="1"/>
  <c r="I655" i="5"/>
  <c r="J561" i="5"/>
  <c r="I561" i="5"/>
  <c r="J670" i="5"/>
  <c r="M670" i="5" s="1"/>
  <c r="I670" i="5"/>
  <c r="J282" i="5"/>
  <c r="I282" i="5"/>
  <c r="J378" i="5"/>
  <c r="M378" i="5" s="1"/>
  <c r="I378" i="5"/>
  <c r="J604" i="5"/>
  <c r="I604" i="5"/>
  <c r="J637" i="5"/>
  <c r="M637" i="5" s="1"/>
  <c r="I637" i="5"/>
  <c r="J515" i="5"/>
  <c r="I515" i="5"/>
  <c r="J512" i="5"/>
  <c r="M512" i="5" s="1"/>
  <c r="I512" i="5"/>
  <c r="J521" i="5"/>
  <c r="I521" i="5"/>
  <c r="J537" i="5"/>
  <c r="M537" i="5" s="1"/>
  <c r="I537" i="5"/>
  <c r="J456" i="5"/>
  <c r="I456" i="5"/>
  <c r="J471" i="5"/>
  <c r="M471" i="5" s="1"/>
  <c r="I471" i="5"/>
  <c r="J508" i="5"/>
  <c r="I508" i="5"/>
  <c r="J598" i="5"/>
  <c r="M598" i="5" s="1"/>
  <c r="I598" i="5"/>
  <c r="J525" i="5"/>
  <c r="I525" i="5"/>
  <c r="J283" i="5"/>
  <c r="M283" i="5" s="1"/>
  <c r="I283" i="5"/>
  <c r="J603" i="5"/>
  <c r="I603" i="5"/>
  <c r="J431" i="5"/>
  <c r="M431" i="5" s="1"/>
  <c r="I431" i="5"/>
  <c r="J600" i="5"/>
  <c r="I600" i="5"/>
  <c r="J328" i="5"/>
  <c r="M328" i="5" s="1"/>
  <c r="I328" i="5"/>
  <c r="J460" i="5"/>
  <c r="I460" i="5"/>
  <c r="J278" i="5"/>
  <c r="M278" i="5" s="1"/>
  <c r="I278" i="5"/>
  <c r="J620" i="5"/>
  <c r="I620" i="5"/>
  <c r="J435" i="5"/>
  <c r="M435" i="5" s="1"/>
  <c r="I435" i="5"/>
  <c r="J402" i="5"/>
  <c r="I402" i="5"/>
  <c r="J325" i="5"/>
  <c r="M325" i="5" s="1"/>
  <c r="I325" i="5"/>
  <c r="J520" i="5"/>
  <c r="I520" i="5"/>
  <c r="J590" i="5"/>
  <c r="M590" i="5" s="1"/>
  <c r="I590" i="5"/>
  <c r="J482" i="5"/>
  <c r="I482" i="5"/>
  <c r="J663" i="5"/>
  <c r="M663" i="5" s="1"/>
  <c r="I663" i="5"/>
  <c r="J588" i="5"/>
  <c r="I588" i="5"/>
  <c r="J395" i="5"/>
  <c r="M395" i="5" s="1"/>
  <c r="I395" i="5"/>
  <c r="J631" i="5"/>
  <c r="I631" i="5"/>
  <c r="J492" i="5"/>
  <c r="M492" i="5" s="1"/>
  <c r="I492" i="5"/>
  <c r="J533" i="5"/>
  <c r="I533" i="5"/>
  <c r="J601" i="5"/>
  <c r="M601" i="5" s="1"/>
  <c r="I601" i="5"/>
  <c r="J605" i="5"/>
  <c r="I605" i="5"/>
  <c r="J501" i="5"/>
  <c r="M501" i="5" s="1"/>
  <c r="I501" i="5"/>
  <c r="J310" i="5"/>
  <c r="I310" i="5"/>
  <c r="J629" i="5"/>
  <c r="M629" i="5" s="1"/>
  <c r="I629" i="5"/>
  <c r="J536" i="5"/>
  <c r="I536" i="5"/>
  <c r="J483" i="5"/>
  <c r="M483" i="5" s="1"/>
  <c r="I483" i="5"/>
  <c r="J624" i="5"/>
  <c r="I624" i="5"/>
  <c r="J514" i="5"/>
  <c r="M514" i="5" s="1"/>
  <c r="I514" i="5"/>
  <c r="J464" i="5"/>
  <c r="I464" i="5"/>
  <c r="J422" i="5"/>
  <c r="M422" i="5" s="1"/>
  <c r="I422" i="5"/>
  <c r="J548" i="5"/>
  <c r="I548" i="5"/>
  <c r="J608" i="5"/>
  <c r="M608" i="5" s="1"/>
  <c r="I608" i="5"/>
  <c r="J613" i="5"/>
  <c r="I613" i="5"/>
  <c r="J581" i="5"/>
  <c r="M581" i="5" s="1"/>
  <c r="I581" i="5"/>
  <c r="J258" i="5"/>
  <c r="I258" i="5"/>
  <c r="J407" i="5"/>
  <c r="M407" i="5" s="1"/>
  <c r="I407" i="5"/>
  <c r="J353" i="5"/>
  <c r="I353" i="5"/>
  <c r="J571" i="5"/>
  <c r="M571" i="5" s="1"/>
  <c r="I571" i="5"/>
  <c r="J560" i="5"/>
  <c r="I560" i="5"/>
  <c r="J660" i="5"/>
  <c r="M660" i="5" s="1"/>
  <c r="I660" i="5"/>
  <c r="J532" i="5"/>
  <c r="I532" i="5"/>
  <c r="J619" i="5"/>
  <c r="M619" i="5" s="1"/>
  <c r="I619" i="5"/>
  <c r="J535" i="5"/>
  <c r="I535" i="5"/>
  <c r="J550" i="5"/>
  <c r="M550" i="5" s="1"/>
  <c r="I550" i="5"/>
  <c r="J340" i="5"/>
  <c r="I340" i="5"/>
  <c r="J522" i="5"/>
  <c r="M522" i="5" s="1"/>
  <c r="I522" i="5"/>
  <c r="J386" i="5"/>
  <c r="I386" i="5"/>
  <c r="J572" i="5"/>
  <c r="M572" i="5" s="1"/>
  <c r="I572" i="5"/>
  <c r="J506" i="5"/>
  <c r="I506" i="5"/>
  <c r="J393" i="5"/>
  <c r="M393" i="5" s="1"/>
  <c r="I393" i="5"/>
  <c r="J467" i="5"/>
  <c r="I467" i="5"/>
  <c r="J530" i="5"/>
  <c r="M530" i="5" s="1"/>
  <c r="I530" i="5"/>
  <c r="J602" i="5"/>
  <c r="I602" i="5"/>
  <c r="J247" i="5"/>
  <c r="M247" i="5" s="1"/>
  <c r="I247" i="5"/>
  <c r="J636" i="5"/>
  <c r="I636" i="5"/>
  <c r="J428" i="5"/>
  <c r="M428" i="5" s="1"/>
  <c r="I428" i="5"/>
  <c r="J481" i="5"/>
  <c r="I481" i="5"/>
  <c r="J611" i="5"/>
  <c r="M611" i="5" s="1"/>
  <c r="I611" i="5"/>
  <c r="J445" i="5"/>
  <c r="I445" i="5"/>
  <c r="J401" i="5"/>
  <c r="M401" i="5" s="1"/>
  <c r="I401" i="5"/>
  <c r="J438" i="5"/>
  <c r="I438" i="5"/>
  <c r="J503" i="5"/>
  <c r="M503" i="5" s="1"/>
  <c r="I503" i="5"/>
  <c r="J596" i="5"/>
  <c r="I596" i="5"/>
  <c r="J614" i="5"/>
  <c r="M614" i="5" s="1"/>
  <c r="I614" i="5"/>
  <c r="J570" i="5"/>
  <c r="I570" i="5"/>
  <c r="J567" i="5"/>
  <c r="M567" i="5" s="1"/>
  <c r="I567" i="5"/>
  <c r="J365" i="5"/>
  <c r="I365" i="5"/>
  <c r="J367" i="5"/>
  <c r="M367" i="5" s="1"/>
  <c r="I367" i="5"/>
  <c r="J400" i="5"/>
  <c r="I400" i="5"/>
  <c r="J505" i="5"/>
  <c r="M505" i="5" s="1"/>
  <c r="I505" i="5"/>
  <c r="J276" i="5"/>
  <c r="I276" i="5"/>
  <c r="J406" i="5"/>
  <c r="M406" i="5" s="1"/>
  <c r="I406" i="5"/>
  <c r="J659" i="5"/>
  <c r="I659" i="5"/>
  <c r="J341" i="5"/>
  <c r="M341" i="5" s="1"/>
  <c r="I341" i="5"/>
  <c r="J388" i="5"/>
  <c r="I388" i="5"/>
  <c r="J558" i="5"/>
  <c r="M558" i="5" s="1"/>
  <c r="I558" i="5"/>
  <c r="J645" i="5"/>
  <c r="I645" i="5"/>
  <c r="J577" i="5"/>
  <c r="M577" i="5" s="1"/>
  <c r="I577" i="5"/>
  <c r="J574" i="5"/>
  <c r="I574" i="5"/>
  <c r="J626" i="5"/>
  <c r="M626" i="5" s="1"/>
  <c r="I626" i="5"/>
  <c r="J429" i="5"/>
  <c r="I429" i="5"/>
  <c r="J565" i="5"/>
  <c r="M565" i="5" s="1"/>
  <c r="I565" i="5"/>
  <c r="J566" i="5"/>
  <c r="I566" i="5"/>
  <c r="J410" i="5"/>
  <c r="M410" i="5" s="1"/>
  <c r="I410" i="5"/>
  <c r="J369" i="5"/>
  <c r="I369" i="5"/>
  <c r="J542" i="5"/>
  <c r="M542" i="5" s="1"/>
  <c r="I542" i="5"/>
  <c r="J331" i="5"/>
  <c r="I331" i="5"/>
  <c r="J653" i="5"/>
  <c r="M653" i="5" s="1"/>
  <c r="I653" i="5"/>
  <c r="J347" i="5"/>
  <c r="I347" i="5"/>
  <c r="J474" i="5"/>
  <c r="M474" i="5" s="1"/>
  <c r="I474" i="5"/>
  <c r="J457" i="5"/>
  <c r="I457" i="5"/>
  <c r="J370" i="5"/>
  <c r="M370" i="5" s="1"/>
  <c r="I370" i="5"/>
  <c r="J432" i="5"/>
  <c r="I432" i="5"/>
  <c r="J358" i="5"/>
  <c r="M358" i="5" s="1"/>
  <c r="I358" i="5"/>
  <c r="J531" i="5"/>
  <c r="I531" i="5"/>
  <c r="J451" i="5"/>
  <c r="M451" i="5" s="1"/>
  <c r="I451" i="5"/>
  <c r="J632" i="5"/>
  <c r="I632" i="5"/>
  <c r="J413" i="5"/>
  <c r="M413" i="5" s="1"/>
  <c r="I413" i="5"/>
  <c r="J555" i="5"/>
  <c r="I555" i="5"/>
  <c r="J458" i="5"/>
  <c r="M458" i="5" s="1"/>
  <c r="I458" i="5"/>
  <c r="J269" i="5"/>
  <c r="I269" i="5"/>
  <c r="J640" i="5"/>
  <c r="M640" i="5" s="1"/>
  <c r="I640" i="5"/>
  <c r="J549" i="5"/>
  <c r="I549" i="5"/>
  <c r="J430" i="5"/>
  <c r="M430" i="5" s="1"/>
  <c r="I430" i="5"/>
  <c r="J373" i="5"/>
  <c r="I373" i="5"/>
  <c r="J478" i="5"/>
  <c r="M478" i="5" s="1"/>
  <c r="I478" i="5"/>
  <c r="J662" i="5"/>
  <c r="I662" i="5"/>
  <c r="J551" i="5"/>
  <c r="M551" i="5" s="1"/>
  <c r="I551" i="5"/>
  <c r="J656" i="5"/>
  <c r="I656" i="5"/>
  <c r="J436" i="5"/>
  <c r="M436" i="5" s="1"/>
  <c r="I436" i="5"/>
  <c r="J253" i="5"/>
  <c r="I253" i="5"/>
  <c r="J606" i="5"/>
  <c r="M606" i="5" s="1"/>
  <c r="I606" i="5"/>
  <c r="J262" i="5"/>
  <c r="I262" i="5"/>
  <c r="J433" i="5"/>
  <c r="M433" i="5" s="1"/>
  <c r="I433" i="5"/>
  <c r="J256" i="5"/>
  <c r="I256" i="5"/>
  <c r="J544" i="5"/>
  <c r="M544" i="5" s="1"/>
  <c r="I544" i="5"/>
  <c r="J466" i="5"/>
  <c r="I466" i="5"/>
  <c r="J592" i="5"/>
  <c r="M592" i="5" s="1"/>
  <c r="I592" i="5"/>
  <c r="J669" i="5"/>
  <c r="I669" i="5"/>
  <c r="J472" i="5"/>
  <c r="M472" i="5" s="1"/>
  <c r="I472" i="5"/>
  <c r="J638" i="5"/>
  <c r="I638" i="5"/>
  <c r="J545" i="5"/>
  <c r="M545" i="5" s="1"/>
  <c r="I545" i="5"/>
  <c r="J634" i="5"/>
  <c r="I634" i="5"/>
  <c r="J312" i="5"/>
  <c r="M312" i="5" s="1"/>
  <c r="I312" i="5"/>
  <c r="J647" i="5"/>
  <c r="I647" i="5"/>
  <c r="J372" i="5"/>
  <c r="M372" i="5" s="1"/>
  <c r="I372" i="5"/>
  <c r="J526" i="5"/>
  <c r="I526" i="5"/>
  <c r="J383" i="5"/>
  <c r="M383" i="5" s="1"/>
  <c r="I383" i="5"/>
  <c r="J554" i="5"/>
  <c r="I554" i="5"/>
  <c r="J510" i="5"/>
  <c r="M510" i="5" s="1"/>
  <c r="I510" i="5"/>
  <c r="J586" i="5"/>
  <c r="I586" i="5"/>
  <c r="J379" i="5"/>
  <c r="M379" i="5" s="1"/>
  <c r="I379" i="5"/>
  <c r="J585" i="5"/>
  <c r="I585" i="5"/>
  <c r="J346" i="5"/>
  <c r="M346" i="5" s="1"/>
  <c r="I346" i="5"/>
  <c r="J583" i="5"/>
  <c r="I583" i="5"/>
  <c r="J672" i="5"/>
  <c r="M672" i="5" s="1"/>
  <c r="I672" i="5"/>
  <c r="J547" i="5"/>
  <c r="I547" i="5"/>
  <c r="J316" i="5"/>
  <c r="M316" i="5" s="1"/>
  <c r="I316" i="5"/>
  <c r="J507" i="5"/>
  <c r="I507" i="5"/>
  <c r="J354" i="5"/>
  <c r="M354" i="5" s="1"/>
  <c r="I354" i="5"/>
  <c r="J337" i="5"/>
  <c r="I337" i="5"/>
  <c r="J380" i="5"/>
  <c r="M380" i="5" s="1"/>
  <c r="I380" i="5"/>
  <c r="J415" i="5"/>
  <c r="I415" i="5"/>
  <c r="J599" i="5"/>
  <c r="M599" i="5" s="1"/>
  <c r="I599" i="5"/>
  <c r="J609" i="5"/>
  <c r="I609" i="5"/>
  <c r="J513" i="5"/>
  <c r="M513" i="5" s="1"/>
  <c r="I513" i="5"/>
  <c r="J639" i="5"/>
  <c r="I639" i="5"/>
  <c r="J622" i="5"/>
  <c r="M622" i="5" s="1"/>
  <c r="I622" i="5"/>
  <c r="J374" i="5"/>
  <c r="I374" i="5"/>
  <c r="J543" i="5"/>
  <c r="M543" i="5" s="1"/>
  <c r="I543" i="5"/>
  <c r="J390" i="5"/>
  <c r="I390" i="5"/>
  <c r="J368" i="5"/>
  <c r="M368" i="5" s="1"/>
  <c r="I368" i="5"/>
  <c r="J419" i="5"/>
  <c r="I419" i="5"/>
  <c r="J595" i="5"/>
  <c r="M595" i="5" s="1"/>
  <c r="I595" i="5"/>
  <c r="J444" i="5"/>
  <c r="I444" i="5"/>
  <c r="J661" i="5"/>
  <c r="M661" i="5" s="1"/>
  <c r="I661" i="5"/>
  <c r="J621" i="5"/>
  <c r="I621" i="5"/>
  <c r="J397" i="5"/>
  <c r="M397" i="5" s="1"/>
  <c r="I397" i="5"/>
  <c r="J569" i="5"/>
  <c r="I569" i="5"/>
  <c r="J338" i="5"/>
  <c r="M338" i="5" s="1"/>
  <c r="I338" i="5"/>
  <c r="J357" i="5"/>
  <c r="I357" i="5"/>
  <c r="J417" i="5"/>
  <c r="M417" i="5" s="1"/>
  <c r="I417" i="5"/>
  <c r="J477" i="5"/>
  <c r="I477" i="5"/>
  <c r="J277" i="5"/>
  <c r="M277" i="5" s="1"/>
  <c r="I277" i="5"/>
  <c r="J497" i="5"/>
  <c r="I497" i="5"/>
  <c r="J376" i="5"/>
  <c r="M376" i="5" s="1"/>
  <c r="I376" i="5"/>
  <c r="J295" i="5"/>
  <c r="I295" i="5"/>
  <c r="J628" i="5"/>
  <c r="M628" i="5" s="1"/>
  <c r="I628" i="5"/>
  <c r="J652" i="5"/>
  <c r="I652" i="5"/>
  <c r="J280" i="5"/>
  <c r="M280" i="5" s="1"/>
  <c r="I280" i="5"/>
  <c r="J511" i="5"/>
  <c r="I511" i="5"/>
  <c r="J351" i="5"/>
  <c r="M351" i="5" s="1"/>
  <c r="I351" i="5"/>
  <c r="J267" i="5"/>
  <c r="I267" i="5"/>
  <c r="J403" i="5"/>
  <c r="M403" i="5" s="1"/>
  <c r="I403" i="5"/>
  <c r="J248" i="5"/>
  <c r="I248" i="5"/>
  <c r="J441" i="5"/>
  <c r="M441" i="5" s="1"/>
  <c r="I441" i="5"/>
  <c r="J359" i="5"/>
  <c r="I359" i="5"/>
  <c r="J399" i="5"/>
  <c r="M399" i="5" s="1"/>
  <c r="I399" i="5"/>
  <c r="J355" i="5"/>
  <c r="I355" i="5"/>
  <c r="J618" i="5"/>
  <c r="M618" i="5" s="1"/>
  <c r="I618" i="5"/>
  <c r="J468" i="5"/>
  <c r="I468" i="5"/>
  <c r="J459" i="5"/>
  <c r="M459" i="5" s="1"/>
  <c r="I459" i="5"/>
  <c r="J446" i="5"/>
  <c r="I446" i="5"/>
  <c r="J418" i="5"/>
  <c r="M418" i="5" s="1"/>
  <c r="I418" i="5"/>
  <c r="J420" i="5"/>
  <c r="I420" i="5"/>
  <c r="J642" i="5"/>
  <c r="M642" i="5" s="1"/>
  <c r="I642" i="5"/>
  <c r="J251" i="5"/>
  <c r="I251" i="5"/>
  <c r="J580" i="5"/>
  <c r="M580" i="5" s="1"/>
  <c r="I580" i="5"/>
  <c r="J576" i="5"/>
  <c r="I576" i="5"/>
  <c r="J575" i="5"/>
  <c r="M575" i="5" s="1"/>
  <c r="I575" i="5"/>
  <c r="J495" i="5"/>
  <c r="I495" i="5"/>
  <c r="J252" i="5"/>
  <c r="M252" i="5" s="1"/>
  <c r="I252" i="5"/>
  <c r="J461" i="5"/>
  <c r="I461" i="5"/>
  <c r="J593" i="5"/>
  <c r="M593" i="5" s="1"/>
  <c r="I593" i="5"/>
  <c r="J394" i="5"/>
  <c r="I394" i="5"/>
  <c r="J617" i="5"/>
  <c r="M617" i="5" s="1"/>
  <c r="I617" i="5"/>
  <c r="J279" i="5"/>
  <c r="I279" i="5"/>
  <c r="J668" i="5"/>
  <c r="M668" i="5" s="1"/>
  <c r="I668" i="5"/>
  <c r="J488" i="5"/>
  <c r="I488" i="5"/>
  <c r="J352" i="5"/>
  <c r="M352" i="5" s="1"/>
  <c r="I352" i="5"/>
  <c r="J635" i="5"/>
  <c r="I635" i="5"/>
  <c r="J557" i="5"/>
  <c r="M557" i="5" s="1"/>
  <c r="I557" i="5"/>
  <c r="J455" i="5"/>
  <c r="I455" i="5"/>
  <c r="J425" i="5"/>
  <c r="M425" i="5" s="1"/>
  <c r="I425" i="5"/>
  <c r="J440" i="5"/>
  <c r="I440" i="5"/>
  <c r="J313" i="5"/>
  <c r="M313" i="5" s="1"/>
  <c r="I313" i="5"/>
  <c r="J437" i="5"/>
  <c r="I437" i="5"/>
  <c r="J327" i="5"/>
  <c r="M327" i="5" s="1"/>
  <c r="I327" i="5"/>
  <c r="J502" i="5"/>
  <c r="I502" i="5"/>
  <c r="J448" i="5"/>
  <c r="M448" i="5" s="1"/>
  <c r="I448" i="5"/>
  <c r="J362" i="5"/>
  <c r="I362" i="5"/>
  <c r="J665" i="5"/>
  <c r="M665" i="5" s="1"/>
  <c r="I665" i="5"/>
  <c r="J616" i="5"/>
  <c r="I616" i="5"/>
  <c r="J405" i="5"/>
  <c r="M405" i="5" s="1"/>
  <c r="I405" i="5"/>
  <c r="J589" i="5"/>
  <c r="I589" i="5"/>
  <c r="J559" i="5"/>
  <c r="M559" i="5" s="1"/>
  <c r="I559" i="5"/>
  <c r="J562" i="5"/>
  <c r="I562" i="5"/>
  <c r="J382" i="5"/>
  <c r="M382" i="5" s="1"/>
  <c r="I382" i="5"/>
  <c r="J356" i="5"/>
  <c r="I356" i="5"/>
  <c r="J480" i="5"/>
  <c r="M480" i="5" s="1"/>
  <c r="I480" i="5"/>
  <c r="J524" i="5"/>
  <c r="I524" i="5"/>
  <c r="J366" i="5"/>
  <c r="M366" i="5" s="1"/>
  <c r="I366" i="5"/>
  <c r="J414" i="5"/>
  <c r="I414" i="5"/>
  <c r="J294" i="5"/>
  <c r="M294" i="5" s="1"/>
  <c r="I294" i="5"/>
  <c r="J439" i="5"/>
  <c r="I439" i="5"/>
  <c r="J396" i="5"/>
  <c r="M396" i="5" s="1"/>
  <c r="I396" i="5"/>
  <c r="J389" i="5"/>
  <c r="I389" i="5"/>
  <c r="J484" i="5"/>
  <c r="M484" i="5" s="1"/>
  <c r="I484" i="5"/>
  <c r="J302" i="5"/>
  <c r="I302" i="5"/>
  <c r="J607" i="5"/>
  <c r="M607" i="5" s="1"/>
  <c r="I607" i="5"/>
  <c r="J463" i="5"/>
  <c r="I463" i="5"/>
  <c r="J649" i="5"/>
  <c r="M649" i="5" s="1"/>
  <c r="I649" i="5"/>
  <c r="J584" i="5"/>
  <c r="I584" i="5"/>
  <c r="J527" i="5"/>
  <c r="M527" i="5" s="1"/>
  <c r="I527" i="5"/>
  <c r="J519" i="5"/>
  <c r="I519" i="5"/>
  <c r="J534" i="5"/>
  <c r="M534" i="5" s="1"/>
  <c r="I534" i="5"/>
  <c r="J529" i="5"/>
  <c r="I529" i="5"/>
  <c r="J646" i="5"/>
  <c r="M646" i="5" s="1"/>
  <c r="I646" i="5"/>
  <c r="J582" i="5"/>
  <c r="I582" i="5"/>
  <c r="J498" i="5"/>
  <c r="M498" i="5" s="1"/>
  <c r="I498" i="5"/>
  <c r="J408" i="5"/>
  <c r="I408" i="5"/>
  <c r="J449" i="5"/>
  <c r="M449" i="5" s="1"/>
  <c r="I449" i="5"/>
  <c r="J500" i="5"/>
  <c r="I500" i="5"/>
  <c r="J342" i="5"/>
  <c r="M342" i="5" s="1"/>
  <c r="I342" i="5"/>
  <c r="J579" i="5"/>
  <c r="I579" i="5"/>
  <c r="J270" i="5"/>
  <c r="M270" i="5" s="1"/>
  <c r="I270" i="5"/>
  <c r="J447" i="5"/>
  <c r="I447" i="5"/>
  <c r="J487" i="5"/>
  <c r="M487" i="5" s="1"/>
  <c r="I487" i="5"/>
  <c r="J443" i="5"/>
  <c r="I443" i="5"/>
  <c r="J332" i="5"/>
  <c r="M332" i="5" s="1"/>
  <c r="I332" i="5"/>
  <c r="J299" i="5"/>
  <c r="I299" i="5"/>
  <c r="J518" i="5"/>
  <c r="M518" i="5" s="1"/>
  <c r="I518" i="5"/>
  <c r="J375" i="5"/>
  <c r="I375" i="5"/>
  <c r="I674" i="4"/>
  <c r="I673" i="4"/>
  <c r="I671" i="4"/>
  <c r="I672" i="4"/>
  <c r="I670" i="4"/>
  <c r="I668" i="4"/>
  <c r="I669" i="4"/>
  <c r="I663" i="4"/>
  <c r="I664" i="4"/>
  <c r="I665" i="4"/>
  <c r="I666" i="4"/>
  <c r="I667" i="4"/>
  <c r="I662" i="4"/>
  <c r="I661" i="4"/>
  <c r="I660" i="4"/>
  <c r="I658" i="4"/>
  <c r="I659" i="4"/>
  <c r="I657" i="4"/>
  <c r="I655" i="4"/>
  <c r="I656" i="4"/>
  <c r="I650" i="4"/>
  <c r="I651" i="4"/>
  <c r="I652" i="4"/>
  <c r="I653" i="4"/>
  <c r="I654" i="4"/>
  <c r="I649" i="4"/>
  <c r="I648" i="4"/>
  <c r="I646" i="4"/>
  <c r="I647" i="4"/>
  <c r="I645" i="4"/>
  <c r="I643" i="4"/>
  <c r="I644" i="4"/>
  <c r="I642" i="4"/>
  <c r="I641" i="4"/>
  <c r="I640" i="4"/>
  <c r="I636" i="4"/>
  <c r="I637" i="4"/>
  <c r="I638" i="4"/>
  <c r="I639" i="4"/>
  <c r="I630" i="4"/>
  <c r="I631" i="4"/>
  <c r="I632" i="4"/>
  <c r="I633" i="4"/>
  <c r="I634" i="4"/>
  <c r="I635" i="4"/>
  <c r="I628" i="4"/>
  <c r="I629" i="4"/>
  <c r="I627" i="4"/>
  <c r="I624" i="4"/>
  <c r="I625" i="4"/>
  <c r="I626" i="4"/>
  <c r="I623" i="4"/>
  <c r="I621" i="4"/>
  <c r="I622" i="4"/>
  <c r="I619" i="4"/>
  <c r="I620" i="4"/>
  <c r="I618" i="4"/>
  <c r="I617" i="4"/>
  <c r="I616" i="4"/>
  <c r="I615" i="4"/>
  <c r="I613" i="4"/>
  <c r="I614" i="4"/>
  <c r="I612" i="4"/>
  <c r="I610" i="4"/>
  <c r="I611" i="4"/>
  <c r="I605" i="4"/>
  <c r="I606" i="4"/>
  <c r="I607" i="4"/>
  <c r="I608" i="4"/>
  <c r="I609" i="4"/>
  <c r="I604" i="4"/>
  <c r="I603" i="4"/>
  <c r="I602" i="4"/>
  <c r="I599" i="4"/>
  <c r="I600" i="4"/>
  <c r="I601" i="4"/>
  <c r="I596" i="4"/>
  <c r="I597" i="4"/>
  <c r="I598" i="4"/>
  <c r="I594" i="4"/>
  <c r="I595" i="4"/>
  <c r="I591" i="4"/>
  <c r="I592" i="4"/>
  <c r="I593" i="4"/>
  <c r="I589" i="4"/>
  <c r="I590" i="4"/>
  <c r="I588" i="4"/>
  <c r="I587" i="4"/>
  <c r="I586" i="4"/>
  <c r="I581" i="4"/>
  <c r="I582" i="4"/>
  <c r="I583" i="4"/>
  <c r="I584" i="4"/>
  <c r="I585" i="4"/>
  <c r="I579" i="4"/>
  <c r="I580" i="4"/>
  <c r="I578" i="4"/>
  <c r="I577" i="4"/>
  <c r="I573" i="4"/>
  <c r="I574" i="4"/>
  <c r="I575" i="4"/>
  <c r="I576" i="4"/>
  <c r="I572" i="4"/>
  <c r="I571" i="4"/>
  <c r="I569" i="4"/>
  <c r="I570" i="4"/>
  <c r="I568" i="4"/>
  <c r="I566" i="4"/>
  <c r="I567" i="4"/>
  <c r="I564" i="4"/>
  <c r="I565" i="4"/>
  <c r="I560" i="4"/>
  <c r="I561" i="4"/>
  <c r="I562" i="4"/>
  <c r="I563" i="4"/>
  <c r="I558" i="4"/>
  <c r="I559" i="4"/>
  <c r="I557" i="4"/>
  <c r="I556" i="4"/>
  <c r="I555" i="4"/>
  <c r="I554" i="4"/>
  <c r="I553" i="4"/>
  <c r="I552" i="4"/>
  <c r="I551" i="4"/>
  <c r="I549" i="4"/>
  <c r="I550" i="4"/>
  <c r="I547" i="4"/>
  <c r="I548" i="4"/>
  <c r="I546" i="4"/>
  <c r="I544" i="4"/>
  <c r="I545" i="4"/>
  <c r="I542" i="4"/>
  <c r="I543" i="4"/>
  <c r="I540" i="4"/>
  <c r="I541" i="4"/>
  <c r="I538" i="4"/>
  <c r="I539" i="4"/>
  <c r="I535" i="4"/>
  <c r="I536" i="4"/>
  <c r="I537" i="4"/>
  <c r="I533" i="4"/>
  <c r="I534" i="4"/>
  <c r="I530" i="4"/>
  <c r="I531" i="4"/>
  <c r="I532" i="4"/>
  <c r="I528" i="4"/>
  <c r="I529" i="4"/>
  <c r="I526" i="4"/>
  <c r="I527" i="4"/>
  <c r="I524" i="4"/>
  <c r="I525" i="4"/>
  <c r="I523" i="4"/>
  <c r="I522" i="4"/>
  <c r="I520" i="4"/>
  <c r="I521" i="4"/>
  <c r="I517" i="4"/>
  <c r="I518" i="4"/>
  <c r="I519" i="4"/>
  <c r="I514" i="4"/>
  <c r="I515" i="4"/>
  <c r="I516" i="4"/>
  <c r="I512" i="4"/>
  <c r="I513" i="4"/>
  <c r="I511" i="4"/>
  <c r="I508" i="4"/>
  <c r="I509" i="4"/>
  <c r="I510" i="4"/>
  <c r="I505" i="4"/>
  <c r="I506" i="4"/>
  <c r="I507" i="4"/>
  <c r="I504" i="4"/>
  <c r="I503" i="4"/>
  <c r="I501" i="4"/>
  <c r="I502" i="4"/>
  <c r="I500" i="4"/>
  <c r="I498" i="4"/>
  <c r="I499" i="4"/>
  <c r="I496" i="4"/>
  <c r="I497" i="4"/>
  <c r="I494" i="4"/>
  <c r="I495" i="4"/>
  <c r="I493" i="4"/>
  <c r="I492" i="4"/>
  <c r="I491" i="4"/>
  <c r="I489" i="4"/>
  <c r="I490" i="4"/>
  <c r="I488" i="4"/>
  <c r="I487" i="4"/>
  <c r="I486" i="4"/>
  <c r="I485" i="4"/>
  <c r="I484" i="4"/>
  <c r="I483" i="4"/>
  <c r="I479" i="4"/>
  <c r="I480" i="4"/>
  <c r="I481" i="4"/>
  <c r="I482" i="4"/>
  <c r="I478" i="4"/>
  <c r="I477" i="4"/>
  <c r="I475" i="4"/>
  <c r="I476" i="4"/>
  <c r="I471" i="4"/>
  <c r="I472" i="4"/>
  <c r="I473" i="4"/>
  <c r="I474" i="4"/>
  <c r="I468" i="4"/>
  <c r="I469" i="4"/>
  <c r="I470" i="4"/>
  <c r="I467" i="4"/>
  <c r="I466" i="4"/>
  <c r="I465" i="4"/>
  <c r="I464" i="4"/>
  <c r="I463" i="4"/>
  <c r="I462" i="4"/>
  <c r="I459" i="4"/>
  <c r="I460" i="4"/>
  <c r="I461" i="4"/>
  <c r="I458" i="4"/>
  <c r="I455" i="4"/>
  <c r="I456" i="4"/>
  <c r="I457" i="4"/>
  <c r="I454" i="4"/>
  <c r="I451" i="4"/>
  <c r="I452" i="4"/>
  <c r="I453" i="4"/>
  <c r="I448" i="4"/>
  <c r="I449" i="4"/>
  <c r="I450" i="4"/>
  <c r="I446" i="4"/>
  <c r="I447" i="4"/>
  <c r="I445" i="4"/>
  <c r="I444" i="4"/>
  <c r="I443" i="4"/>
  <c r="I442" i="4"/>
  <c r="I440" i="4"/>
  <c r="I441" i="4"/>
  <c r="I439" i="4"/>
  <c r="I438" i="4"/>
  <c r="I436" i="4"/>
  <c r="I437" i="4"/>
  <c r="I435" i="4"/>
  <c r="I431" i="4"/>
  <c r="I432" i="4"/>
  <c r="I433" i="4"/>
  <c r="I434" i="4"/>
  <c r="I430" i="4"/>
  <c r="I427" i="4"/>
  <c r="I428" i="4"/>
  <c r="I429" i="4"/>
  <c r="I426" i="4"/>
  <c r="I424" i="4"/>
  <c r="I425" i="4"/>
  <c r="I423" i="4"/>
  <c r="I421" i="4"/>
  <c r="I422" i="4"/>
  <c r="I419" i="4"/>
  <c r="I420" i="4"/>
  <c r="I417" i="4"/>
  <c r="I418" i="4"/>
  <c r="I416" i="4"/>
  <c r="I414" i="4"/>
  <c r="I415" i="4"/>
  <c r="I413" i="4"/>
  <c r="I412" i="4"/>
  <c r="I411" i="4"/>
  <c r="I408" i="4"/>
  <c r="I409" i="4"/>
  <c r="I410" i="4"/>
  <c r="I405" i="4"/>
  <c r="I406" i="4"/>
  <c r="I407" i="4"/>
  <c r="I403" i="4"/>
  <c r="I404" i="4"/>
  <c r="I402" i="4"/>
  <c r="I401" i="4"/>
  <c r="I400" i="4"/>
  <c r="I399" i="4"/>
  <c r="I398" i="4"/>
  <c r="I396" i="4"/>
  <c r="I397" i="4"/>
  <c r="I393" i="4"/>
  <c r="I394" i="4"/>
  <c r="I395" i="4"/>
  <c r="I391" i="4"/>
  <c r="I392" i="4"/>
  <c r="I388" i="4"/>
  <c r="I389" i="4"/>
  <c r="I390" i="4"/>
  <c r="I385" i="4"/>
  <c r="I386" i="4"/>
  <c r="I387" i="4"/>
  <c r="I382" i="4"/>
  <c r="I383" i="4"/>
  <c r="I384" i="4"/>
  <c r="I381" i="4"/>
  <c r="I380" i="4"/>
  <c r="I377" i="4"/>
  <c r="I378" i="4"/>
  <c r="I379" i="4"/>
  <c r="I375" i="4"/>
  <c r="I376" i="4"/>
  <c r="I373" i="4"/>
  <c r="I374" i="4"/>
  <c r="I370" i="4"/>
  <c r="I371" i="4"/>
  <c r="I372" i="4"/>
  <c r="I369" i="4"/>
  <c r="I366" i="4"/>
  <c r="I367" i="4"/>
  <c r="I368" i="4"/>
  <c r="I364" i="4"/>
  <c r="I365" i="4"/>
  <c r="I363" i="4"/>
  <c r="I362" i="4"/>
  <c r="I360" i="4"/>
  <c r="I361" i="4"/>
  <c r="I359" i="4"/>
  <c r="I357" i="4"/>
  <c r="I358" i="4"/>
  <c r="I356" i="4"/>
  <c r="I355" i="4"/>
  <c r="I353" i="4"/>
  <c r="I354" i="4"/>
  <c r="I352" i="4"/>
  <c r="I351" i="4"/>
  <c r="I350" i="4"/>
  <c r="I348" i="4"/>
  <c r="I349" i="4"/>
  <c r="I345" i="4"/>
  <c r="I346" i="4"/>
  <c r="I347" i="4"/>
  <c r="I343" i="4"/>
  <c r="I344" i="4"/>
  <c r="I342" i="4"/>
  <c r="I340" i="4"/>
  <c r="I341" i="4"/>
  <c r="I339" i="4"/>
  <c r="I337" i="4"/>
  <c r="I338" i="4"/>
  <c r="I335" i="4"/>
  <c r="I336" i="4"/>
  <c r="I333" i="4"/>
  <c r="I334" i="4"/>
  <c r="I332" i="4"/>
  <c r="I330" i="4"/>
  <c r="I331" i="4"/>
  <c r="I328" i="4"/>
  <c r="I329" i="4"/>
  <c r="I327" i="4"/>
  <c r="I326" i="4"/>
  <c r="I325" i="4"/>
  <c r="I324" i="4"/>
  <c r="I322" i="4"/>
  <c r="I323" i="4"/>
  <c r="I321" i="4"/>
  <c r="I319" i="4"/>
  <c r="I320" i="4"/>
  <c r="I318" i="4"/>
  <c r="I315" i="4"/>
  <c r="I316" i="4"/>
  <c r="I317" i="4"/>
  <c r="I313" i="4"/>
  <c r="I314" i="4"/>
  <c r="I311" i="4"/>
  <c r="I312" i="4"/>
  <c r="I309" i="4"/>
  <c r="I310" i="4"/>
  <c r="I308" i="4"/>
  <c r="I305" i="4"/>
  <c r="I306" i="4"/>
  <c r="I307" i="4"/>
  <c r="I302" i="4"/>
  <c r="I303" i="4"/>
  <c r="I304" i="4"/>
  <c r="I301" i="4"/>
  <c r="I300" i="4"/>
  <c r="I298" i="4"/>
  <c r="I299" i="4"/>
  <c r="I297" i="4"/>
  <c r="I296" i="4"/>
  <c r="I294" i="4"/>
  <c r="I295" i="4"/>
  <c r="I293" i="4"/>
  <c r="I292" i="4"/>
  <c r="I291" i="4"/>
  <c r="I288" i="4"/>
  <c r="I289" i="4"/>
  <c r="I290" i="4"/>
  <c r="I285" i="4"/>
  <c r="I286" i="4"/>
  <c r="I287" i="4"/>
  <c r="I284" i="4"/>
  <c r="I283" i="4"/>
  <c r="I282" i="4"/>
  <c r="I280" i="4"/>
  <c r="I281" i="4"/>
  <c r="I278" i="4"/>
  <c r="I279" i="4"/>
  <c r="I277" i="4"/>
  <c r="I276" i="4"/>
  <c r="I275" i="4"/>
  <c r="I273" i="4"/>
  <c r="I274" i="4"/>
  <c r="I272" i="4"/>
  <c r="I270" i="4"/>
  <c r="I271" i="4"/>
  <c r="I266" i="4"/>
  <c r="I267" i="4"/>
  <c r="I268" i="4"/>
  <c r="I269" i="4"/>
  <c r="I263" i="4"/>
  <c r="I264" i="4"/>
  <c r="I265" i="4"/>
  <c r="I259" i="4"/>
  <c r="I260" i="4"/>
  <c r="I261" i="4"/>
  <c r="I262" i="4"/>
  <c r="I257" i="4"/>
  <c r="I258" i="4"/>
  <c r="I254" i="4"/>
  <c r="I255" i="4"/>
  <c r="I256" i="4"/>
  <c r="I252" i="4"/>
  <c r="I253" i="4"/>
  <c r="I250" i="4"/>
  <c r="I251" i="4"/>
  <c r="I249" i="4"/>
  <c r="I247" i="4"/>
  <c r="I248" i="4"/>
  <c r="I246" i="4"/>
  <c r="I245" i="4"/>
  <c r="I244" i="4"/>
  <c r="I241" i="4"/>
  <c r="I242" i="4"/>
  <c r="I243" i="4"/>
  <c r="I237" i="4"/>
  <c r="I238" i="4"/>
  <c r="I239" i="4"/>
  <c r="I240" i="4"/>
  <c r="I236" i="4"/>
  <c r="I235" i="4"/>
  <c r="I233" i="4"/>
  <c r="I234" i="4"/>
  <c r="I232" i="4"/>
  <c r="I230" i="4"/>
  <c r="I231" i="4"/>
  <c r="I229" i="4"/>
  <c r="I228" i="4"/>
  <c r="I227" i="4"/>
  <c r="I226" i="4"/>
  <c r="I225" i="4"/>
  <c r="I220" i="4"/>
  <c r="I221" i="4"/>
  <c r="I222" i="4"/>
  <c r="I223" i="4"/>
  <c r="I224" i="4"/>
  <c r="I217" i="4"/>
  <c r="I218" i="4"/>
  <c r="I219" i="4"/>
  <c r="I214" i="4"/>
  <c r="I215" i="4"/>
  <c r="I216" i="4"/>
  <c r="I213" i="4"/>
  <c r="I212" i="4"/>
  <c r="I209" i="4"/>
  <c r="I210" i="4"/>
  <c r="I211" i="4"/>
  <c r="I207" i="4"/>
  <c r="I208" i="4"/>
  <c r="I206" i="4"/>
  <c r="I205" i="4"/>
  <c r="I204" i="4"/>
  <c r="I202" i="4"/>
  <c r="I203" i="4"/>
  <c r="I201" i="4"/>
  <c r="I197" i="4"/>
  <c r="I198" i="4"/>
  <c r="I199" i="4"/>
  <c r="I200" i="4"/>
  <c r="I194" i="4"/>
  <c r="I195" i="4"/>
  <c r="I196" i="4"/>
  <c r="I193" i="4"/>
  <c r="I191" i="4"/>
  <c r="I192" i="4"/>
  <c r="I189" i="4"/>
  <c r="I190" i="4"/>
  <c r="I188" i="4"/>
  <c r="I186" i="4"/>
  <c r="I187" i="4"/>
  <c r="I185" i="4"/>
  <c r="I183" i="4"/>
  <c r="I184" i="4"/>
  <c r="I182" i="4"/>
  <c r="I180" i="4"/>
  <c r="I181" i="4"/>
  <c r="I178" i="4"/>
  <c r="I179" i="4"/>
  <c r="I176" i="4"/>
  <c r="I177" i="4"/>
  <c r="I174" i="4"/>
  <c r="I175" i="4"/>
  <c r="I173" i="4"/>
  <c r="I172" i="4"/>
  <c r="I171" i="4"/>
  <c r="I168" i="4"/>
  <c r="I169" i="4"/>
  <c r="I170" i="4"/>
  <c r="I166" i="4"/>
  <c r="I167" i="4"/>
  <c r="I164" i="4"/>
  <c r="I165" i="4"/>
  <c r="I163" i="4"/>
  <c r="I162" i="4"/>
  <c r="I160" i="4"/>
  <c r="I161" i="4"/>
  <c r="I157" i="4"/>
  <c r="I158" i="4"/>
  <c r="I159" i="4"/>
  <c r="I155" i="4"/>
  <c r="I156" i="4"/>
  <c r="I154" i="4"/>
  <c r="I152" i="4"/>
  <c r="I153" i="4"/>
  <c r="I149" i="4"/>
  <c r="I150" i="4"/>
  <c r="I151" i="4"/>
  <c r="I148" i="4"/>
  <c r="I145" i="4"/>
  <c r="I146" i="4"/>
  <c r="I147" i="4"/>
  <c r="I144" i="4"/>
  <c r="I142" i="4"/>
  <c r="I143" i="4"/>
  <c r="I140" i="4"/>
  <c r="I141" i="4"/>
  <c r="I137" i="4"/>
  <c r="I138" i="4"/>
  <c r="I139" i="4"/>
  <c r="I135" i="4"/>
  <c r="I136" i="4"/>
  <c r="I131" i="4"/>
  <c r="I132" i="4"/>
  <c r="I133" i="4"/>
  <c r="I134" i="4"/>
  <c r="I129" i="4"/>
  <c r="I130" i="4"/>
  <c r="I128" i="4"/>
  <c r="I127" i="4"/>
  <c r="I124" i="4"/>
  <c r="I125" i="4"/>
  <c r="I126" i="4"/>
  <c r="I123" i="4"/>
  <c r="I121" i="4"/>
  <c r="I122" i="4"/>
  <c r="I119" i="4"/>
  <c r="I120" i="4"/>
  <c r="I117" i="4"/>
  <c r="I118" i="4"/>
  <c r="I115" i="4"/>
  <c r="I116" i="4"/>
  <c r="I114" i="4"/>
  <c r="I113" i="4"/>
  <c r="I112" i="4"/>
  <c r="I109" i="4"/>
  <c r="I110" i="4"/>
  <c r="I111" i="4"/>
  <c r="I108" i="4"/>
  <c r="I106" i="4"/>
  <c r="I107" i="4"/>
  <c r="I105" i="4"/>
  <c r="I103" i="4"/>
  <c r="I104" i="4"/>
  <c r="I101" i="4"/>
  <c r="I102" i="4"/>
  <c r="I98" i="4"/>
  <c r="I99" i="4"/>
  <c r="I100" i="4"/>
  <c r="I97" i="4"/>
  <c r="I96" i="4"/>
  <c r="I94" i="4"/>
  <c r="I95" i="4"/>
  <c r="I93" i="4"/>
  <c r="I92" i="4"/>
  <c r="I91" i="4"/>
  <c r="I89" i="4"/>
  <c r="I90" i="4"/>
  <c r="I87" i="4"/>
  <c r="I88" i="4"/>
  <c r="I86" i="4"/>
  <c r="I85" i="4"/>
  <c r="I83" i="4"/>
  <c r="I84" i="4"/>
  <c r="I81" i="4"/>
  <c r="I82" i="4"/>
  <c r="I79" i="4"/>
  <c r="I80" i="4"/>
  <c r="I78" i="4"/>
  <c r="I77" i="4"/>
  <c r="I74" i="4"/>
  <c r="I75" i="4"/>
  <c r="I76" i="4"/>
  <c r="I73" i="4"/>
  <c r="I71" i="4"/>
  <c r="I72" i="4"/>
  <c r="I69" i="4"/>
  <c r="I70" i="4"/>
  <c r="I67" i="4"/>
  <c r="I68" i="4"/>
  <c r="I66" i="4"/>
  <c r="I64" i="4"/>
  <c r="I65" i="4"/>
  <c r="I60" i="4"/>
  <c r="I61" i="4"/>
  <c r="I62" i="4"/>
  <c r="I63" i="4"/>
  <c r="I58" i="4"/>
  <c r="I59" i="4"/>
  <c r="I57" i="4"/>
  <c r="I53" i="4"/>
  <c r="I54" i="4"/>
  <c r="I55" i="4"/>
  <c r="I56" i="4"/>
  <c r="I51" i="4"/>
  <c r="I52" i="4"/>
  <c r="I49" i="4"/>
  <c r="I50" i="4"/>
  <c r="I47" i="4"/>
  <c r="I48" i="4"/>
  <c r="I46" i="4"/>
  <c r="I42" i="4"/>
  <c r="I43" i="4"/>
  <c r="I44" i="4"/>
  <c r="I45" i="4"/>
  <c r="I41" i="4"/>
  <c r="I40" i="4"/>
  <c r="I38" i="4"/>
  <c r="I39" i="4"/>
  <c r="I34" i="4"/>
  <c r="I35" i="4"/>
  <c r="I36" i="4"/>
  <c r="I37" i="4"/>
  <c r="I31" i="4"/>
  <c r="I32" i="4"/>
  <c r="I33" i="4"/>
  <c r="I30" i="4"/>
  <c r="I29" i="4"/>
  <c r="I28" i="4"/>
  <c r="I24" i="4"/>
  <c r="I25" i="4"/>
  <c r="I26" i="4"/>
  <c r="I27" i="4"/>
  <c r="I22" i="4"/>
  <c r="I23" i="4"/>
  <c r="I20" i="4"/>
  <c r="I21" i="4"/>
  <c r="I18" i="4"/>
  <c r="I19" i="4"/>
  <c r="I14" i="4"/>
  <c r="I15" i="4"/>
  <c r="I16" i="4"/>
  <c r="I17" i="4"/>
  <c r="I12" i="4"/>
  <c r="I13" i="4"/>
  <c r="I11" i="4"/>
  <c r="I10" i="4"/>
  <c r="I9" i="4"/>
  <c r="I6" i="4"/>
  <c r="I7" i="4"/>
  <c r="I8" i="4"/>
  <c r="I4" i="4"/>
  <c r="I5" i="4"/>
  <c r="I3" i="4"/>
  <c r="I2" i="4"/>
  <c r="H674" i="4"/>
  <c r="H673" i="4"/>
  <c r="H671" i="4"/>
  <c r="H672" i="4"/>
  <c r="H670" i="4"/>
  <c r="H668" i="4"/>
  <c r="H669" i="4"/>
  <c r="H663" i="4"/>
  <c r="H664" i="4"/>
  <c r="H665" i="4"/>
  <c r="H666" i="4"/>
  <c r="H667" i="4"/>
  <c r="H662" i="4"/>
  <c r="H661" i="4"/>
  <c r="H660" i="4"/>
  <c r="H658" i="4"/>
  <c r="H659" i="4"/>
  <c r="H657" i="4"/>
  <c r="H655" i="4"/>
  <c r="H656" i="4"/>
  <c r="H650" i="4"/>
  <c r="H651" i="4"/>
  <c r="H652" i="4"/>
  <c r="H653" i="4"/>
  <c r="H654" i="4"/>
  <c r="H649" i="4"/>
  <c r="H648" i="4"/>
  <c r="H646" i="4"/>
  <c r="H647" i="4"/>
  <c r="H645" i="4"/>
  <c r="H643" i="4"/>
  <c r="H644" i="4"/>
  <c r="H642" i="4"/>
  <c r="H641" i="4"/>
  <c r="H640" i="4"/>
  <c r="H636" i="4"/>
  <c r="H637" i="4"/>
  <c r="H638" i="4"/>
  <c r="H639" i="4"/>
  <c r="H630" i="4"/>
  <c r="H631" i="4"/>
  <c r="H632" i="4"/>
  <c r="H633" i="4"/>
  <c r="H634" i="4"/>
  <c r="H635" i="4"/>
  <c r="H628" i="4"/>
  <c r="H629" i="4"/>
  <c r="H627" i="4"/>
  <c r="H624" i="4"/>
  <c r="H625" i="4"/>
  <c r="H626" i="4"/>
  <c r="H623" i="4"/>
  <c r="H621" i="4"/>
  <c r="H622" i="4"/>
  <c r="H619" i="4"/>
  <c r="H620" i="4"/>
  <c r="H618" i="4"/>
  <c r="H617" i="4"/>
  <c r="H616" i="4"/>
  <c r="H615" i="4"/>
  <c r="H613" i="4"/>
  <c r="H614" i="4"/>
  <c r="H612" i="4"/>
  <c r="H610" i="4"/>
  <c r="H611" i="4"/>
  <c r="H605" i="4"/>
  <c r="H606" i="4"/>
  <c r="H607" i="4"/>
  <c r="H608" i="4"/>
  <c r="H609" i="4"/>
  <c r="H604" i="4"/>
  <c r="H603" i="4"/>
  <c r="H602" i="4"/>
  <c r="H599" i="4"/>
  <c r="H600" i="4"/>
  <c r="H601" i="4"/>
  <c r="H596" i="4"/>
  <c r="H597" i="4"/>
  <c r="H598" i="4"/>
  <c r="H594" i="4"/>
  <c r="H595" i="4"/>
  <c r="H591" i="4"/>
  <c r="H592" i="4"/>
  <c r="H593" i="4"/>
  <c r="H589" i="4"/>
  <c r="H590" i="4"/>
  <c r="H588" i="4"/>
  <c r="H587" i="4"/>
  <c r="H586" i="4"/>
  <c r="H581" i="4"/>
  <c r="H582" i="4"/>
  <c r="H583" i="4"/>
  <c r="H584" i="4"/>
  <c r="H585" i="4"/>
  <c r="H579" i="4"/>
  <c r="H580" i="4"/>
  <c r="H578" i="4"/>
  <c r="H577" i="4"/>
  <c r="H573" i="4"/>
  <c r="H574" i="4"/>
  <c r="H575" i="4"/>
  <c r="H576" i="4"/>
  <c r="H572" i="4"/>
  <c r="H571" i="4"/>
  <c r="H569" i="4"/>
  <c r="H570" i="4"/>
  <c r="H568" i="4"/>
  <c r="H566" i="4"/>
  <c r="H567" i="4"/>
  <c r="H564" i="4"/>
  <c r="H565" i="4"/>
  <c r="H560" i="4"/>
  <c r="H561" i="4"/>
  <c r="H562" i="4"/>
  <c r="H563" i="4"/>
  <c r="H558" i="4"/>
  <c r="H559" i="4"/>
  <c r="H557" i="4"/>
  <c r="H556" i="4"/>
  <c r="H555" i="4"/>
  <c r="H554" i="4"/>
  <c r="H553" i="4"/>
  <c r="H552" i="4"/>
  <c r="H551" i="4"/>
  <c r="H549" i="4"/>
  <c r="H550" i="4"/>
  <c r="H547" i="4"/>
  <c r="H548" i="4"/>
  <c r="H546" i="4"/>
  <c r="H544" i="4"/>
  <c r="H545" i="4"/>
  <c r="H542" i="4"/>
  <c r="H543" i="4"/>
  <c r="H540" i="4"/>
  <c r="H541" i="4"/>
  <c r="H538" i="4"/>
  <c r="H539" i="4"/>
  <c r="H535" i="4"/>
  <c r="H536" i="4"/>
  <c r="H537" i="4"/>
  <c r="H533" i="4"/>
  <c r="H534" i="4"/>
  <c r="H530" i="4"/>
  <c r="H531" i="4"/>
  <c r="H532" i="4"/>
  <c r="H528" i="4"/>
  <c r="H529" i="4"/>
  <c r="H526" i="4"/>
  <c r="H527" i="4"/>
  <c r="H524" i="4"/>
  <c r="H525" i="4"/>
  <c r="H523" i="4"/>
  <c r="H522" i="4"/>
  <c r="H520" i="4"/>
  <c r="H521" i="4"/>
  <c r="H517" i="4"/>
  <c r="H518" i="4"/>
  <c r="H519" i="4"/>
  <c r="H514" i="4"/>
  <c r="H515" i="4"/>
  <c r="H516" i="4"/>
  <c r="H512" i="4"/>
  <c r="H513" i="4"/>
  <c r="H511" i="4"/>
  <c r="H508" i="4"/>
  <c r="H509" i="4"/>
  <c r="H510" i="4"/>
  <c r="H505" i="4"/>
  <c r="H506" i="4"/>
  <c r="H507" i="4"/>
  <c r="H504" i="4"/>
  <c r="H503" i="4"/>
  <c r="H501" i="4"/>
  <c r="H502" i="4"/>
  <c r="H500" i="4"/>
  <c r="H498" i="4"/>
  <c r="H499" i="4"/>
  <c r="H496" i="4"/>
  <c r="H497" i="4"/>
  <c r="H494" i="4"/>
  <c r="H495" i="4"/>
  <c r="H493" i="4"/>
  <c r="H492" i="4"/>
  <c r="H491" i="4"/>
  <c r="H489" i="4"/>
  <c r="H490" i="4"/>
  <c r="H488" i="4"/>
  <c r="H487" i="4"/>
  <c r="H486" i="4"/>
  <c r="H485" i="4"/>
  <c r="H484" i="4"/>
  <c r="H483" i="4"/>
  <c r="H479" i="4"/>
  <c r="H480" i="4"/>
  <c r="H481" i="4"/>
  <c r="H482" i="4"/>
  <c r="H478" i="4"/>
  <c r="H477" i="4"/>
  <c r="H475" i="4"/>
  <c r="H476" i="4"/>
  <c r="H471" i="4"/>
  <c r="H472" i="4"/>
  <c r="H473" i="4"/>
  <c r="H474" i="4"/>
  <c r="H468" i="4"/>
  <c r="H469" i="4"/>
  <c r="H470" i="4"/>
  <c r="H467" i="4"/>
  <c r="H466" i="4"/>
  <c r="H465" i="4"/>
  <c r="H464" i="4"/>
  <c r="H463" i="4"/>
  <c r="H462" i="4"/>
  <c r="H459" i="4"/>
  <c r="H460" i="4"/>
  <c r="H461" i="4"/>
  <c r="H458" i="4"/>
  <c r="H455" i="4"/>
  <c r="H456" i="4"/>
  <c r="H457" i="4"/>
  <c r="H454" i="4"/>
  <c r="H451" i="4"/>
  <c r="H452" i="4"/>
  <c r="H453" i="4"/>
  <c r="H448" i="4"/>
  <c r="H449" i="4"/>
  <c r="H450" i="4"/>
  <c r="H446" i="4"/>
  <c r="H447" i="4"/>
  <c r="H445" i="4"/>
  <c r="H444" i="4"/>
  <c r="H443" i="4"/>
  <c r="H442" i="4"/>
  <c r="H440" i="4"/>
  <c r="H441" i="4"/>
  <c r="H439" i="4"/>
  <c r="H438" i="4"/>
  <c r="H436" i="4"/>
  <c r="H437" i="4"/>
  <c r="H435" i="4"/>
  <c r="H431" i="4"/>
  <c r="H432" i="4"/>
  <c r="H433" i="4"/>
  <c r="H434" i="4"/>
  <c r="H430" i="4"/>
  <c r="H427" i="4"/>
  <c r="H428" i="4"/>
  <c r="H429" i="4"/>
  <c r="H426" i="4"/>
  <c r="H424" i="4"/>
  <c r="H425" i="4"/>
  <c r="H423" i="4"/>
  <c r="H421" i="4"/>
  <c r="H422" i="4"/>
  <c r="H419" i="4"/>
  <c r="H420" i="4"/>
  <c r="H417" i="4"/>
  <c r="H418" i="4"/>
  <c r="H416" i="4"/>
  <c r="H414" i="4"/>
  <c r="H415" i="4"/>
  <c r="H413" i="4"/>
  <c r="H412" i="4"/>
  <c r="H411" i="4"/>
  <c r="H408" i="4"/>
  <c r="H409" i="4"/>
  <c r="H410" i="4"/>
  <c r="H405" i="4"/>
  <c r="H406" i="4"/>
  <c r="H407" i="4"/>
  <c r="H403" i="4"/>
  <c r="H404" i="4"/>
  <c r="H402" i="4"/>
  <c r="H401" i="4"/>
  <c r="H400" i="4"/>
  <c r="H399" i="4"/>
  <c r="H398" i="4"/>
  <c r="H396" i="4"/>
  <c r="H397" i="4"/>
  <c r="H393" i="4"/>
  <c r="H394" i="4"/>
  <c r="H395" i="4"/>
  <c r="H391" i="4"/>
  <c r="H392" i="4"/>
  <c r="H388" i="4"/>
  <c r="H389" i="4"/>
  <c r="H390" i="4"/>
  <c r="H385" i="4"/>
  <c r="H386" i="4"/>
  <c r="H387" i="4"/>
  <c r="H382" i="4"/>
  <c r="H383" i="4"/>
  <c r="H384" i="4"/>
  <c r="H381" i="4"/>
  <c r="H380" i="4"/>
  <c r="H377" i="4"/>
  <c r="H378" i="4"/>
  <c r="H379" i="4"/>
  <c r="H375" i="4"/>
  <c r="H376" i="4"/>
  <c r="H373" i="4"/>
  <c r="H374" i="4"/>
  <c r="H370" i="4"/>
  <c r="H371" i="4"/>
  <c r="H372" i="4"/>
  <c r="H369" i="4"/>
  <c r="H366" i="4"/>
  <c r="H367" i="4"/>
  <c r="H368" i="4"/>
  <c r="H364" i="4"/>
  <c r="H365" i="4"/>
  <c r="H363" i="4"/>
  <c r="H362" i="4"/>
  <c r="H360" i="4"/>
  <c r="H361" i="4"/>
  <c r="H359" i="4"/>
  <c r="H357" i="4"/>
  <c r="H358" i="4"/>
  <c r="H356" i="4"/>
  <c r="H355" i="4"/>
  <c r="H353" i="4"/>
  <c r="H354" i="4"/>
  <c r="H352" i="4"/>
  <c r="H351" i="4"/>
  <c r="H350" i="4"/>
  <c r="H348" i="4"/>
  <c r="H349" i="4"/>
  <c r="H345" i="4"/>
  <c r="H346" i="4"/>
  <c r="H347" i="4"/>
  <c r="H343" i="4"/>
  <c r="H344" i="4"/>
  <c r="H342" i="4"/>
  <c r="H340" i="4"/>
  <c r="H341" i="4"/>
  <c r="H339" i="4"/>
  <c r="H337" i="4"/>
  <c r="H338" i="4"/>
  <c r="H335" i="4"/>
  <c r="H336" i="4"/>
  <c r="H333" i="4"/>
  <c r="H334" i="4"/>
  <c r="H332" i="4"/>
  <c r="H330" i="4"/>
  <c r="H331" i="4"/>
  <c r="H328" i="4"/>
  <c r="H329" i="4"/>
  <c r="H327" i="4"/>
  <c r="H326" i="4"/>
  <c r="H325" i="4"/>
  <c r="H324" i="4"/>
  <c r="H322" i="4"/>
  <c r="H323" i="4"/>
  <c r="H321" i="4"/>
  <c r="H319" i="4"/>
  <c r="H320" i="4"/>
  <c r="H318" i="4"/>
  <c r="H315" i="4"/>
  <c r="H316" i="4"/>
  <c r="H317" i="4"/>
  <c r="H313" i="4"/>
  <c r="H314" i="4"/>
  <c r="H311" i="4"/>
  <c r="H312" i="4"/>
  <c r="H309" i="4"/>
  <c r="H310" i="4"/>
  <c r="H308" i="4"/>
  <c r="H305" i="4"/>
  <c r="H306" i="4"/>
  <c r="H307" i="4"/>
  <c r="H302" i="4"/>
  <c r="H303" i="4"/>
  <c r="H304" i="4"/>
  <c r="H301" i="4"/>
  <c r="H300" i="4"/>
  <c r="H298" i="4"/>
  <c r="H299" i="4"/>
  <c r="H297" i="4"/>
  <c r="H296" i="4"/>
  <c r="H294" i="4"/>
  <c r="H295" i="4"/>
  <c r="H293" i="4"/>
  <c r="H292" i="4"/>
  <c r="H291" i="4"/>
  <c r="H288" i="4"/>
  <c r="H289" i="4"/>
  <c r="H290" i="4"/>
  <c r="H285" i="4"/>
  <c r="H286" i="4"/>
  <c r="H287" i="4"/>
  <c r="H284" i="4"/>
  <c r="H283" i="4"/>
  <c r="H282" i="4"/>
  <c r="H280" i="4"/>
  <c r="H281" i="4"/>
  <c r="H278" i="4"/>
  <c r="H279" i="4"/>
  <c r="H277" i="4"/>
  <c r="H276" i="4"/>
  <c r="H275" i="4"/>
  <c r="H273" i="4"/>
  <c r="H274" i="4"/>
  <c r="H272" i="4"/>
  <c r="H270" i="4"/>
  <c r="H271" i="4"/>
  <c r="H266" i="4"/>
  <c r="H267" i="4"/>
  <c r="H268" i="4"/>
  <c r="H269" i="4"/>
  <c r="H263" i="4"/>
  <c r="H264" i="4"/>
  <c r="H265" i="4"/>
  <c r="H259" i="4"/>
  <c r="H260" i="4"/>
  <c r="H261" i="4"/>
  <c r="H262" i="4"/>
  <c r="H257" i="4"/>
  <c r="H258" i="4"/>
  <c r="H254" i="4"/>
  <c r="H255" i="4"/>
  <c r="H256" i="4"/>
  <c r="H252" i="4"/>
  <c r="H253" i="4"/>
  <c r="H250" i="4"/>
  <c r="H251" i="4"/>
  <c r="H249" i="4"/>
  <c r="H247" i="4"/>
  <c r="H248" i="4"/>
  <c r="H246" i="4"/>
  <c r="H245" i="4"/>
  <c r="H244" i="4"/>
  <c r="H241" i="4"/>
  <c r="H242" i="4"/>
  <c r="H243" i="4"/>
  <c r="H237" i="4"/>
  <c r="H238" i="4"/>
  <c r="H239" i="4"/>
  <c r="H240" i="4"/>
  <c r="H236" i="4"/>
  <c r="H235" i="4"/>
  <c r="H233" i="4"/>
  <c r="H234" i="4"/>
  <c r="H232" i="4"/>
  <c r="H230" i="4"/>
  <c r="H231" i="4"/>
  <c r="H229" i="4"/>
  <c r="H228" i="4"/>
  <c r="H227" i="4"/>
  <c r="H226" i="4"/>
  <c r="H225" i="4"/>
  <c r="H220" i="4"/>
  <c r="H221" i="4"/>
  <c r="H222" i="4"/>
  <c r="H223" i="4"/>
  <c r="H224" i="4"/>
  <c r="H217" i="4"/>
  <c r="H218" i="4"/>
  <c r="H219" i="4"/>
  <c r="H214" i="4"/>
  <c r="H215" i="4"/>
  <c r="H216" i="4"/>
  <c r="H213" i="4"/>
  <c r="H212" i="4"/>
  <c r="H209" i="4"/>
  <c r="H210" i="4"/>
  <c r="H211" i="4"/>
  <c r="H207" i="4"/>
  <c r="H208" i="4"/>
  <c r="H206" i="4"/>
  <c r="H205" i="4"/>
  <c r="H204" i="4"/>
  <c r="H202" i="4"/>
  <c r="H203" i="4"/>
  <c r="H201" i="4"/>
  <c r="H197" i="4"/>
  <c r="H198" i="4"/>
  <c r="H199" i="4"/>
  <c r="H200" i="4"/>
  <c r="H194" i="4"/>
  <c r="H195" i="4"/>
  <c r="H196" i="4"/>
  <c r="H193" i="4"/>
  <c r="H191" i="4"/>
  <c r="H192" i="4"/>
  <c r="H189" i="4"/>
  <c r="H190" i="4"/>
  <c r="H188" i="4"/>
  <c r="H186" i="4"/>
  <c r="H187" i="4"/>
  <c r="H185" i="4"/>
  <c r="H183" i="4"/>
  <c r="H184" i="4"/>
  <c r="H182" i="4"/>
  <c r="H180" i="4"/>
  <c r="H181" i="4"/>
  <c r="H178" i="4"/>
  <c r="H179" i="4"/>
  <c r="H176" i="4"/>
  <c r="H177" i="4"/>
  <c r="H174" i="4"/>
  <c r="H175" i="4"/>
  <c r="H173" i="4"/>
  <c r="H172" i="4"/>
  <c r="H171" i="4"/>
  <c r="H168" i="4"/>
  <c r="H169" i="4"/>
  <c r="H170" i="4"/>
  <c r="H166" i="4"/>
  <c r="H167" i="4"/>
  <c r="H164" i="4"/>
  <c r="H165" i="4"/>
  <c r="H163" i="4"/>
  <c r="H162" i="4"/>
  <c r="H160" i="4"/>
  <c r="H161" i="4"/>
  <c r="H157" i="4"/>
  <c r="H158" i="4"/>
  <c r="H159" i="4"/>
  <c r="H155" i="4"/>
  <c r="H156" i="4"/>
  <c r="H154" i="4"/>
  <c r="H152" i="4"/>
  <c r="H153" i="4"/>
  <c r="H149" i="4"/>
  <c r="H150" i="4"/>
  <c r="H151" i="4"/>
  <c r="H148" i="4"/>
  <c r="H145" i="4"/>
  <c r="H146" i="4"/>
  <c r="H147" i="4"/>
  <c r="H144" i="4"/>
  <c r="H142" i="4"/>
  <c r="H143" i="4"/>
  <c r="H140" i="4"/>
  <c r="H141" i="4"/>
  <c r="H137" i="4"/>
  <c r="H138" i="4"/>
  <c r="H139" i="4"/>
  <c r="H135" i="4"/>
  <c r="H136" i="4"/>
  <c r="H131" i="4"/>
  <c r="H132" i="4"/>
  <c r="H133" i="4"/>
  <c r="H134" i="4"/>
  <c r="H129" i="4"/>
  <c r="H130" i="4"/>
  <c r="H128" i="4"/>
  <c r="H127" i="4"/>
  <c r="H124" i="4"/>
  <c r="H125" i="4"/>
  <c r="H126" i="4"/>
  <c r="H123" i="4"/>
  <c r="H121" i="4"/>
  <c r="H122" i="4"/>
  <c r="H119" i="4"/>
  <c r="H120" i="4"/>
  <c r="H117" i="4"/>
  <c r="H118" i="4"/>
  <c r="H115" i="4"/>
  <c r="H116" i="4"/>
  <c r="H114" i="4"/>
  <c r="H113" i="4"/>
  <c r="H112" i="4"/>
  <c r="H109" i="4"/>
  <c r="H110" i="4"/>
  <c r="H111" i="4"/>
  <c r="H108" i="4"/>
  <c r="H106" i="4"/>
  <c r="H107" i="4"/>
  <c r="H105" i="4"/>
  <c r="H103" i="4"/>
  <c r="H104" i="4"/>
  <c r="H101" i="4"/>
  <c r="H102" i="4"/>
  <c r="H98" i="4"/>
  <c r="H99" i="4"/>
  <c r="H100" i="4"/>
  <c r="H97" i="4"/>
  <c r="H96" i="4"/>
  <c r="H94" i="4"/>
  <c r="H95" i="4"/>
  <c r="H93" i="4"/>
  <c r="H92" i="4"/>
  <c r="H91" i="4"/>
  <c r="H89" i="4"/>
  <c r="H90" i="4"/>
  <c r="H87" i="4"/>
  <c r="H88" i="4"/>
  <c r="H86" i="4"/>
  <c r="H85" i="4"/>
  <c r="H83" i="4"/>
  <c r="H84" i="4"/>
  <c r="H81" i="4"/>
  <c r="H82" i="4"/>
  <c r="H79" i="4"/>
  <c r="H80" i="4"/>
  <c r="H78" i="4"/>
  <c r="H77" i="4"/>
  <c r="H74" i="4"/>
  <c r="H75" i="4"/>
  <c r="H76" i="4"/>
  <c r="H73" i="4"/>
  <c r="H71" i="4"/>
  <c r="H72" i="4"/>
  <c r="H69" i="4"/>
  <c r="H70" i="4"/>
  <c r="H67" i="4"/>
  <c r="H68" i="4"/>
  <c r="H66" i="4"/>
  <c r="H64" i="4"/>
  <c r="H65" i="4"/>
  <c r="H60" i="4"/>
  <c r="H61" i="4"/>
  <c r="H62" i="4"/>
  <c r="H63" i="4"/>
  <c r="H58" i="4"/>
  <c r="H59" i="4"/>
  <c r="H57" i="4"/>
  <c r="H53" i="4"/>
  <c r="H54" i="4"/>
  <c r="H55" i="4"/>
  <c r="H56" i="4"/>
  <c r="H51" i="4"/>
  <c r="H52" i="4"/>
  <c r="H49" i="4"/>
  <c r="H50" i="4"/>
  <c r="H47" i="4"/>
  <c r="H48" i="4"/>
  <c r="H46" i="4"/>
  <c r="H42" i="4"/>
  <c r="H43" i="4"/>
  <c r="H44" i="4"/>
  <c r="H45" i="4"/>
  <c r="H41" i="4"/>
  <c r="H40" i="4"/>
  <c r="H38" i="4"/>
  <c r="H39" i="4"/>
  <c r="H34" i="4"/>
  <c r="H35" i="4"/>
  <c r="H36" i="4"/>
  <c r="H37" i="4"/>
  <c r="H31" i="4"/>
  <c r="H32" i="4"/>
  <c r="H33" i="4"/>
  <c r="H30" i="4"/>
  <c r="H29" i="4"/>
  <c r="H28" i="4"/>
  <c r="H24" i="4"/>
  <c r="H25" i="4"/>
  <c r="H26" i="4"/>
  <c r="H27" i="4"/>
  <c r="H22" i="4"/>
  <c r="H23" i="4"/>
  <c r="H20" i="4"/>
  <c r="H21" i="4"/>
  <c r="H18" i="4"/>
  <c r="H19" i="4"/>
  <c r="H14" i="4"/>
  <c r="H15" i="4"/>
  <c r="H16" i="4"/>
  <c r="H17" i="4"/>
  <c r="H12" i="4"/>
  <c r="H13" i="4"/>
  <c r="H11" i="4"/>
  <c r="H10" i="4"/>
  <c r="H9" i="4"/>
  <c r="H6" i="4"/>
  <c r="H7" i="4"/>
  <c r="H8" i="4"/>
  <c r="H4" i="4"/>
  <c r="H5" i="4"/>
  <c r="H3" i="4"/>
  <c r="H2" i="4"/>
  <c r="I499" i="3"/>
  <c r="I392" i="3"/>
  <c r="I73" i="3"/>
  <c r="I622" i="3"/>
  <c r="I555" i="3"/>
  <c r="I607" i="3"/>
  <c r="I534" i="3"/>
  <c r="I127" i="3"/>
  <c r="I596" i="3"/>
  <c r="I465" i="3"/>
  <c r="I258" i="3"/>
  <c r="I152" i="3"/>
  <c r="I638" i="3"/>
  <c r="I320" i="3"/>
  <c r="I647" i="3"/>
  <c r="I31" i="3"/>
  <c r="I486" i="3"/>
  <c r="I74" i="3"/>
  <c r="I246" i="3"/>
  <c r="I423" i="3"/>
  <c r="I556" i="3"/>
  <c r="I623" i="3"/>
  <c r="I660" i="3"/>
  <c r="I352" i="3"/>
  <c r="I182" i="3"/>
  <c r="I589" i="3"/>
  <c r="I86" i="3"/>
  <c r="I23" i="3"/>
  <c r="I75" i="3"/>
  <c r="I429" i="3"/>
  <c r="I608" i="3"/>
  <c r="I546" i="3"/>
  <c r="I187" i="3"/>
  <c r="I369" i="3"/>
  <c r="I24" i="3"/>
  <c r="I118" i="3"/>
  <c r="I626" i="3"/>
  <c r="I441" i="3"/>
  <c r="I81" i="3"/>
  <c r="I333" i="3"/>
  <c r="I76" i="3"/>
  <c r="I255" i="3"/>
  <c r="I393" i="3"/>
  <c r="I568" i="3"/>
  <c r="I140" i="3"/>
  <c r="I547" i="3"/>
  <c r="I334" i="3"/>
  <c r="I114" i="3"/>
  <c r="I247" i="3"/>
  <c r="I562" i="3"/>
  <c r="I500" i="3"/>
  <c r="I217" i="3"/>
  <c r="I442" i="3"/>
  <c r="I447" i="3"/>
  <c r="I643" i="3"/>
  <c r="I434" i="3"/>
  <c r="I394" i="3"/>
  <c r="I466" i="3"/>
  <c r="I633" i="3"/>
  <c r="I401" i="3"/>
  <c r="I453" i="3"/>
  <c r="I87" i="3"/>
  <c r="I402" i="3"/>
  <c r="I454" i="3"/>
  <c r="I435" i="3"/>
  <c r="I300" i="3"/>
  <c r="I467" i="3"/>
  <c r="I615" i="3"/>
  <c r="I386" i="3"/>
  <c r="I540" i="3"/>
  <c r="I60" i="3"/>
  <c r="I523" i="3"/>
  <c r="I518" i="3"/>
  <c r="I326" i="3"/>
  <c r="I195" i="3"/>
  <c r="I128" i="3"/>
  <c r="I616" i="3"/>
  <c r="I569" i="3"/>
  <c r="I61" i="3"/>
  <c r="I25" i="3"/>
  <c r="I233" i="3"/>
  <c r="I321" i="3"/>
  <c r="I395" i="3"/>
  <c r="I284" i="3"/>
  <c r="I436" i="3"/>
  <c r="I327" i="3"/>
  <c r="I11" i="3"/>
  <c r="I501" i="3"/>
  <c r="I168" i="3"/>
  <c r="I159" i="3"/>
  <c r="I301" i="3"/>
  <c r="I373" i="3"/>
  <c r="I541" i="3"/>
  <c r="I382" i="3"/>
  <c r="I240" i="3"/>
  <c r="I403" i="3"/>
  <c r="I160" i="3"/>
  <c r="I335" i="3"/>
  <c r="I32" i="3"/>
  <c r="I602" i="3"/>
  <c r="I304" i="3"/>
  <c r="I430" i="3"/>
  <c r="I234" i="3"/>
  <c r="I652" i="3"/>
  <c r="I524" i="3"/>
  <c r="I480" i="3"/>
  <c r="I12" i="3"/>
  <c r="I396" i="3"/>
  <c r="I33" i="3"/>
  <c r="I56" i="3"/>
  <c r="I174" i="3"/>
  <c r="I481" i="3"/>
  <c r="I383" i="3"/>
  <c r="I196" i="3"/>
  <c r="I259" i="3"/>
  <c r="I141" i="3"/>
  <c r="I26" i="3"/>
  <c r="I474" i="3"/>
  <c r="I328" i="3"/>
  <c r="I609" i="3"/>
  <c r="I361" i="3"/>
  <c r="I455" i="3"/>
  <c r="I634" i="3"/>
  <c r="I374" i="3"/>
  <c r="I312" i="3"/>
  <c r="I341" i="3"/>
  <c r="I577" i="3"/>
  <c r="I307" i="3"/>
  <c r="I2" i="3"/>
  <c r="I88" i="3"/>
  <c r="I223" i="3"/>
  <c r="I513" i="3"/>
  <c r="I627" i="3"/>
  <c r="I296" i="3"/>
  <c r="I667" i="3"/>
  <c r="I563" i="3"/>
  <c r="I218" i="3"/>
  <c r="I507" i="3"/>
  <c r="I342" i="3"/>
  <c r="I362" i="3"/>
  <c r="I628" i="3"/>
  <c r="I404" i="3"/>
  <c r="I448" i="3"/>
  <c r="I375" i="3"/>
  <c r="I487" i="3"/>
  <c r="I329" i="3"/>
  <c r="I535" i="3"/>
  <c r="I188" i="3"/>
  <c r="I639" i="3"/>
  <c r="I270" i="3"/>
  <c r="I170" i="3"/>
  <c r="I271" i="3"/>
  <c r="I153" i="3"/>
  <c r="I17" i="3"/>
  <c r="I119" i="3"/>
  <c r="I100" i="3"/>
  <c r="I175" i="3"/>
  <c r="I379" i="3"/>
  <c r="I279" i="3"/>
  <c r="I617" i="3"/>
  <c r="I387" i="3"/>
  <c r="I272" i="3"/>
  <c r="I363" i="3"/>
  <c r="I411" i="3"/>
  <c r="I57" i="3"/>
  <c r="I156" i="3"/>
  <c r="I370" i="3"/>
  <c r="I412" i="3"/>
  <c r="I148" i="3"/>
  <c r="I653" i="3"/>
  <c r="I290" i="3"/>
  <c r="I235" i="3"/>
  <c r="I635" i="3"/>
  <c r="I508" i="3"/>
  <c r="I350" i="3"/>
  <c r="I161" i="3"/>
  <c r="I536" i="3"/>
  <c r="I347" i="3"/>
  <c r="I610" i="3"/>
  <c r="I13" i="3"/>
  <c r="I449" i="3"/>
  <c r="I502" i="3"/>
  <c r="I654" i="3"/>
  <c r="I58" i="3"/>
  <c r="I597" i="3"/>
  <c r="I297" i="3"/>
  <c r="I101" i="3"/>
  <c r="I527" i="3"/>
  <c r="I291" i="3"/>
  <c r="I120" i="3"/>
  <c r="I102" i="3"/>
  <c r="I365" i="3"/>
  <c r="I67" i="3"/>
  <c r="I142" i="3"/>
  <c r="I509" i="3"/>
  <c r="I280" i="3"/>
  <c r="I348" i="3"/>
  <c r="I27" i="3"/>
  <c r="I590" i="3"/>
  <c r="I468" i="3"/>
  <c r="I82" i="3"/>
  <c r="I461" i="3"/>
  <c r="I18" i="3"/>
  <c r="I343" i="3"/>
  <c r="I528" i="3"/>
  <c r="I488" i="3"/>
  <c r="I344" i="3"/>
  <c r="I171" i="3"/>
  <c r="I598" i="3"/>
  <c r="I345" i="3"/>
  <c r="I529" i="3"/>
  <c r="I197" i="3"/>
  <c r="I154" i="3"/>
  <c r="I50" i="3"/>
  <c r="I45" i="3"/>
  <c r="I346" i="3"/>
  <c r="I248" i="3"/>
  <c r="I322" i="3"/>
  <c r="I132" i="3"/>
  <c r="I424" i="3"/>
  <c r="I353" i="3"/>
  <c r="I388" i="3"/>
  <c r="I475" i="3"/>
  <c r="I176" i="3"/>
  <c r="I661" i="3"/>
  <c r="I655" i="3"/>
  <c r="I89" i="3"/>
  <c r="I514" i="3"/>
  <c r="I285" i="3"/>
  <c r="I542" i="3"/>
  <c r="I286" i="3"/>
  <c r="I260" i="3"/>
  <c r="I489" i="3"/>
  <c r="I537" i="3"/>
  <c r="I43" i="3"/>
  <c r="I456" i="3"/>
  <c r="I14" i="3"/>
  <c r="I273" i="3"/>
  <c r="I476" i="3"/>
  <c r="I19" i="3"/>
  <c r="I143" i="3"/>
  <c r="I450" i="3"/>
  <c r="I548" i="3"/>
  <c r="I219" i="3"/>
  <c r="I51" i="3"/>
  <c r="I415" i="3"/>
  <c r="I249" i="3"/>
  <c r="I354" i="3"/>
  <c r="I503" i="3"/>
  <c r="I351" i="3"/>
  <c r="I313" i="3"/>
  <c r="I583" i="3"/>
  <c r="I525" i="3"/>
  <c r="I287" i="3"/>
  <c r="I459" i="3"/>
  <c r="I636" i="3"/>
  <c r="I399" i="3"/>
  <c r="I371" i="3"/>
  <c r="I121" i="3"/>
  <c r="I668" i="3"/>
  <c r="I656" i="3"/>
  <c r="I648" i="3"/>
  <c r="I308" i="3"/>
  <c r="I20" i="3"/>
  <c r="I274" i="3"/>
  <c r="I443" i="3"/>
  <c r="I177" i="3"/>
  <c r="I504" i="3"/>
  <c r="I494" i="3"/>
  <c r="I172" i="3"/>
  <c r="I420" i="3"/>
  <c r="I107" i="3"/>
  <c r="I108" i="3"/>
  <c r="I7" i="3"/>
  <c r="I162" i="3"/>
  <c r="I425" i="3"/>
  <c r="I570" i="3"/>
  <c r="I591" i="3"/>
  <c r="I669" i="3"/>
  <c r="I210" i="3"/>
  <c r="I490" i="3"/>
  <c r="I144" i="3"/>
  <c r="I95" i="3"/>
  <c r="I603" i="3"/>
  <c r="I611" i="3"/>
  <c r="I530" i="3"/>
  <c r="I224" i="3"/>
  <c r="I21" i="3"/>
  <c r="I604" i="3"/>
  <c r="I416" i="3"/>
  <c r="I261" i="3"/>
  <c r="I584" i="3"/>
  <c r="I336" i="3"/>
  <c r="I202" i="3"/>
  <c r="I163" i="3"/>
  <c r="I366" i="3"/>
  <c r="I571" i="3"/>
  <c r="I469" i="3"/>
  <c r="I421" i="3"/>
  <c r="I495" i="3"/>
  <c r="I376" i="3"/>
  <c r="I220" i="3"/>
  <c r="I384" i="3"/>
  <c r="I292" i="3"/>
  <c r="I564" i="3"/>
  <c r="I309" i="3"/>
  <c r="I337" i="3"/>
  <c r="I482" i="3"/>
  <c r="I417" i="3"/>
  <c r="I225" i="3"/>
  <c r="I109" i="3"/>
  <c r="I549" i="3"/>
  <c r="I226" i="3"/>
  <c r="I477" i="3"/>
  <c r="I77" i="3"/>
  <c r="I592" i="3"/>
  <c r="I288" i="3"/>
  <c r="I164" i="3"/>
  <c r="I241" i="3"/>
  <c r="I62" i="3"/>
  <c r="I389" i="3"/>
  <c r="I262" i="3"/>
  <c r="I227" i="3"/>
  <c r="I137" i="3"/>
  <c r="I221" i="3"/>
  <c r="I34" i="3"/>
  <c r="I355" i="3"/>
  <c r="I110" i="3"/>
  <c r="I78" i="3"/>
  <c r="I578" i="3"/>
  <c r="I133" i="3"/>
  <c r="I405" i="3"/>
  <c r="I572" i="3"/>
  <c r="I629" i="3"/>
  <c r="I90" i="3"/>
  <c r="I380" i="3"/>
  <c r="I640" i="3"/>
  <c r="I618" i="3"/>
  <c r="I496" i="3"/>
  <c r="I250" i="3"/>
  <c r="I251" i="3"/>
  <c r="I557" i="3"/>
  <c r="I68" i="3"/>
  <c r="I649" i="3"/>
  <c r="I418" i="3"/>
  <c r="I8" i="3"/>
  <c r="I165" i="3"/>
  <c r="I662" i="3"/>
  <c r="I198" i="3"/>
  <c r="I519" i="3"/>
  <c r="I426" i="3"/>
  <c r="I129" i="3"/>
  <c r="I189" i="3"/>
  <c r="I624" i="3"/>
  <c r="I190" i="3"/>
  <c r="I69" i="3"/>
  <c r="I281" i="3"/>
  <c r="I538" i="3"/>
  <c r="I579" i="3"/>
  <c r="I427" i="3"/>
  <c r="I83" i="3"/>
  <c r="I236" i="3"/>
  <c r="I263" i="3"/>
  <c r="I242" i="3"/>
  <c r="I264" i="3"/>
  <c r="I203" i="3"/>
  <c r="I28" i="3"/>
  <c r="I138" i="3"/>
  <c r="I173" i="3"/>
  <c r="I650" i="3"/>
  <c r="I157" i="3"/>
  <c r="I531" i="3"/>
  <c r="I199" i="3"/>
  <c r="I200" i="3"/>
  <c r="I228" i="3"/>
  <c r="I580" i="3"/>
  <c r="I470" i="3"/>
  <c r="I457" i="3"/>
  <c r="I35" i="3"/>
  <c r="I305" i="3"/>
  <c r="I532" i="3"/>
  <c r="I70" i="3"/>
  <c r="I550" i="3"/>
  <c r="I356" i="3"/>
  <c r="I71" i="3"/>
  <c r="I390" i="3"/>
  <c r="I213" i="3"/>
  <c r="I252" i="3"/>
  <c r="I3" i="3"/>
  <c r="I483" i="3"/>
  <c r="I191" i="3"/>
  <c r="I462" i="3"/>
  <c r="I9" i="3"/>
  <c r="I243" i="3"/>
  <c r="I265" i="3"/>
  <c r="I139" i="3"/>
  <c r="I510" i="3"/>
  <c r="I214" i="3"/>
  <c r="I314" i="3"/>
  <c r="I641" i="3"/>
  <c r="I36" i="3"/>
  <c r="I349" i="3"/>
  <c r="I37" i="3"/>
  <c r="I619" i="3"/>
  <c r="I266" i="3"/>
  <c r="I585" i="3"/>
  <c r="I586" i="3"/>
  <c r="I183" i="3"/>
  <c r="I84" i="3"/>
  <c r="I192" i="3"/>
  <c r="I275" i="3"/>
  <c r="I620" i="3"/>
  <c r="I115" i="3"/>
  <c r="I565" i="3"/>
  <c r="I244" i="3"/>
  <c r="I670" i="3"/>
  <c r="I558" i="3"/>
  <c r="I52" i="3"/>
  <c r="I79" i="3"/>
  <c r="I520" i="3"/>
  <c r="I364" i="3"/>
  <c r="I204" i="3"/>
  <c r="I642" i="3"/>
  <c r="I437" i="3"/>
  <c r="I484" i="3"/>
  <c r="I4" i="3"/>
  <c r="I310" i="3"/>
  <c r="I406" i="3"/>
  <c r="I111" i="3"/>
  <c r="I471" i="3"/>
  <c r="I511" i="3"/>
  <c r="I651" i="3"/>
  <c r="I229" i="3"/>
  <c r="I478" i="3"/>
  <c r="I630" i="3"/>
  <c r="I215" i="3"/>
  <c r="I671" i="3"/>
  <c r="I422" i="3"/>
  <c r="I330" i="3"/>
  <c r="I253" i="3"/>
  <c r="I515" i="3"/>
  <c r="I463" i="3"/>
  <c r="I573" i="3"/>
  <c r="I657" i="3"/>
  <c r="I46" i="3"/>
  <c r="I554" i="3"/>
  <c r="I407" i="3"/>
  <c r="I134" i="3"/>
  <c r="I184" i="3"/>
  <c r="I605" i="3"/>
  <c r="I298" i="3"/>
  <c r="I47" i="3"/>
  <c r="I323" i="3"/>
  <c r="I205" i="3"/>
  <c r="I91" i="3"/>
  <c r="I543" i="3"/>
  <c r="I201" i="3"/>
  <c r="I631" i="3"/>
  <c r="I178" i="3"/>
  <c r="I331" i="3"/>
  <c r="I29" i="3"/>
  <c r="I302" i="3"/>
  <c r="I658" i="3"/>
  <c r="I672" i="3"/>
  <c r="I267" i="3"/>
  <c r="I338" i="3"/>
  <c r="I303" i="3"/>
  <c r="I357" i="3"/>
  <c r="I438" i="3"/>
  <c r="I59" i="3"/>
  <c r="I612" i="3"/>
  <c r="I230" i="3"/>
  <c r="I505" i="3"/>
  <c r="I122" i="3"/>
  <c r="I96" i="3"/>
  <c r="I268" i="3"/>
  <c r="I613" i="3"/>
  <c r="I372" i="3"/>
  <c r="I485" i="3"/>
  <c r="I324" i="3"/>
  <c r="I256" i="3"/>
  <c r="I269" i="3"/>
  <c r="I460" i="3"/>
  <c r="I663" i="3"/>
  <c r="I276" i="3"/>
  <c r="I551" i="3"/>
  <c r="I400" i="3"/>
  <c r="I53" i="3"/>
  <c r="I439" i="3"/>
  <c r="I97" i="3"/>
  <c r="I63" i="3"/>
  <c r="I237" i="3"/>
  <c r="I64" i="3"/>
  <c r="I444" i="3"/>
  <c r="I311" i="3"/>
  <c r="I315" i="3"/>
  <c r="I377" i="3"/>
  <c r="I38" i="3"/>
  <c r="I659" i="3"/>
  <c r="I98" i="3"/>
  <c r="I391" i="3"/>
  <c r="I559" i="3"/>
  <c r="I289" i="3"/>
  <c r="I293" i="3"/>
  <c r="I445" i="3"/>
  <c r="I408" i="3"/>
  <c r="I599" i="3"/>
  <c r="I574" i="3"/>
  <c r="I92" i="3"/>
  <c r="I521" i="3"/>
  <c r="I409" i="3"/>
  <c r="I123" i="3"/>
  <c r="I10" i="3"/>
  <c r="I451" i="3"/>
  <c r="I185" i="3"/>
  <c r="I506" i="3"/>
  <c r="I316" i="3"/>
  <c r="I155" i="3"/>
  <c r="I124" i="3"/>
  <c r="I594" i="3"/>
  <c r="I169" i="3"/>
  <c r="I673" i="3"/>
  <c r="I644" i="3"/>
  <c r="I135" i="3"/>
  <c r="I231" i="3"/>
  <c r="I446" i="3"/>
  <c r="I15" i="3"/>
  <c r="I72" i="3"/>
  <c r="I294" i="3"/>
  <c r="I600" i="3"/>
  <c r="I145" i="3"/>
  <c r="I544" i="3"/>
  <c r="I299" i="3"/>
  <c r="I295" i="3"/>
  <c r="I458" i="3"/>
  <c r="I552" i="3"/>
  <c r="I431" i="3"/>
  <c r="I367" i="3"/>
  <c r="I575" i="3"/>
  <c r="I103" i="3"/>
  <c r="I146" i="3"/>
  <c r="I193" i="3"/>
  <c r="I245" i="3"/>
  <c r="I130" i="3"/>
  <c r="I5" i="3"/>
  <c r="I516" i="3"/>
  <c r="I664" i="3"/>
  <c r="I413" i="3"/>
  <c r="I587" i="3"/>
  <c r="I216" i="3"/>
  <c r="I317" i="3"/>
  <c r="I432" i="3"/>
  <c r="I85" i="3"/>
  <c r="I517" i="3"/>
  <c r="I232" i="3"/>
  <c r="I560" i="3"/>
  <c r="I186" i="3"/>
  <c r="I80" i="3"/>
  <c r="I93" i="3"/>
  <c r="I282" i="3"/>
  <c r="I39" i="3"/>
  <c r="I491" i="3"/>
  <c r="I30" i="3"/>
  <c r="I238" i="3"/>
  <c r="I645" i="3"/>
  <c r="I637" i="3"/>
  <c r="I385" i="3"/>
  <c r="I54" i="3"/>
  <c r="I339" i="3"/>
  <c r="I621" i="3"/>
  <c r="I566" i="3"/>
  <c r="I104" i="3"/>
  <c r="I674" i="3"/>
  <c r="I166" i="3"/>
  <c r="I65" i="3"/>
  <c r="I277" i="3"/>
  <c r="I131" i="3"/>
  <c r="I40" i="3"/>
  <c r="I581" i="3"/>
  <c r="I497" i="3"/>
  <c r="I625" i="3"/>
  <c r="I492" i="3"/>
  <c r="I646" i="3"/>
  <c r="I493" i="3"/>
  <c r="I99" i="3"/>
  <c r="I112" i="3"/>
  <c r="I179" i="3"/>
  <c r="I113" i="3"/>
  <c r="I318" i="3"/>
  <c r="I319" i="3"/>
  <c r="I358" i="3"/>
  <c r="I206" i="3"/>
  <c r="I419" i="3"/>
  <c r="I632" i="3"/>
  <c r="I254" i="3"/>
  <c r="I340" i="3"/>
  <c r="I116" i="3"/>
  <c r="I158" i="3"/>
  <c r="I94" i="3"/>
  <c r="I378" i="3"/>
  <c r="I522" i="3"/>
  <c r="I194" i="3"/>
  <c r="I207" i="3"/>
  <c r="I472" i="3"/>
  <c r="I614" i="3"/>
  <c r="I208" i="3"/>
  <c r="I117" i="3"/>
  <c r="I222" i="3"/>
  <c r="I512" i="3"/>
  <c r="I553" i="3"/>
  <c r="I440" i="3"/>
  <c r="I211" i="3"/>
  <c r="I359" i="3"/>
  <c r="I593" i="3"/>
  <c r="I6" i="3"/>
  <c r="I473" i="3"/>
  <c r="I464" i="3"/>
  <c r="I105" i="3"/>
  <c r="I595" i="3"/>
  <c r="I41" i="3"/>
  <c r="I561" i="3"/>
  <c r="I397" i="3"/>
  <c r="I125" i="3"/>
  <c r="I576" i="3"/>
  <c r="I48" i="3"/>
  <c r="I257" i="3"/>
  <c r="I149" i="3"/>
  <c r="I212" i="3"/>
  <c r="I368" i="3"/>
  <c r="I42" i="3"/>
  <c r="I665" i="3"/>
  <c r="I601" i="3"/>
  <c r="I209" i="3"/>
  <c r="I588" i="3"/>
  <c r="I126" i="3"/>
  <c r="I283" i="3"/>
  <c r="I414" i="3"/>
  <c r="I150" i="3"/>
  <c r="I151" i="3"/>
  <c r="I533" i="3"/>
  <c r="I666" i="3"/>
  <c r="I106" i="3"/>
  <c r="I306" i="3"/>
  <c r="I526" i="3"/>
  <c r="I147" i="3"/>
  <c r="I167" i="3"/>
  <c r="I452" i="3"/>
  <c r="I606" i="3"/>
  <c r="I428" i="3"/>
  <c r="I49" i="3"/>
  <c r="I16" i="3"/>
  <c r="I498" i="3"/>
  <c r="I180" i="3"/>
  <c r="I239" i="3"/>
  <c r="I44" i="3"/>
  <c r="I381" i="3"/>
  <c r="I545" i="3"/>
  <c r="I433" i="3"/>
  <c r="I278" i="3"/>
  <c r="I539" i="3"/>
  <c r="I66" i="3"/>
  <c r="I360" i="3"/>
  <c r="I567" i="3"/>
  <c r="I398" i="3"/>
  <c r="I181" i="3"/>
  <c r="I479" i="3"/>
  <c r="I325" i="3"/>
  <c r="I582" i="3"/>
  <c r="I136" i="3"/>
  <c r="I410" i="3"/>
  <c r="I332" i="3"/>
  <c r="I55" i="3"/>
  <c r="I22" i="3"/>
  <c r="M299" i="5" l="1"/>
  <c r="N299" i="5" s="1"/>
  <c r="M450" i="5"/>
  <c r="M546" i="5"/>
  <c r="M322" i="5"/>
  <c r="M473" i="5"/>
  <c r="M116" i="5"/>
  <c r="M177" i="5"/>
  <c r="M625" i="5"/>
  <c r="M31" i="5"/>
  <c r="M44" i="5"/>
  <c r="M121" i="5"/>
  <c r="M40" i="5"/>
  <c r="M11" i="5"/>
  <c r="M86" i="5"/>
  <c r="M73" i="5"/>
  <c r="M64" i="5"/>
  <c r="M315" i="5"/>
  <c r="M66" i="5"/>
  <c r="M91" i="5"/>
  <c r="M152" i="5"/>
  <c r="M38" i="5"/>
  <c r="M235" i="5"/>
  <c r="M349" i="5"/>
  <c r="M250" i="5"/>
  <c r="M207" i="5"/>
  <c r="M426" i="5"/>
  <c r="M113" i="5"/>
  <c r="M664" i="5"/>
  <c r="M228" i="5"/>
  <c r="M289" i="5"/>
  <c r="M345" i="5"/>
  <c r="M314" i="5"/>
  <c r="M13" i="5"/>
  <c r="M158" i="5"/>
  <c r="M324" i="5"/>
  <c r="M154" i="5"/>
  <c r="M72" i="5"/>
  <c r="M159" i="5"/>
  <c r="M254" i="5"/>
  <c r="M217" i="5"/>
  <c r="M7" i="5"/>
  <c r="M34" i="5"/>
  <c r="M21" i="5"/>
  <c r="M326" i="5"/>
  <c r="M71" i="5"/>
  <c r="M206" i="5"/>
  <c r="M216" i="5"/>
  <c r="M318" i="5"/>
  <c r="M214" i="5"/>
  <c r="M141" i="5"/>
  <c r="M30" i="5"/>
  <c r="M108" i="5"/>
  <c r="M115" i="5"/>
  <c r="M213" i="5"/>
  <c r="M48" i="5"/>
  <c r="M171" i="5"/>
  <c r="M90" i="5"/>
  <c r="M120" i="5"/>
  <c r="M189" i="5"/>
  <c r="M163" i="5"/>
  <c r="M69" i="5"/>
  <c r="M32" i="5"/>
  <c r="M135" i="5"/>
  <c r="M144" i="5"/>
  <c r="M174" i="5"/>
  <c r="M541" i="5"/>
  <c r="M123" i="5"/>
  <c r="M350" i="5"/>
  <c r="M41" i="5"/>
  <c r="M145" i="5"/>
  <c r="M336" i="5"/>
  <c r="M39" i="5"/>
  <c r="M122" i="5"/>
  <c r="M56" i="5"/>
  <c r="M264" i="5"/>
  <c r="M45" i="5"/>
  <c r="M202" i="5"/>
  <c r="M183" i="5"/>
  <c r="M61" i="5"/>
  <c r="M398" i="5"/>
  <c r="M160" i="5"/>
  <c r="M311" i="5"/>
  <c r="M224" i="5"/>
  <c r="M469" i="5"/>
  <c r="M29" i="5"/>
  <c r="M222" i="5"/>
  <c r="M82" i="5"/>
  <c r="M198" i="5"/>
  <c r="M274" i="5"/>
  <c r="M139" i="5"/>
  <c r="M195" i="5"/>
  <c r="M16" i="5"/>
  <c r="M292" i="5"/>
  <c r="M89" i="5"/>
  <c r="M238" i="5"/>
  <c r="M92" i="5"/>
  <c r="M96" i="5"/>
  <c r="M106" i="5"/>
  <c r="M375" i="5"/>
  <c r="N375" i="5" s="1"/>
  <c r="M443" i="5"/>
  <c r="N443" i="5" s="1"/>
  <c r="M579" i="5"/>
  <c r="N579" i="5" s="1"/>
  <c r="M408" i="5"/>
  <c r="N408" i="5" s="1"/>
  <c r="M529" i="5"/>
  <c r="N529" i="5" s="1"/>
  <c r="M584" i="5"/>
  <c r="N584" i="5" s="1"/>
  <c r="M302" i="5"/>
  <c r="N302" i="5" s="1"/>
  <c r="M439" i="5"/>
  <c r="N439" i="5" s="1"/>
  <c r="M524" i="5"/>
  <c r="N524" i="5" s="1"/>
  <c r="M562" i="5"/>
  <c r="N562" i="5" s="1"/>
  <c r="M616" i="5"/>
  <c r="N616" i="5" s="1"/>
  <c r="M502" i="5"/>
  <c r="N502" i="5" s="1"/>
  <c r="M440" i="5"/>
  <c r="N440" i="5" s="1"/>
  <c r="M455" i="5"/>
  <c r="N455" i="5" s="1"/>
  <c r="M488" i="5"/>
  <c r="N488" i="5" s="1"/>
  <c r="M394" i="5"/>
  <c r="N394" i="5" s="1"/>
  <c r="M495" i="5"/>
  <c r="N495" i="5" s="1"/>
  <c r="M251" i="5"/>
  <c r="N251" i="5" s="1"/>
  <c r="M420" i="5"/>
  <c r="N420" i="5" s="1"/>
  <c r="M468" i="5"/>
  <c r="N468" i="5" s="1"/>
  <c r="M359" i="5"/>
  <c r="N359" i="5" s="1"/>
  <c r="M267" i="5"/>
  <c r="N267" i="5" s="1"/>
  <c r="M652" i="5"/>
  <c r="N652" i="5" s="1"/>
  <c r="M295" i="5"/>
  <c r="N295" i="5" s="1"/>
  <c r="M477" i="5"/>
  <c r="N477" i="5" s="1"/>
  <c r="M569" i="5"/>
  <c r="N569" i="5" s="1"/>
  <c r="M444" i="5"/>
  <c r="N444" i="5" s="1"/>
  <c r="M390" i="5"/>
  <c r="N390" i="5" s="1"/>
  <c r="M639" i="5"/>
  <c r="N639" i="5" s="1"/>
  <c r="M415" i="5"/>
  <c r="N415" i="5" s="1"/>
  <c r="M507" i="5"/>
  <c r="N507" i="5" s="1"/>
  <c r="M547" i="5"/>
  <c r="N547" i="5" s="1"/>
  <c r="M585" i="5"/>
  <c r="N585" i="5" s="1"/>
  <c r="M554" i="5"/>
  <c r="N554" i="5" s="1"/>
  <c r="M647" i="5"/>
  <c r="N647" i="5" s="1"/>
  <c r="M638" i="5"/>
  <c r="N638" i="5" s="1"/>
  <c r="M466" i="5"/>
  <c r="N466" i="5" s="1"/>
  <c r="M262" i="5"/>
  <c r="N262" i="5" s="1"/>
  <c r="M656" i="5"/>
  <c r="N656" i="5" s="1"/>
  <c r="M373" i="5"/>
  <c r="N373" i="5" s="1"/>
  <c r="M549" i="5"/>
  <c r="N549" i="5" s="1"/>
  <c r="M555" i="5"/>
  <c r="N555" i="5" s="1"/>
  <c r="M531" i="5"/>
  <c r="N531" i="5" s="1"/>
  <c r="M457" i="5"/>
  <c r="N457" i="5" s="1"/>
  <c r="M331" i="5"/>
  <c r="N331" i="5" s="1"/>
  <c r="M369" i="5"/>
  <c r="N369" i="5" s="1"/>
  <c r="M429" i="5"/>
  <c r="N429" i="5" s="1"/>
  <c r="M645" i="5"/>
  <c r="N645" i="5" s="1"/>
  <c r="M659" i="5"/>
  <c r="N659" i="5" s="1"/>
  <c r="M400" i="5"/>
  <c r="N400" i="5" s="1"/>
  <c r="M570" i="5"/>
  <c r="N570" i="5" s="1"/>
  <c r="M438" i="5"/>
  <c r="N438" i="5" s="1"/>
  <c r="M481" i="5"/>
  <c r="N481" i="5" s="1"/>
  <c r="M636" i="5"/>
  <c r="N636" i="5" s="1"/>
  <c r="M467" i="5"/>
  <c r="N467" i="5" s="1"/>
  <c r="M386" i="5"/>
  <c r="N386" i="5" s="1"/>
  <c r="M535" i="5"/>
  <c r="N535" i="5" s="1"/>
  <c r="M560" i="5"/>
  <c r="N560" i="5" s="1"/>
  <c r="M353" i="5"/>
  <c r="N353" i="5" s="1"/>
  <c r="M613" i="5"/>
  <c r="N613" i="5" s="1"/>
  <c r="M464" i="5"/>
  <c r="N464" i="5" s="1"/>
  <c r="M536" i="5"/>
  <c r="N536" i="5" s="1"/>
  <c r="M310" i="5"/>
  <c r="N310" i="5" s="1"/>
  <c r="M533" i="5"/>
  <c r="N533" i="5" s="1"/>
  <c r="M588" i="5"/>
  <c r="N588" i="5" s="1"/>
  <c r="M520" i="5"/>
  <c r="N520" i="5" s="1"/>
  <c r="M620" i="5"/>
  <c r="N620" i="5" s="1"/>
  <c r="M460" i="5"/>
  <c r="N460" i="5" s="1"/>
  <c r="M603" i="5"/>
  <c r="N603" i="5" s="1"/>
  <c r="M456" i="5"/>
  <c r="N456" i="5" s="1"/>
  <c r="M515" i="5"/>
  <c r="N515" i="5" s="1"/>
  <c r="M282" i="5"/>
  <c r="N282" i="5" s="1"/>
  <c r="M476" i="5"/>
  <c r="N476" i="5" s="1"/>
  <c r="M667" i="5"/>
  <c r="N667" i="5" s="1"/>
  <c r="M594" i="5"/>
  <c r="N594" i="5" s="1"/>
  <c r="M392" i="5"/>
  <c r="N392" i="5" s="1"/>
  <c r="M630" i="5"/>
  <c r="N630" i="5" s="1"/>
  <c r="M409" i="5"/>
  <c r="N409" i="5" s="1"/>
  <c r="M423" i="5"/>
  <c r="N423" i="5" s="1"/>
  <c r="M330" i="5"/>
  <c r="N330" i="5" s="1"/>
  <c r="M404" i="5"/>
  <c r="N404" i="5" s="1"/>
  <c r="M573" i="5"/>
  <c r="N573" i="5" s="1"/>
  <c r="M627" i="5"/>
  <c r="N627" i="5" s="1"/>
  <c r="M475" i="5"/>
  <c r="N475" i="5" s="1"/>
  <c r="M556" i="5"/>
  <c r="N556" i="5" s="1"/>
  <c r="M539" i="5"/>
  <c r="N539" i="5" s="1"/>
  <c r="M568" i="5"/>
  <c r="N568" i="5" s="1"/>
  <c r="M651" i="5"/>
  <c r="N651" i="5" s="1"/>
  <c r="M504" i="5"/>
  <c r="N504" i="5" s="1"/>
  <c r="M657" i="5"/>
  <c r="N657" i="5" s="1"/>
  <c r="M552" i="5"/>
  <c r="N552" i="5" s="1"/>
  <c r="M424" i="5"/>
  <c r="N424" i="5" s="1"/>
  <c r="M493" i="5"/>
  <c r="N493" i="5" s="1"/>
  <c r="M486" i="5"/>
  <c r="N486" i="5" s="1"/>
  <c r="M528" i="5"/>
  <c r="N528" i="5" s="1"/>
  <c r="M273" i="5"/>
  <c r="N273" i="5" s="1"/>
  <c r="M104" i="5"/>
  <c r="N104" i="5" s="1"/>
  <c r="M268" i="5"/>
  <c r="N268" i="5" s="1"/>
  <c r="M284" i="5"/>
  <c r="N284" i="5" s="1"/>
  <c r="M197" i="5"/>
  <c r="N197" i="5" s="1"/>
  <c r="M100" i="5"/>
  <c r="N100" i="5" s="1"/>
  <c r="M126" i="5"/>
  <c r="N126" i="5" s="1"/>
  <c r="M14" i="5"/>
  <c r="N14" i="5" s="1"/>
  <c r="M181" i="5"/>
  <c r="N181" i="5" s="1"/>
  <c r="M95" i="5"/>
  <c r="N95" i="5" s="1"/>
  <c r="M128" i="5"/>
  <c r="N128" i="5" s="1"/>
  <c r="M27" i="5"/>
  <c r="N27" i="5" s="1"/>
  <c r="M161" i="5"/>
  <c r="N161" i="5" s="1"/>
  <c r="M153" i="5"/>
  <c r="N153" i="5" s="1"/>
  <c r="M167" i="5"/>
  <c r="N167" i="5" s="1"/>
  <c r="M187" i="5"/>
  <c r="N187" i="5" s="1"/>
  <c r="M246" i="5"/>
  <c r="N246" i="5" s="1"/>
  <c r="M674" i="5"/>
  <c r="N674" i="5" s="1"/>
  <c r="M334" i="5"/>
  <c r="N334" i="5" s="1"/>
  <c r="M223" i="5"/>
  <c r="N223" i="5" s="1"/>
  <c r="M208" i="5"/>
  <c r="N208" i="5" s="1"/>
  <c r="M673" i="5"/>
  <c r="N673" i="5" s="1"/>
  <c r="M271" i="5"/>
  <c r="N271" i="5" s="1"/>
  <c r="M226" i="5"/>
  <c r="N226" i="5" s="1"/>
  <c r="M192" i="5"/>
  <c r="N192" i="5" s="1"/>
  <c r="M93" i="5"/>
  <c r="N93" i="5" s="1"/>
  <c r="M78" i="5"/>
  <c r="N78" i="5" s="1"/>
  <c r="M239" i="5"/>
  <c r="N239" i="5" s="1"/>
  <c r="M137" i="5"/>
  <c r="N137" i="5" s="1"/>
  <c r="M131" i="5"/>
  <c r="N131" i="5" s="1"/>
  <c r="M97" i="5"/>
  <c r="N97" i="5" s="1"/>
  <c r="M199" i="5"/>
  <c r="N199" i="5" s="1"/>
  <c r="M234" i="5"/>
  <c r="N234" i="5" s="1"/>
  <c r="M62" i="5"/>
  <c r="N62" i="5" s="1"/>
  <c r="M184" i="5"/>
  <c r="N184" i="5" s="1"/>
  <c r="M169" i="5"/>
  <c r="N169" i="5" s="1"/>
  <c r="M343" i="5"/>
  <c r="N343" i="5" s="1"/>
  <c r="M134" i="5"/>
  <c r="N134" i="5" s="1"/>
  <c r="M243" i="5"/>
  <c r="N243" i="5" s="1"/>
  <c r="M300" i="5"/>
  <c r="N300" i="5" s="1"/>
  <c r="M140" i="5"/>
  <c r="N140" i="5" s="1"/>
  <c r="M319" i="5"/>
  <c r="N319" i="5" s="1"/>
  <c r="M304" i="5"/>
  <c r="N304" i="5" s="1"/>
  <c r="M12" i="5"/>
  <c r="N12" i="5" s="1"/>
  <c r="M339" i="5"/>
  <c r="N339" i="5" s="1"/>
  <c r="M173" i="5"/>
  <c r="N173" i="5" s="1"/>
  <c r="M564" i="5"/>
  <c r="N564" i="5" s="1"/>
  <c r="M107" i="5"/>
  <c r="N107" i="5" s="1"/>
  <c r="M201" i="5"/>
  <c r="N201" i="5" s="1"/>
  <c r="M148" i="5"/>
  <c r="M74" i="5"/>
  <c r="N74" i="5" s="1"/>
  <c r="M47" i="5"/>
  <c r="N47" i="5" s="1"/>
  <c r="M166" i="5"/>
  <c r="N166" i="5" s="1"/>
  <c r="M447" i="5"/>
  <c r="N447" i="5" s="1"/>
  <c r="M500" i="5"/>
  <c r="N500" i="5" s="1"/>
  <c r="M582" i="5"/>
  <c r="N582" i="5" s="1"/>
  <c r="M519" i="5"/>
  <c r="N519" i="5" s="1"/>
  <c r="M463" i="5"/>
  <c r="N463" i="5" s="1"/>
  <c r="M389" i="5"/>
  <c r="N389" i="5" s="1"/>
  <c r="M414" i="5"/>
  <c r="N414" i="5" s="1"/>
  <c r="M356" i="5"/>
  <c r="N356" i="5" s="1"/>
  <c r="M589" i="5"/>
  <c r="N589" i="5" s="1"/>
  <c r="M362" i="5"/>
  <c r="N362" i="5" s="1"/>
  <c r="M437" i="5"/>
  <c r="N437" i="5" s="1"/>
  <c r="M635" i="5"/>
  <c r="N635" i="5" s="1"/>
  <c r="M279" i="5"/>
  <c r="N279" i="5" s="1"/>
  <c r="M461" i="5"/>
  <c r="N461" i="5" s="1"/>
  <c r="M576" i="5"/>
  <c r="N576" i="5" s="1"/>
  <c r="M446" i="5"/>
  <c r="N446" i="5" s="1"/>
  <c r="M355" i="5"/>
  <c r="N355" i="5" s="1"/>
  <c r="M248" i="5"/>
  <c r="N248" i="5" s="1"/>
  <c r="M511" i="5"/>
  <c r="N511" i="5" s="1"/>
  <c r="M497" i="5"/>
  <c r="N497" i="5" s="1"/>
  <c r="M357" i="5"/>
  <c r="N357" i="5" s="1"/>
  <c r="M621" i="5"/>
  <c r="N621" i="5" s="1"/>
  <c r="M419" i="5"/>
  <c r="N419" i="5" s="1"/>
  <c r="M374" i="5"/>
  <c r="N374" i="5" s="1"/>
  <c r="M609" i="5"/>
  <c r="N609" i="5" s="1"/>
  <c r="M337" i="5"/>
  <c r="N337" i="5" s="1"/>
  <c r="M583" i="5"/>
  <c r="N583" i="5" s="1"/>
  <c r="M586" i="5"/>
  <c r="N586" i="5" s="1"/>
  <c r="M526" i="5"/>
  <c r="N526" i="5" s="1"/>
  <c r="M634" i="5"/>
  <c r="N634" i="5" s="1"/>
  <c r="M669" i="5"/>
  <c r="N669" i="5" s="1"/>
  <c r="M256" i="5"/>
  <c r="N256" i="5" s="1"/>
  <c r="M253" i="5"/>
  <c r="N253" i="5" s="1"/>
  <c r="M662" i="5"/>
  <c r="N662" i="5" s="1"/>
  <c r="M269" i="5"/>
  <c r="N269" i="5" s="1"/>
  <c r="M632" i="5"/>
  <c r="N632" i="5" s="1"/>
  <c r="M432" i="5"/>
  <c r="N432" i="5" s="1"/>
  <c r="M347" i="5"/>
  <c r="N347" i="5" s="1"/>
  <c r="M566" i="5"/>
  <c r="N566" i="5" s="1"/>
  <c r="M574" i="5"/>
  <c r="N574" i="5" s="1"/>
  <c r="M388" i="5"/>
  <c r="N388" i="5" s="1"/>
  <c r="M276" i="5"/>
  <c r="N276" i="5" s="1"/>
  <c r="M365" i="5"/>
  <c r="N365" i="5" s="1"/>
  <c r="M596" i="5"/>
  <c r="N596" i="5" s="1"/>
  <c r="M445" i="5"/>
  <c r="N445" i="5" s="1"/>
  <c r="M602" i="5"/>
  <c r="N602" i="5" s="1"/>
  <c r="M506" i="5"/>
  <c r="N506" i="5" s="1"/>
  <c r="M340" i="5"/>
  <c r="N340" i="5" s="1"/>
  <c r="M532" i="5"/>
  <c r="N532" i="5" s="1"/>
  <c r="M258" i="5"/>
  <c r="N258" i="5" s="1"/>
  <c r="M548" i="5"/>
  <c r="N548" i="5" s="1"/>
  <c r="M624" i="5"/>
  <c r="N624" i="5" s="1"/>
  <c r="M605" i="5"/>
  <c r="N605" i="5" s="1"/>
  <c r="M631" i="5"/>
  <c r="N631" i="5" s="1"/>
  <c r="M482" i="5"/>
  <c r="N482" i="5" s="1"/>
  <c r="M402" i="5"/>
  <c r="N402" i="5" s="1"/>
  <c r="M600" i="5"/>
  <c r="N600" i="5" s="1"/>
  <c r="M525" i="5"/>
  <c r="N525" i="5" s="1"/>
  <c r="M508" i="5"/>
  <c r="N508" i="5" s="1"/>
  <c r="M521" i="5"/>
  <c r="N521" i="5" s="1"/>
  <c r="M604" i="5"/>
  <c r="N604" i="5" s="1"/>
  <c r="M561" i="5"/>
  <c r="N561" i="5" s="1"/>
  <c r="M615" i="5"/>
  <c r="N615" i="5" s="1"/>
  <c r="M633" i="5"/>
  <c r="N633" i="5" s="1"/>
  <c r="M470" i="5"/>
  <c r="N470" i="5" s="1"/>
  <c r="M610" i="5"/>
  <c r="N610" i="5" s="1"/>
  <c r="M494" i="5"/>
  <c r="N494" i="5" s="1"/>
  <c r="M384" i="5"/>
  <c r="N384" i="5" s="1"/>
  <c r="M650" i="5"/>
  <c r="N650" i="5" s="1"/>
  <c r="M641" i="5"/>
  <c r="N641" i="5" s="1"/>
  <c r="M540" i="5"/>
  <c r="N540" i="5" s="1"/>
  <c r="M293" i="5"/>
  <c r="N293" i="5" s="1"/>
  <c r="M125" i="5"/>
  <c r="N125" i="5" s="1"/>
  <c r="M205" i="5"/>
  <c r="N205" i="5" s="1"/>
  <c r="M146" i="5"/>
  <c r="N146" i="5" s="1"/>
  <c r="M25" i="5"/>
  <c r="N25" i="5" s="1"/>
  <c r="M105" i="5"/>
  <c r="N105" i="5" s="1"/>
  <c r="M227" i="5"/>
  <c r="N227" i="5" s="1"/>
  <c r="M249" i="5"/>
  <c r="N249" i="5" s="1"/>
  <c r="M124" i="5"/>
  <c r="N124" i="5" s="1"/>
  <c r="M157" i="5"/>
  <c r="N157" i="5" s="1"/>
  <c r="M67" i="5"/>
  <c r="N67" i="5" s="1"/>
  <c r="M182" i="5"/>
  <c r="N182" i="5" s="1"/>
  <c r="M54" i="5"/>
  <c r="N54" i="5" s="1"/>
  <c r="M317" i="5"/>
  <c r="N317" i="5" s="1"/>
  <c r="M285" i="5"/>
  <c r="N285" i="5" s="1"/>
  <c r="M237" i="5"/>
  <c r="N237" i="5" s="1"/>
  <c r="M266" i="5"/>
  <c r="N266" i="5" s="1"/>
  <c r="M52" i="5"/>
  <c r="N52" i="5" s="1"/>
  <c r="M20" i="5"/>
  <c r="N20" i="5" s="1"/>
  <c r="M165" i="5"/>
  <c r="N165" i="5" s="1"/>
  <c r="M119" i="5"/>
  <c r="N119" i="5" s="1"/>
  <c r="M53" i="5"/>
  <c r="N53" i="5" s="1"/>
  <c r="M49" i="5"/>
  <c r="N49" i="5" s="1"/>
  <c r="M151" i="5"/>
  <c r="N151" i="5" s="1"/>
  <c r="M175" i="5"/>
  <c r="N175" i="5" s="1"/>
  <c r="M36" i="5"/>
  <c r="N36" i="5" s="1"/>
  <c r="M186" i="5"/>
  <c r="N186" i="5" s="1"/>
  <c r="M87" i="5"/>
  <c r="N87" i="5" s="1"/>
  <c r="M172" i="5"/>
  <c r="N172" i="5" s="1"/>
  <c r="M323" i="5"/>
  <c r="N323" i="5" s="1"/>
  <c r="M344" i="5"/>
  <c r="N344" i="5" s="1"/>
  <c r="M35" i="5"/>
  <c r="N35" i="5" s="1"/>
  <c r="M138" i="5"/>
  <c r="N138" i="5" s="1"/>
  <c r="M391" i="5"/>
  <c r="N391" i="5" s="1"/>
  <c r="M301" i="5"/>
  <c r="N301" i="5" s="1"/>
  <c r="M242" i="5"/>
  <c r="N242" i="5" s="1"/>
  <c r="M101" i="5"/>
  <c r="N101" i="5" s="1"/>
  <c r="M118" i="5"/>
  <c r="N118" i="5" s="1"/>
  <c r="M127" i="5"/>
  <c r="N127" i="5" s="1"/>
  <c r="M150" i="5"/>
  <c r="N150" i="5" s="1"/>
  <c r="M58" i="5"/>
  <c r="N58" i="5" s="1"/>
  <c r="M240" i="5"/>
  <c r="N240" i="5" s="1"/>
  <c r="N154" i="5"/>
  <c r="N159" i="5"/>
  <c r="N206" i="5"/>
  <c r="N30" i="5"/>
  <c r="N48" i="5"/>
  <c r="M80" i="5"/>
  <c r="N80" i="5" s="1"/>
  <c r="M149" i="5"/>
  <c r="N149" i="5" s="1"/>
  <c r="M178" i="5"/>
  <c r="N178" i="5" s="1"/>
  <c r="M98" i="5"/>
  <c r="N98" i="5" s="1"/>
  <c r="M19" i="5"/>
  <c r="N19" i="5" s="1"/>
  <c r="M22" i="5"/>
  <c r="N22" i="5" s="1"/>
  <c r="M644" i="5"/>
  <c r="N644" i="5" s="1"/>
  <c r="M453" i="5"/>
  <c r="N453" i="5" s="1"/>
  <c r="M84" i="5"/>
  <c r="N84" i="5" s="1"/>
  <c r="M60" i="5"/>
  <c r="N60" i="5" s="1"/>
  <c r="M109" i="5"/>
  <c r="N109" i="5" s="1"/>
  <c r="N174" i="5"/>
  <c r="N292" i="5"/>
  <c r="N196" i="5"/>
  <c r="L299" i="5"/>
  <c r="L546" i="5"/>
  <c r="N546" i="5"/>
  <c r="L322" i="5"/>
  <c r="N322" i="5"/>
  <c r="L473" i="5"/>
  <c r="N473" i="5"/>
  <c r="L116" i="5"/>
  <c r="N116" i="5"/>
  <c r="L625" i="5"/>
  <c r="N625" i="5"/>
  <c r="L31" i="5"/>
  <c r="N31" i="5"/>
  <c r="L121" i="5"/>
  <c r="N121" i="5"/>
  <c r="N518" i="5"/>
  <c r="N487" i="5"/>
  <c r="N342" i="5"/>
  <c r="N498" i="5"/>
  <c r="N646" i="5"/>
  <c r="N527" i="5"/>
  <c r="N649" i="5"/>
  <c r="N607" i="5"/>
  <c r="N484" i="5"/>
  <c r="N396" i="5"/>
  <c r="N294" i="5"/>
  <c r="N366" i="5"/>
  <c r="N480" i="5"/>
  <c r="N382" i="5"/>
  <c r="N559" i="5"/>
  <c r="N665" i="5"/>
  <c r="N448" i="5"/>
  <c r="N327" i="5"/>
  <c r="N313" i="5"/>
  <c r="N425" i="5"/>
  <c r="N557" i="5"/>
  <c r="N352" i="5"/>
  <c r="N668" i="5"/>
  <c r="N617" i="5"/>
  <c r="N593" i="5"/>
  <c r="N252" i="5"/>
  <c r="N575" i="5"/>
  <c r="N580" i="5"/>
  <c r="N642" i="5"/>
  <c r="N418" i="5"/>
  <c r="N459" i="5"/>
  <c r="N618" i="5"/>
  <c r="N399" i="5"/>
  <c r="N441" i="5"/>
  <c r="N403" i="5"/>
  <c r="N351" i="5"/>
  <c r="N280" i="5"/>
  <c r="N628" i="5"/>
  <c r="N376" i="5"/>
  <c r="N277" i="5"/>
  <c r="N417" i="5"/>
  <c r="N338" i="5"/>
  <c r="N397" i="5"/>
  <c r="N661" i="5"/>
  <c r="N595" i="5"/>
  <c r="N368" i="5"/>
  <c r="N543" i="5"/>
  <c r="N622" i="5"/>
  <c r="N513" i="5"/>
  <c r="N599" i="5"/>
  <c r="N380" i="5"/>
  <c r="N354" i="5"/>
  <c r="N316" i="5"/>
  <c r="N672" i="5"/>
  <c r="N346" i="5"/>
  <c r="N379" i="5"/>
  <c r="N510" i="5"/>
  <c r="N383" i="5"/>
  <c r="N372" i="5"/>
  <c r="N312" i="5"/>
  <c r="N545" i="5"/>
  <c r="N472" i="5"/>
  <c r="N592" i="5"/>
  <c r="N544" i="5"/>
  <c r="N433" i="5"/>
  <c r="N606" i="5"/>
  <c r="N436" i="5"/>
  <c r="N551" i="5"/>
  <c r="N478" i="5"/>
  <c r="N430" i="5"/>
  <c r="N640" i="5"/>
  <c r="N458" i="5"/>
  <c r="N413" i="5"/>
  <c r="N451" i="5"/>
  <c r="N358" i="5"/>
  <c r="N370" i="5"/>
  <c r="N474" i="5"/>
  <c r="N653" i="5"/>
  <c r="N542" i="5"/>
  <c r="N410" i="5"/>
  <c r="N565" i="5"/>
  <c r="N626" i="5"/>
  <c r="N577" i="5"/>
  <c r="N558" i="5"/>
  <c r="N341" i="5"/>
  <c r="N406" i="5"/>
  <c r="N505" i="5"/>
  <c r="N367" i="5"/>
  <c r="N567" i="5"/>
  <c r="N614" i="5"/>
  <c r="N503" i="5"/>
  <c r="N401" i="5"/>
  <c r="N611" i="5"/>
  <c r="N428" i="5"/>
  <c r="N247" i="5"/>
  <c r="N530" i="5"/>
  <c r="N393" i="5"/>
  <c r="N572" i="5"/>
  <c r="N522" i="5"/>
  <c r="N550" i="5"/>
  <c r="N619" i="5"/>
  <c r="N660" i="5"/>
  <c r="N571" i="5"/>
  <c r="N407" i="5"/>
  <c r="N581" i="5"/>
  <c r="N608" i="5"/>
  <c r="N422" i="5"/>
  <c r="N514" i="5"/>
  <c r="N483" i="5"/>
  <c r="N629" i="5"/>
  <c r="N501" i="5"/>
  <c r="N601" i="5"/>
  <c r="N492" i="5"/>
  <c r="N395" i="5"/>
  <c r="N663" i="5"/>
  <c r="N590" i="5"/>
  <c r="N325" i="5"/>
  <c r="N435" i="5"/>
  <c r="N278" i="5"/>
  <c r="N328" i="5"/>
  <c r="N431" i="5"/>
  <c r="N283" i="5"/>
  <c r="N598" i="5"/>
  <c r="N471" i="5"/>
  <c r="N537" i="5"/>
  <c r="N512" i="5"/>
  <c r="N637" i="5"/>
  <c r="N378" i="5"/>
  <c r="N670" i="5"/>
  <c r="N655" i="5"/>
  <c r="N291" i="5"/>
  <c r="N255" i="5"/>
  <c r="N427" i="5"/>
  <c r="N509" i="5"/>
  <c r="N654" i="5"/>
  <c r="N643" i="5"/>
  <c r="N491" i="5"/>
  <c r="N385" i="5"/>
  <c r="N411" i="5"/>
  <c r="N597" i="5"/>
  <c r="N523" i="5"/>
  <c r="N434" i="5"/>
  <c r="N591" i="5"/>
  <c r="N377" i="5"/>
  <c r="N452" i="5"/>
  <c r="N578" i="5"/>
  <c r="N371" i="5"/>
  <c r="N496" i="5"/>
  <c r="N462" i="5"/>
  <c r="N666" i="5"/>
  <c r="N479" i="5"/>
  <c r="N381" i="5"/>
  <c r="N612" i="5"/>
  <c r="N421" i="5"/>
  <c r="N364" i="5"/>
  <c r="N442" i="5"/>
  <c r="N416" i="5"/>
  <c r="N553" i="5"/>
  <c r="N361" i="5"/>
  <c r="N387" i="5"/>
  <c r="N485" i="5"/>
  <c r="N538" i="5"/>
  <c r="N516" i="5"/>
  <c r="N454" i="5"/>
  <c r="N363" i="5"/>
  <c r="N360" i="5"/>
  <c r="N76" i="5"/>
  <c r="N136" i="5"/>
  <c r="N176" i="5"/>
  <c r="N193" i="5"/>
  <c r="N191" i="5"/>
  <c r="N265" i="5"/>
  <c r="N88" i="5"/>
  <c r="N59" i="5"/>
  <c r="N232" i="5"/>
  <c r="N320" i="5"/>
  <c r="N287" i="5"/>
  <c r="N261" i="5"/>
  <c r="N296" i="5"/>
  <c r="N288" i="5"/>
  <c r="N85" i="5"/>
  <c r="N212" i="5"/>
  <c r="N286" i="5"/>
  <c r="N57" i="5"/>
  <c r="N241" i="5"/>
  <c r="N303" i="5"/>
  <c r="N517" i="5"/>
  <c r="N233" i="5"/>
  <c r="N587" i="5"/>
  <c r="N333" i="5"/>
  <c r="N272" i="5"/>
  <c r="N309" i="5"/>
  <c r="N188" i="5"/>
  <c r="N297" i="5"/>
  <c r="N263" i="5"/>
  <c r="N412" i="5"/>
  <c r="N194" i="5"/>
  <c r="N219" i="5"/>
  <c r="N129" i="5"/>
  <c r="N211" i="5"/>
  <c r="N17" i="5"/>
  <c r="L23" i="5"/>
  <c r="N23" i="5"/>
  <c r="N8" i="5"/>
  <c r="N94" i="5"/>
  <c r="N200" i="5"/>
  <c r="N259" i="5"/>
  <c r="N63" i="5"/>
  <c r="N110" i="5"/>
  <c r="N218" i="5"/>
  <c r="N321" i="5"/>
  <c r="N65" i="5"/>
  <c r="N3" i="5"/>
  <c r="N162" i="5"/>
  <c r="N306" i="5"/>
  <c r="N244" i="5"/>
  <c r="N170" i="5"/>
  <c r="N132" i="5"/>
  <c r="N79" i="5"/>
  <c r="N102" i="5"/>
  <c r="N215" i="5"/>
  <c r="N190" i="5"/>
  <c r="N185" i="5"/>
  <c r="N260" i="5"/>
  <c r="N164" i="5"/>
  <c r="N231" i="5"/>
  <c r="N220" i="5"/>
  <c r="N155" i="5"/>
  <c r="N55" i="5"/>
  <c r="N168" i="5"/>
  <c r="N563" i="5"/>
  <c r="N50" i="5"/>
  <c r="N28" i="5"/>
  <c r="N18" i="5"/>
  <c r="N133" i="5"/>
  <c r="N51" i="5"/>
  <c r="N147" i="5"/>
  <c r="N298" i="5"/>
  <c r="N257" i="5"/>
  <c r="N230" i="5"/>
  <c r="N4" i="5"/>
  <c r="N142" i="5"/>
  <c r="N203" i="5"/>
  <c r="N42" i="5"/>
  <c r="N9" i="5"/>
  <c r="N143" i="5"/>
  <c r="N15" i="5"/>
  <c r="N2" i="5"/>
  <c r="N111" i="5"/>
  <c r="N179" i="5"/>
  <c r="N236" i="5"/>
  <c r="N305" i="5"/>
  <c r="N229" i="5"/>
  <c r="N75" i="5"/>
  <c r="N281" i="5"/>
  <c r="N112" i="5"/>
  <c r="N658" i="5"/>
  <c r="N210" i="5"/>
  <c r="N43" i="5"/>
  <c r="N209" i="5"/>
  <c r="N623" i="5"/>
  <c r="N77" i="5"/>
  <c r="N5" i="5"/>
  <c r="N465" i="5"/>
  <c r="N26" i="5"/>
  <c r="N114" i="5"/>
  <c r="N671" i="5"/>
  <c r="N39" i="5"/>
  <c r="N224" i="5"/>
  <c r="N469" i="5"/>
  <c r="N332" i="5"/>
  <c r="N270" i="5"/>
  <c r="N449" i="5"/>
  <c r="N534" i="5"/>
  <c r="N405" i="5"/>
  <c r="L450" i="5"/>
  <c r="N450" i="5"/>
  <c r="L177" i="5"/>
  <c r="N177" i="5"/>
  <c r="L44" i="5"/>
  <c r="N44" i="5"/>
  <c r="L40" i="5"/>
  <c r="N40" i="5"/>
  <c r="L11" i="5"/>
  <c r="N11" i="5"/>
  <c r="L86" i="5"/>
  <c r="N86" i="5"/>
  <c r="L73" i="5"/>
  <c r="N73" i="5"/>
  <c r="L64" i="5"/>
  <c r="N64" i="5"/>
  <c r="L315" i="5"/>
  <c r="N315" i="5"/>
  <c r="N66" i="5"/>
  <c r="N91" i="5"/>
  <c r="L152" i="5"/>
  <c r="N152" i="5"/>
  <c r="N38" i="5"/>
  <c r="N235" i="5"/>
  <c r="N349" i="5"/>
  <c r="N250" i="5"/>
  <c r="N207" i="5"/>
  <c r="L426" i="5"/>
  <c r="N426" i="5"/>
  <c r="N113" i="5"/>
  <c r="L664" i="5"/>
  <c r="N664" i="5"/>
  <c r="N228" i="5"/>
  <c r="N289" i="5"/>
  <c r="L345" i="5"/>
  <c r="N345" i="5"/>
  <c r="N314" i="5"/>
  <c r="N13" i="5"/>
  <c r="N158" i="5"/>
  <c r="N324" i="5"/>
  <c r="N72" i="5"/>
  <c r="N254" i="5"/>
  <c r="L217" i="5"/>
  <c r="N217" i="5"/>
  <c r="N7" i="5"/>
  <c r="L34" i="5"/>
  <c r="N34" i="5"/>
  <c r="N21" i="5"/>
  <c r="L326" i="5"/>
  <c r="N326" i="5"/>
  <c r="N71" i="5"/>
  <c r="N216" i="5"/>
  <c r="L318" i="5"/>
  <c r="N318" i="5"/>
  <c r="N214" i="5"/>
  <c r="N141" i="5"/>
  <c r="N108" i="5"/>
  <c r="L115" i="5"/>
  <c r="N115" i="5"/>
  <c r="N213" i="5"/>
  <c r="N171" i="5"/>
  <c r="L90" i="5"/>
  <c r="N90" i="5"/>
  <c r="N120" i="5"/>
  <c r="L189" i="5"/>
  <c r="N189" i="5"/>
  <c r="N163" i="5"/>
  <c r="L69" i="5"/>
  <c r="N69" i="5"/>
  <c r="N32" i="5"/>
  <c r="N135" i="5"/>
  <c r="N144" i="5"/>
  <c r="L541" i="5"/>
  <c r="N541" i="5"/>
  <c r="N68" i="5"/>
  <c r="N180" i="5"/>
  <c r="N117" i="5"/>
  <c r="N307" i="5"/>
  <c r="N290" i="5"/>
  <c r="N308" i="5"/>
  <c r="N24" i="5"/>
  <c r="N348" i="5"/>
  <c r="N130" i="5"/>
  <c r="N275" i="5"/>
  <c r="N489" i="5"/>
  <c r="N225" i="5"/>
  <c r="N648" i="5"/>
  <c r="N99" i="5"/>
  <c r="N335" i="5"/>
  <c r="N46" i="5"/>
  <c r="N81" i="5"/>
  <c r="N83" i="5"/>
  <c r="N204" i="5"/>
  <c r="N245" i="5"/>
  <c r="N499" i="5"/>
  <c r="N10" i="5"/>
  <c r="N156" i="5"/>
  <c r="N221" i="5"/>
  <c r="N329" i="5"/>
  <c r="N6" i="5"/>
  <c r="N33" i="5"/>
  <c r="N490" i="5"/>
  <c r="N37" i="5"/>
  <c r="N103" i="5"/>
  <c r="N70" i="5"/>
  <c r="N123" i="5"/>
  <c r="N350" i="5"/>
  <c r="N41" i="5"/>
  <c r="N145" i="5"/>
  <c r="N336" i="5"/>
  <c r="N122" i="5"/>
  <c r="N56" i="5"/>
  <c r="N264" i="5"/>
  <c r="N45" i="5"/>
  <c r="N202" i="5"/>
  <c r="N183" i="5"/>
  <c r="N61" i="5"/>
  <c r="N398" i="5"/>
  <c r="N160" i="5"/>
  <c r="N311" i="5"/>
  <c r="N29" i="5"/>
  <c r="N222" i="5"/>
  <c r="N82" i="5"/>
  <c r="N198" i="5"/>
  <c r="N274" i="5"/>
  <c r="N139" i="5"/>
  <c r="N195" i="5"/>
  <c r="N16" i="5"/>
  <c r="N89" i="5"/>
  <c r="N238" i="5"/>
  <c r="N92" i="5"/>
  <c r="N96" i="5"/>
  <c r="N106" i="5"/>
  <c r="N148" i="5"/>
  <c r="L19" i="5"/>
  <c r="L626" i="5"/>
  <c r="L377" i="5"/>
  <c r="L6" i="5"/>
  <c r="L169" i="5"/>
  <c r="L144" i="5"/>
  <c r="L518" i="5"/>
  <c r="L332" i="5"/>
  <c r="L487" i="5"/>
  <c r="L270" i="5"/>
  <c r="L342" i="5"/>
  <c r="L449" i="5"/>
  <c r="L498" i="5"/>
  <c r="L646" i="5"/>
  <c r="L534" i="5"/>
  <c r="L527" i="5"/>
  <c r="L649" i="5"/>
  <c r="L607" i="5"/>
  <c r="L484" i="5"/>
  <c r="L396" i="5"/>
  <c r="L294" i="5"/>
  <c r="L366" i="5"/>
  <c r="L480" i="5"/>
  <c r="L382" i="5"/>
  <c r="L559" i="5"/>
  <c r="L405" i="5"/>
  <c r="L665" i="5"/>
  <c r="L448" i="5"/>
  <c r="L327" i="5"/>
  <c r="L313" i="5"/>
  <c r="L425" i="5"/>
  <c r="L557" i="5"/>
  <c r="L352" i="5"/>
  <c r="L668" i="5"/>
  <c r="L617" i="5"/>
  <c r="L252" i="5"/>
  <c r="L575" i="5"/>
  <c r="L580" i="5"/>
  <c r="L642" i="5"/>
  <c r="L418" i="5"/>
  <c r="L459" i="5"/>
  <c r="L618" i="5"/>
  <c r="L399" i="5"/>
  <c r="L441" i="5"/>
  <c r="L403" i="5"/>
  <c r="L351" i="5"/>
  <c r="L280" i="5"/>
  <c r="L442" i="5"/>
  <c r="L191" i="5"/>
  <c r="L170" i="5"/>
  <c r="L4" i="5"/>
  <c r="L209" i="5"/>
  <c r="L198" i="5"/>
  <c r="L593" i="5"/>
  <c r="L375" i="5"/>
  <c r="L443" i="5"/>
  <c r="L447" i="5"/>
  <c r="L579" i="5"/>
  <c r="L500" i="5"/>
  <c r="L408" i="5"/>
  <c r="L582" i="5"/>
  <c r="L529" i="5"/>
  <c r="L519" i="5"/>
  <c r="L584" i="5"/>
  <c r="L463" i="5"/>
  <c r="L302" i="5"/>
  <c r="L389" i="5"/>
  <c r="L439" i="5"/>
  <c r="L414" i="5"/>
  <c r="L524" i="5"/>
  <c r="L356" i="5"/>
  <c r="L562" i="5"/>
  <c r="L589" i="5"/>
  <c r="L616" i="5"/>
  <c r="L362" i="5"/>
  <c r="L502" i="5"/>
  <c r="L437" i="5"/>
  <c r="L440" i="5"/>
  <c r="L455" i="5"/>
  <c r="L635" i="5"/>
  <c r="L488" i="5"/>
  <c r="L279" i="5"/>
  <c r="L394" i="5"/>
  <c r="L461" i="5"/>
  <c r="L495" i="5"/>
  <c r="L576" i="5"/>
  <c r="L251" i="5"/>
  <c r="L420" i="5"/>
  <c r="L446" i="5"/>
  <c r="L468" i="5"/>
  <c r="L355" i="5"/>
  <c r="L359" i="5"/>
  <c r="L248" i="5"/>
  <c r="L267" i="5"/>
  <c r="L511" i="5"/>
  <c r="L652" i="5"/>
  <c r="L295" i="5"/>
  <c r="L497" i="5"/>
  <c r="L477" i="5"/>
  <c r="L357" i="5"/>
  <c r="L569" i="5"/>
  <c r="L621" i="5"/>
  <c r="L444" i="5"/>
  <c r="L419" i="5"/>
  <c r="L390" i="5"/>
  <c r="L374" i="5"/>
  <c r="L639" i="5"/>
  <c r="L609" i="5"/>
  <c r="L415" i="5"/>
  <c r="L337" i="5"/>
  <c r="L507" i="5"/>
  <c r="L583" i="5"/>
  <c r="L585" i="5"/>
  <c r="L586" i="5"/>
  <c r="L554" i="5"/>
  <c r="L526" i="5"/>
  <c r="L647" i="5"/>
  <c r="L634" i="5"/>
  <c r="L638" i="5"/>
  <c r="L669" i="5"/>
  <c r="L466" i="5"/>
  <c r="L256" i="5"/>
  <c r="L262" i="5"/>
  <c r="L656" i="5"/>
  <c r="L662" i="5"/>
  <c r="L373" i="5"/>
  <c r="L549" i="5"/>
  <c r="L269" i="5"/>
  <c r="L555" i="5"/>
  <c r="L632" i="5"/>
  <c r="L531" i="5"/>
  <c r="L432" i="5"/>
  <c r="L457" i="5"/>
  <c r="L347" i="5"/>
  <c r="L331" i="5"/>
  <c r="L369" i="5"/>
  <c r="L566" i="5"/>
  <c r="L429" i="5"/>
  <c r="L574" i="5"/>
  <c r="L645" i="5"/>
  <c r="L388" i="5"/>
  <c r="L659" i="5"/>
  <c r="L276" i="5"/>
  <c r="L400" i="5"/>
  <c r="L365" i="5"/>
  <c r="L570" i="5"/>
  <c r="L596" i="5"/>
  <c r="L438" i="5"/>
  <c r="L445" i="5"/>
  <c r="L481" i="5"/>
  <c r="L636" i="5"/>
  <c r="L602" i="5"/>
  <c r="L467" i="5"/>
  <c r="L506" i="5"/>
  <c r="L386" i="5"/>
  <c r="L340" i="5"/>
  <c r="L535" i="5"/>
  <c r="L532" i="5"/>
  <c r="L560" i="5"/>
  <c r="L353" i="5"/>
  <c r="L258" i="5"/>
  <c r="L613" i="5"/>
  <c r="L548" i="5"/>
  <c r="L464" i="5"/>
  <c r="L624" i="5"/>
  <c r="L536" i="5"/>
  <c r="L310" i="5"/>
  <c r="L605" i="5"/>
  <c r="L533" i="5"/>
  <c r="L631" i="5"/>
  <c r="L588" i="5"/>
  <c r="L482" i="5"/>
  <c r="L520" i="5"/>
  <c r="L402" i="5"/>
  <c r="L620" i="5"/>
  <c r="L460" i="5"/>
  <c r="L600" i="5"/>
  <c r="L603" i="5"/>
  <c r="L525" i="5"/>
  <c r="L508" i="5"/>
  <c r="L456" i="5"/>
  <c r="L521" i="5"/>
  <c r="L515" i="5"/>
  <c r="L604" i="5"/>
  <c r="L561" i="5"/>
  <c r="L476" i="5"/>
  <c r="L615" i="5"/>
  <c r="L633" i="5"/>
  <c r="L667" i="5"/>
  <c r="L470" i="5"/>
  <c r="L610" i="5"/>
  <c r="L494" i="5"/>
  <c r="L384" i="5"/>
  <c r="L650" i="5"/>
  <c r="L594" i="5"/>
  <c r="L392" i="5"/>
  <c r="L630" i="5"/>
  <c r="L409" i="5"/>
  <c r="L423" i="5"/>
  <c r="L330" i="5"/>
  <c r="L404" i="5"/>
  <c r="L573" i="5"/>
  <c r="L641" i="5"/>
  <c r="L627" i="5"/>
  <c r="L475" i="5"/>
  <c r="L540" i="5"/>
  <c r="L556" i="5"/>
  <c r="L539" i="5"/>
  <c r="L568" i="5"/>
  <c r="L651" i="5"/>
  <c r="L504" i="5"/>
  <c r="L657" i="5"/>
  <c r="L552" i="5"/>
  <c r="L424" i="5"/>
  <c r="L493" i="5"/>
  <c r="L486" i="5"/>
  <c r="L528" i="5"/>
  <c r="L273" i="5"/>
  <c r="L104" i="5"/>
  <c r="L268" i="5"/>
  <c r="L293" i="5"/>
  <c r="L284" i="5"/>
  <c r="L125" i="5"/>
  <c r="L197" i="5"/>
  <c r="L100" i="5"/>
  <c r="L205" i="5"/>
  <c r="L126" i="5"/>
  <c r="L14" i="5"/>
  <c r="L146" i="5"/>
  <c r="L25" i="5"/>
  <c r="L105" i="5"/>
  <c r="L227" i="5"/>
  <c r="L249" i="5"/>
  <c r="L124" i="5"/>
  <c r="L157" i="5"/>
  <c r="L67" i="5"/>
  <c r="L54" i="5"/>
  <c r="L317" i="5"/>
  <c r="L285" i="5"/>
  <c r="L237" i="5"/>
  <c r="L266" i="5"/>
  <c r="L181" i="5"/>
  <c r="L52" i="5"/>
  <c r="L95" i="5"/>
  <c r="L128" i="5"/>
  <c r="L27" i="5"/>
  <c r="L20" i="5"/>
  <c r="L165" i="5"/>
  <c r="L119" i="5"/>
  <c r="L53" i="5"/>
  <c r="L49" i="5"/>
  <c r="L151" i="5"/>
  <c r="L161" i="5"/>
  <c r="L175" i="5"/>
  <c r="L36" i="5"/>
  <c r="L186" i="5"/>
  <c r="L153" i="5"/>
  <c r="L167" i="5"/>
  <c r="L187" i="5"/>
  <c r="L246" i="5"/>
  <c r="L674" i="5"/>
  <c r="L334" i="5"/>
  <c r="L87" i="5"/>
  <c r="L172" i="5"/>
  <c r="L323" i="5"/>
  <c r="L344" i="5"/>
  <c r="L35" i="5"/>
  <c r="L223" i="5"/>
  <c r="L138" i="5"/>
  <c r="L208" i="5"/>
  <c r="L673" i="5"/>
  <c r="L271" i="5"/>
  <c r="L226" i="5"/>
  <c r="L93" i="5"/>
  <c r="L78" i="5"/>
  <c r="L239" i="5"/>
  <c r="L137" i="5"/>
  <c r="L131" i="5"/>
  <c r="L97" i="5"/>
  <c r="L199" i="5"/>
  <c r="L391" i="5"/>
  <c r="L234" i="5"/>
  <c r="L301" i="5"/>
  <c r="L166" i="5"/>
  <c r="L62" i="5"/>
  <c r="L201" i="5"/>
  <c r="L184" i="5"/>
  <c r="L47" i="5"/>
  <c r="L343" i="5"/>
  <c r="L134" i="5"/>
  <c r="L242" i="5"/>
  <c r="L109" i="5"/>
  <c r="L101" i="5"/>
  <c r="L107" i="5"/>
  <c r="L243" i="5"/>
  <c r="L60" i="5"/>
  <c r="L300" i="5"/>
  <c r="L140" i="5"/>
  <c r="L564" i="5"/>
  <c r="L84" i="5"/>
  <c r="L319" i="5"/>
  <c r="L304" i="5"/>
  <c r="L74" i="5"/>
  <c r="L66" i="5"/>
  <c r="L91" i="5"/>
  <c r="L38" i="5"/>
  <c r="L173" i="5"/>
  <c r="L235" i="5"/>
  <c r="L453" i="5"/>
  <c r="L349" i="5"/>
  <c r="L339" i="5"/>
  <c r="L250" i="5"/>
  <c r="L118" i="5"/>
  <c r="L207" i="5"/>
  <c r="L644" i="5"/>
  <c r="L113" i="5"/>
  <c r="L228" i="5"/>
  <c r="L22" i="5"/>
  <c r="L314" i="5"/>
  <c r="L150" i="5"/>
  <c r="L13" i="5"/>
  <c r="L58" i="5"/>
  <c r="L158" i="5"/>
  <c r="L240" i="5"/>
  <c r="L324" i="5"/>
  <c r="L154" i="5"/>
  <c r="L72" i="5"/>
  <c r="L159" i="5"/>
  <c r="L71" i="5"/>
  <c r="L171" i="5"/>
  <c r="L127" i="5"/>
  <c r="L182" i="5"/>
  <c r="L282" i="5"/>
  <c r="L253" i="5"/>
  <c r="L12" i="5"/>
  <c r="L192" i="5"/>
  <c r="L601" i="5"/>
  <c r="L547" i="5"/>
  <c r="L289" i="5"/>
  <c r="L628" i="5"/>
  <c r="L376" i="5"/>
  <c r="L277" i="5"/>
  <c r="L417" i="5"/>
  <c r="L397" i="5"/>
  <c r="L661" i="5"/>
  <c r="L595" i="5"/>
  <c r="L368" i="5"/>
  <c r="L543" i="5"/>
  <c r="L622" i="5"/>
  <c r="L513" i="5"/>
  <c r="L599" i="5"/>
  <c r="L380" i="5"/>
  <c r="L354" i="5"/>
  <c r="L316" i="5"/>
  <c r="L672" i="5"/>
  <c r="L346" i="5"/>
  <c r="L379" i="5"/>
  <c r="L510" i="5"/>
  <c r="L383" i="5"/>
  <c r="L372" i="5"/>
  <c r="L312" i="5"/>
  <c r="L545" i="5"/>
  <c r="L472" i="5"/>
  <c r="L592" i="5"/>
  <c r="L544" i="5"/>
  <c r="L433" i="5"/>
  <c r="L606" i="5"/>
  <c r="L436" i="5"/>
  <c r="L551" i="5"/>
  <c r="L478" i="5"/>
  <c r="L430" i="5"/>
  <c r="L640" i="5"/>
  <c r="L458" i="5"/>
  <c r="L413" i="5"/>
  <c r="L451" i="5"/>
  <c r="L358" i="5"/>
  <c r="L370" i="5"/>
  <c r="L474" i="5"/>
  <c r="L653" i="5"/>
  <c r="L542" i="5"/>
  <c r="L410" i="5"/>
  <c r="L565" i="5"/>
  <c r="L577" i="5"/>
  <c r="L558" i="5"/>
  <c r="L341" i="5"/>
  <c r="L406" i="5"/>
  <c r="L505" i="5"/>
  <c r="L367" i="5"/>
  <c r="L567" i="5"/>
  <c r="L614" i="5"/>
  <c r="L503" i="5"/>
  <c r="L401" i="5"/>
  <c r="L611" i="5"/>
  <c r="L428" i="5"/>
  <c r="L247" i="5"/>
  <c r="L530" i="5"/>
  <c r="L572" i="5"/>
  <c r="L522" i="5"/>
  <c r="L550" i="5"/>
  <c r="L619" i="5"/>
  <c r="L660" i="5"/>
  <c r="L571" i="5"/>
  <c r="L407" i="5"/>
  <c r="L581" i="5"/>
  <c r="L608" i="5"/>
  <c r="L422" i="5"/>
  <c r="L514" i="5"/>
  <c r="L483" i="5"/>
  <c r="L629" i="5"/>
  <c r="L501" i="5"/>
  <c r="L492" i="5"/>
  <c r="L395" i="5"/>
  <c r="L663" i="5"/>
  <c r="L590" i="5"/>
  <c r="L325" i="5"/>
  <c r="L435" i="5"/>
  <c r="L278" i="5"/>
  <c r="L328" i="5"/>
  <c r="L431" i="5"/>
  <c r="L283" i="5"/>
  <c r="L598" i="5"/>
  <c r="L471" i="5"/>
  <c r="L537" i="5"/>
  <c r="L512" i="5"/>
  <c r="L637" i="5"/>
  <c r="L378" i="5"/>
  <c r="L670" i="5"/>
  <c r="L655" i="5"/>
  <c r="L291" i="5"/>
  <c r="L255" i="5"/>
  <c r="L427" i="5"/>
  <c r="L509" i="5"/>
  <c r="L654" i="5"/>
  <c r="L643" i="5"/>
  <c r="L491" i="5"/>
  <c r="L385" i="5"/>
  <c r="L411" i="5"/>
  <c r="L597" i="5"/>
  <c r="L523" i="5"/>
  <c r="L434" i="5"/>
  <c r="L591" i="5"/>
  <c r="L452" i="5"/>
  <c r="L578" i="5"/>
  <c r="L371" i="5"/>
  <c r="L496" i="5"/>
  <c r="L462" i="5"/>
  <c r="L666" i="5"/>
  <c r="L479" i="5"/>
  <c r="L381" i="5"/>
  <c r="L612" i="5"/>
  <c r="L421" i="5"/>
  <c r="L364" i="5"/>
  <c r="L416" i="5"/>
  <c r="L553" i="5"/>
  <c r="L361" i="5"/>
  <c r="L387" i="5"/>
  <c r="L485" i="5"/>
  <c r="L538" i="5"/>
  <c r="L516" i="5"/>
  <c r="L454" i="5"/>
  <c r="L363" i="5"/>
  <c r="L360" i="5"/>
  <c r="L76" i="5"/>
  <c r="L136" i="5"/>
  <c r="L176" i="5"/>
  <c r="L193" i="5"/>
  <c r="L265" i="5"/>
  <c r="L88" i="5"/>
  <c r="L59" i="5"/>
  <c r="L232" i="5"/>
  <c r="L320" i="5"/>
  <c r="L287" i="5"/>
  <c r="L261" i="5"/>
  <c r="L296" i="5"/>
  <c r="L288" i="5"/>
  <c r="L85" i="5"/>
  <c r="L212" i="5"/>
  <c r="L286" i="5"/>
  <c r="L57" i="5"/>
  <c r="L241" i="5"/>
  <c r="L303" i="5"/>
  <c r="L517" i="5"/>
  <c r="L233" i="5"/>
  <c r="L587" i="5"/>
  <c r="L333" i="5"/>
  <c r="L272" i="5"/>
  <c r="L309" i="5"/>
  <c r="L188" i="5"/>
  <c r="L297" i="5"/>
  <c r="L263" i="5"/>
  <c r="L412" i="5"/>
  <c r="L194" i="5"/>
  <c r="L219" i="5"/>
  <c r="L129" i="5"/>
  <c r="L211" i="5"/>
  <c r="L17" i="5"/>
  <c r="L8" i="5"/>
  <c r="L94" i="5"/>
  <c r="L200" i="5"/>
  <c r="L259" i="5"/>
  <c r="L63" i="5"/>
  <c r="L110" i="5"/>
  <c r="L218" i="5"/>
  <c r="L321" i="5"/>
  <c r="L65" i="5"/>
  <c r="L3" i="5"/>
  <c r="L162" i="5"/>
  <c r="L306" i="5"/>
  <c r="L244" i="5"/>
  <c r="L132" i="5"/>
  <c r="L79" i="5"/>
  <c r="L102" i="5"/>
  <c r="L215" i="5"/>
  <c r="L190" i="5"/>
  <c r="L185" i="5"/>
  <c r="L260" i="5"/>
  <c r="L164" i="5"/>
  <c r="L231" i="5"/>
  <c r="L220" i="5"/>
  <c r="L155" i="5"/>
  <c r="L55" i="5"/>
  <c r="L168" i="5"/>
  <c r="L563" i="5"/>
  <c r="L50" i="5"/>
  <c r="L28" i="5"/>
  <c r="L18" i="5"/>
  <c r="L133" i="5"/>
  <c r="L51" i="5"/>
  <c r="L147" i="5"/>
  <c r="L298" i="5"/>
  <c r="L257" i="5"/>
  <c r="L230" i="5"/>
  <c r="L142" i="5"/>
  <c r="L203" i="5"/>
  <c r="L42" i="5"/>
  <c r="L9" i="5"/>
  <c r="L196" i="5"/>
  <c r="L143" i="5"/>
  <c r="L15" i="5"/>
  <c r="L2" i="5"/>
  <c r="L111" i="5"/>
  <c r="L179" i="5"/>
  <c r="L236" i="5"/>
  <c r="L305" i="5"/>
  <c r="L229" i="5"/>
  <c r="L75" i="5"/>
  <c r="L281" i="5"/>
  <c r="L112" i="5"/>
  <c r="L658" i="5"/>
  <c r="L210" i="5"/>
  <c r="L43" i="5"/>
  <c r="L623" i="5"/>
  <c r="L77" i="5"/>
  <c r="L5" i="5"/>
  <c r="L465" i="5"/>
  <c r="L68" i="5"/>
  <c r="L180" i="5"/>
  <c r="L117" i="5"/>
  <c r="L307" i="5"/>
  <c r="L290" i="5"/>
  <c r="L308" i="5"/>
  <c r="L24" i="5"/>
  <c r="L348" i="5"/>
  <c r="L130" i="5"/>
  <c r="L26" i="5"/>
  <c r="L275" i="5"/>
  <c r="L489" i="5"/>
  <c r="L225" i="5"/>
  <c r="L648" i="5"/>
  <c r="L99" i="5"/>
  <c r="L335" i="5"/>
  <c r="L46" i="5"/>
  <c r="L81" i="5"/>
  <c r="L83" i="5"/>
  <c r="L204" i="5"/>
  <c r="L245" i="5"/>
  <c r="L499" i="5"/>
  <c r="L10" i="5"/>
  <c r="L156" i="5"/>
  <c r="L221" i="5"/>
  <c r="L329" i="5"/>
  <c r="L33" i="5"/>
  <c r="L114" i="5"/>
  <c r="L490" i="5"/>
  <c r="L37" i="5"/>
  <c r="L103" i="5"/>
  <c r="L70" i="5"/>
  <c r="L671" i="5"/>
  <c r="L350" i="5"/>
  <c r="L41" i="5"/>
  <c r="L145" i="5"/>
  <c r="L336" i="5"/>
  <c r="L39" i="5"/>
  <c r="L122" i="5"/>
  <c r="L56" i="5"/>
  <c r="L264" i="5"/>
  <c r="L45" i="5"/>
  <c r="L202" i="5"/>
  <c r="L183" i="5"/>
  <c r="L61" i="5"/>
  <c r="L398" i="5"/>
  <c r="L160" i="5"/>
  <c r="L311" i="5"/>
  <c r="L224" i="5"/>
  <c r="L469" i="5"/>
  <c r="L29" i="5"/>
  <c r="L222" i="5"/>
  <c r="L82" i="5"/>
  <c r="L274" i="5"/>
  <c r="L139" i="5"/>
  <c r="L195" i="5"/>
  <c r="L16" i="5"/>
  <c r="L292" i="5"/>
  <c r="L89" i="5"/>
  <c r="L238" i="5"/>
  <c r="L92" i="5"/>
  <c r="L96" i="5"/>
  <c r="L106" i="5"/>
  <c r="L148" i="5"/>
  <c r="L123" i="5"/>
  <c r="L393" i="5"/>
  <c r="L338" i="5"/>
  <c r="L254" i="5"/>
  <c r="L7" i="5"/>
  <c r="L21" i="5"/>
  <c r="L216" i="5"/>
  <c r="L214" i="5"/>
  <c r="L141" i="5"/>
  <c r="L108" i="5"/>
  <c r="L213" i="5"/>
  <c r="L48" i="5"/>
  <c r="L120" i="5"/>
  <c r="L163" i="5"/>
  <c r="L32" i="5"/>
  <c r="L80" i="5"/>
  <c r="L135" i="5"/>
  <c r="L149" i="5"/>
  <c r="L178" i="5"/>
  <c r="L98" i="5"/>
  <c r="L174" i="5"/>
  <c r="L30" i="5"/>
  <c r="L206" i="5"/>
  <c r="Q4" i="5" l="1"/>
  <c r="Q7" i="5"/>
  <c r="Q5" i="5"/>
  <c r="Q6" i="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FA54F1-8494-4667-B2FB-8EE1C5061E8E}" keepAlive="1" name="Requête - CLIENTS_CHURN" description="Connexion à la requête « CLIENTS_CHURN » dans le classeur." type="5" refreshedVersion="7" background="1" saveData="1">
    <dbPr connection="Provider=Microsoft.Mashup.OleDb.1;Data Source=$Workbook$;Location=CLIENTS_CHURN;Extended Properties=&quot;&quot;" command="SELECT * FROM [CLIENTS_CHURN]"/>
  </connection>
  <connection id="2" xr16:uid="{09BE37F1-B60D-43CC-8180-6A0686BB0EFC}" keepAlive="1" name="Requête - CLIENTS_CHURN (2)" description="Connexion à la requête « CLIENTS_CHURN (2) » dans le classeur." type="5" refreshedVersion="7" background="1" saveData="1">
    <dbPr connection="Provider=Microsoft.Mashup.OleDb.1;Data Source=$Workbook$;Location=&quot;CLIENTS_CHURN (2)&quot;;Extended Properties=&quot;&quot;" command="SELECT * FROM [CLIENTS_CHURN (2)]"/>
  </connection>
  <connection id="3" xr16:uid="{DB7558CC-7504-4CF4-8B22-7534C44FC507}" keepAlive="1" name="Requête - CLIENTS_CHURN (3)" description="Connexion à la requête « CLIENTS_CHURN (3) » dans le classeur." type="5" refreshedVersion="7" background="1" saveData="1">
    <dbPr connection="Provider=Microsoft.Mashup.OleDb.1;Data Source=$Workbook$;Location=&quot;CLIENTS_CHURN (3)&quot;;Extended Properties=&quot;&quot;" command="SELECT * FROM [CLIENTS_CHURN (3)]"/>
  </connection>
  <connection id="4" xr16:uid="{B8E40D6B-02E5-410F-8C07-159ABAB28CDD}" keepAlive="1" name="Requête - CLIENTS_CHURN (4)" description="Connexion à la requête « CLIENTS_CHURN (4) » dans le classeur." type="5" refreshedVersion="7" background="1" saveData="1">
    <dbPr connection="Provider=Microsoft.Mashup.OleDb.1;Data Source=$Workbook$;Location=&quot;CLIENTS_CHURN (4)&quot;;Extended Properties=&quot;&quot;" command="SELECT * FROM [CLIENTS_CHURN (4)]"/>
  </connection>
  <connection id="5" xr16:uid="{24DA4286-28AF-4482-B873-6E980FF9460A}" keepAlive="1" name="Requête - Exemple de fichier" description="Connexion à la requête « Exemple de fichier » dans le classeur." type="5" refreshedVersion="0" background="1">
    <dbPr connection="Provider=Microsoft.Mashup.OleDb.1;Data Source=$Workbook$;Location=&quot;Exemple de fichier&quot;;Extended Properties=&quot;&quot;" command="SELECT * FROM [Exemple de fichier]"/>
  </connection>
  <connection id="6" xr16:uid="{98669C96-537B-4128-901C-7F0FC78ADCEB}" keepAlive="1" name="Requête - Paramètre1" description="Connexion à la requête « Paramètre1 » dans le classeur." type="5" refreshedVersion="0" background="1">
    <dbPr connection="Provider=Microsoft.Mashup.OleDb.1;Data Source=$Workbook$;Location=Paramètre1;Extended Properties=&quot;&quot;" command="SELECT * FROM [Paramètre1]"/>
  </connection>
  <connection id="7" xr16:uid="{3D50A29C-04BE-48E5-AD92-D56E2459C54B}" keepAlive="1" name="Requête - Transformer le fichier" description="Connexion à la requête « Transformer le fichier » dans le classeur." type="5" refreshedVersion="0" background="1">
    <dbPr connection="Provider=Microsoft.Mashup.OleDb.1;Data Source=$Workbook$;Location=&quot;Transformer le fichier&quot;;Extended Properties=&quot;&quot;" command="SELECT * FROM [Transformer le fichier]"/>
  </connection>
  <connection id="8" xr16:uid="{40003C32-9B47-4AD1-A316-54F419C2703C}" keepAlive="1" name="Requête - Transformer l'exemple de fichier" description="Connexion à la requête « Transformer l'exemple de fichier » dans le classeur." type="5" refreshedVersion="0" background="1">
    <dbPr connection="Provider=Microsoft.Mashup.OleDb.1;Data Source=$Workbook$;Location=&quot;Transformer l'exemple de fichier&quot;;Extended Properties=&quot;&quot;" command="SELECT * FROM [Transformer l'exemple de fichier]"/>
  </connection>
</connections>
</file>

<file path=xl/sharedStrings.xml><?xml version="1.0" encoding="utf-8"?>
<sst xmlns="http://schemas.openxmlformats.org/spreadsheetml/2006/main" count="10457" uniqueCount="823">
  <si>
    <t>Source.Name</t>
  </si>
  <si>
    <t>ID_Client</t>
  </si>
  <si>
    <t>Province_Client</t>
  </si>
  <si>
    <t>Anciennete_Mois</t>
  </si>
  <si>
    <t>Type_Forfait</t>
  </si>
  <si>
    <t>Duree_Cumulee_Panne_Min</t>
  </si>
  <si>
    <t>Facture_Mensuelle</t>
  </si>
  <si>
    <t>Plaintes_Service_Client</t>
  </si>
  <si>
    <t>Clients_Churn_Part_01.xlsx</t>
  </si>
  <si>
    <t>CLI-01974</t>
  </si>
  <si>
    <t>Sud-Ubangi</t>
  </si>
  <si>
    <t>Pro Monde</t>
  </si>
  <si>
    <t>CLI-01972</t>
  </si>
  <si>
    <t>Kasai</t>
  </si>
  <si>
    <t>Bloqué 5Go</t>
  </si>
  <si>
    <t>CLI-01957</t>
  </si>
  <si>
    <t>Tshuapa</t>
  </si>
  <si>
    <t>CLI-01932</t>
  </si>
  <si>
    <t>Kwilu</t>
  </si>
  <si>
    <t>CLI-01855</t>
  </si>
  <si>
    <t>Sud-Kivu</t>
  </si>
  <si>
    <t>Illimité 50Go</t>
  </si>
  <si>
    <t>CLI-01845</t>
  </si>
  <si>
    <t>CLI-01837</t>
  </si>
  <si>
    <t>Kasai-Oriental</t>
  </si>
  <si>
    <t>CLI-01814</t>
  </si>
  <si>
    <t>Kwango</t>
  </si>
  <si>
    <t>CLI-01776</t>
  </si>
  <si>
    <t>CLI-01761</t>
  </si>
  <si>
    <t>Sankuru</t>
  </si>
  <si>
    <t>CLI-01746</t>
  </si>
  <si>
    <t>Kasai-Central</t>
  </si>
  <si>
    <t>Premium 5G 150Go</t>
  </si>
  <si>
    <t>CLI-01726</t>
  </si>
  <si>
    <t>CLI-01720</t>
  </si>
  <si>
    <t>CLI-01646</t>
  </si>
  <si>
    <t>Haut-Lomami</t>
  </si>
  <si>
    <t>CLI-01618</t>
  </si>
  <si>
    <t>Tanganyika</t>
  </si>
  <si>
    <t>CLI-01603</t>
  </si>
  <si>
    <t>Haut-Katanga</t>
  </si>
  <si>
    <t>CLI-01484</t>
  </si>
  <si>
    <t>CLI-01480</t>
  </si>
  <si>
    <t>Bas-Uele</t>
  </si>
  <si>
    <t>CLI-01376</t>
  </si>
  <si>
    <t>Kongo-Central</t>
  </si>
  <si>
    <t>CLI-01349</t>
  </si>
  <si>
    <t>CLI-01347</t>
  </si>
  <si>
    <t>CLI-01325</t>
  </si>
  <si>
    <t>CLI-01320</t>
  </si>
  <si>
    <t>CLI-01233</t>
  </si>
  <si>
    <t>CLI-01147</t>
  </si>
  <si>
    <t>Ituri</t>
  </si>
  <si>
    <t>CLI-01128</t>
  </si>
  <si>
    <t>CLI-00996</t>
  </si>
  <si>
    <t>CLI-00894</t>
  </si>
  <si>
    <t>CLI-00865</t>
  </si>
  <si>
    <t>Mongala</t>
  </si>
  <si>
    <t>CLI-00834</t>
  </si>
  <si>
    <t>CLI-00813</t>
  </si>
  <si>
    <t>CLI-00745</t>
  </si>
  <si>
    <t>Tshopo</t>
  </si>
  <si>
    <t>CLI-00643</t>
  </si>
  <si>
    <t>Equateur</t>
  </si>
  <si>
    <t>CLI-00611</t>
  </si>
  <si>
    <t>Kinshasa</t>
  </si>
  <si>
    <t>CLI-00569</t>
  </si>
  <si>
    <t>CLI-00559</t>
  </si>
  <si>
    <t>CLI-00530</t>
  </si>
  <si>
    <t>CLI-00414</t>
  </si>
  <si>
    <t>CLI-00361</t>
  </si>
  <si>
    <t>Mai-Ndombe</t>
  </si>
  <si>
    <t>CLI-00327</t>
  </si>
  <si>
    <t>CLI-00288</t>
  </si>
  <si>
    <t>CLI-00280</t>
  </si>
  <si>
    <t>CLI-00185</t>
  </si>
  <si>
    <t>Maniema</t>
  </si>
  <si>
    <t>CLI-00172</t>
  </si>
  <si>
    <t>CLI-00131</t>
  </si>
  <si>
    <t>Lomami</t>
  </si>
  <si>
    <t>CLI-00114</t>
  </si>
  <si>
    <t>CLI-00087</t>
  </si>
  <si>
    <t>CLI-00076</t>
  </si>
  <si>
    <t>CLI-00060</t>
  </si>
  <si>
    <t>CLI-00041</t>
  </si>
  <si>
    <t>Clients_Churn_Part_02.xlsx</t>
  </si>
  <si>
    <t>CLI-00115</t>
  </si>
  <si>
    <t>CLI-00219</t>
  </si>
  <si>
    <t>CLI-00230</t>
  </si>
  <si>
    <t>CLI-00248</t>
  </si>
  <si>
    <t>CLI-00251</t>
  </si>
  <si>
    <t>CLI-00296</t>
  </si>
  <si>
    <t>Nord-Ubangi</t>
  </si>
  <si>
    <t>CLI-00359</t>
  </si>
  <si>
    <t>CLI-00439</t>
  </si>
  <si>
    <t>Haut-Uele</t>
  </si>
  <si>
    <t>CLI-00447</t>
  </si>
  <si>
    <t>CLI-00484</t>
  </si>
  <si>
    <t>CLI-00488</t>
  </si>
  <si>
    <t>CLI-00516</t>
  </si>
  <si>
    <t>CLI-00521</t>
  </si>
  <si>
    <t>CLI-00563</t>
  </si>
  <si>
    <t>CLI-00642</t>
  </si>
  <si>
    <t>CLI-00675</t>
  </si>
  <si>
    <t>CLI-00768</t>
  </si>
  <si>
    <t>CLI-00799</t>
  </si>
  <si>
    <t>CLI-00837</t>
  </si>
  <si>
    <t>Nord-Kivu</t>
  </si>
  <si>
    <t>CLI-00867</t>
  </si>
  <si>
    <t>CLI-00901</t>
  </si>
  <si>
    <t>CLI-01005</t>
  </si>
  <si>
    <t>Lualaba</t>
  </si>
  <si>
    <t>CLI-01017</t>
  </si>
  <si>
    <t>CLI-01025</t>
  </si>
  <si>
    <t>CLI-01069</t>
  </si>
  <si>
    <t>CLI-01076</t>
  </si>
  <si>
    <t>CLI-01093</t>
  </si>
  <si>
    <t>CLI-01170</t>
  </si>
  <si>
    <t>CLI-01189</t>
  </si>
  <si>
    <t>CLI-01197</t>
  </si>
  <si>
    <t>CLI-01208</t>
  </si>
  <si>
    <t>CLI-01229</t>
  </si>
  <si>
    <t>CLI-01361</t>
  </si>
  <si>
    <t>CLI-01505</t>
  </si>
  <si>
    <t>CLI-01510</t>
  </si>
  <si>
    <t>CLI-01524</t>
  </si>
  <si>
    <t>CLI-01533</t>
  </si>
  <si>
    <t>CLI-01584</t>
  </si>
  <si>
    <t>CLI-01588</t>
  </si>
  <si>
    <t>CLI-01651</t>
  </si>
  <si>
    <t>CLI-01653</t>
  </si>
  <si>
    <t>CLI-01698</t>
  </si>
  <si>
    <t>CLI-01705</t>
  </si>
  <si>
    <t>CLI-01768</t>
  </si>
  <si>
    <t>CLI-01812</t>
  </si>
  <si>
    <t>CLI-01908</t>
  </si>
  <si>
    <t>CLI-01911</t>
  </si>
  <si>
    <t>CLI-01916</t>
  </si>
  <si>
    <t>CLI-01950</t>
  </si>
  <si>
    <t>CLI-01964</t>
  </si>
  <si>
    <t>Clients_Churn_Part_03.xlsx</t>
  </si>
  <si>
    <t>CLI-00017</t>
  </si>
  <si>
    <t>CLI-00044</t>
  </si>
  <si>
    <t>CLI-00072</t>
  </si>
  <si>
    <t>CLI-00112</t>
  </si>
  <si>
    <t>CLI-00232</t>
  </si>
  <si>
    <t>CLI-00250</t>
  </si>
  <si>
    <t>CLI-00297</t>
  </si>
  <si>
    <t>CLI-00485</t>
  </si>
  <si>
    <t>CLI-00491</t>
  </si>
  <si>
    <t>CLI-00505</t>
  </si>
  <si>
    <t>CLI-00519</t>
  </si>
  <si>
    <t>CLI-00632</t>
  </si>
  <si>
    <t>CLI-00634</t>
  </si>
  <si>
    <t>CLI-00649</t>
  </si>
  <si>
    <t>CLI-00744</t>
  </si>
  <si>
    <t>CLI-00754</t>
  </si>
  <si>
    <t>CLI-00788</t>
  </si>
  <si>
    <t>CLI-00796</t>
  </si>
  <si>
    <t>CLI-00868</t>
  </si>
  <si>
    <t>CLI-00907</t>
  </si>
  <si>
    <t>CLI-00973</t>
  </si>
  <si>
    <t>CLI-00974</t>
  </si>
  <si>
    <t>CLI-01096</t>
  </si>
  <si>
    <t>CLI-01118</t>
  </si>
  <si>
    <t>CLI-01132</t>
  </si>
  <si>
    <t>CLI-01241</t>
  </si>
  <si>
    <t>CLI-01309</t>
  </si>
  <si>
    <t>CLI-01322</t>
  </si>
  <si>
    <t>CLI-01357</t>
  </si>
  <si>
    <t>CLI-01399</t>
  </si>
  <si>
    <t>CLI-01404</t>
  </si>
  <si>
    <t>CLI-01415</t>
  </si>
  <si>
    <t>CLI-01433</t>
  </si>
  <si>
    <t>CLI-01435</t>
  </si>
  <si>
    <t>CLI-01466</t>
  </si>
  <si>
    <t>CLI-01515</t>
  </si>
  <si>
    <t>CLI-01607</t>
  </si>
  <si>
    <t>CLI-01616</t>
  </si>
  <si>
    <t>CLI-01637</t>
  </si>
  <si>
    <t>CLI-01664</t>
  </si>
  <si>
    <t>CLI-01683</t>
  </si>
  <si>
    <t>CLI-01724</t>
  </si>
  <si>
    <t>CLI-01757</t>
  </si>
  <si>
    <t>CLI-01802</t>
  </si>
  <si>
    <t>CLI-01850</t>
  </si>
  <si>
    <t>CLI-01854</t>
  </si>
  <si>
    <t>CLI-01888</t>
  </si>
  <si>
    <t>CLI-01960</t>
  </si>
  <si>
    <t>CLI-01967</t>
  </si>
  <si>
    <t>CLI-01986</t>
  </si>
  <si>
    <t>Clients_Churn_Part_04.xlsx</t>
  </si>
  <si>
    <t>CLI-00070</t>
  </si>
  <si>
    <t>CLI-00136</t>
  </si>
  <si>
    <t>CLI-00165</t>
  </si>
  <si>
    <t>CLI-00206</t>
  </si>
  <si>
    <t>CLI-00329</t>
  </si>
  <si>
    <t>CLI-00431</t>
  </si>
  <si>
    <t>CLI-00483</t>
  </si>
  <si>
    <t>CLI-00524</t>
  </si>
  <si>
    <t>CLI-00535</t>
  </si>
  <si>
    <t>CLI-00562</t>
  </si>
  <si>
    <t>CLI-00610</t>
  </si>
  <si>
    <t>CLI-00617</t>
  </si>
  <si>
    <t>CLI-00650</t>
  </si>
  <si>
    <t>CLI-00682</t>
  </si>
  <si>
    <t>CLI-00721</t>
  </si>
  <si>
    <t>CLI-00805</t>
  </si>
  <si>
    <t>CLI-00833</t>
  </si>
  <si>
    <t>CLI-00846</t>
  </si>
  <si>
    <t>CLI-00862</t>
  </si>
  <si>
    <t>CLI-00866</t>
  </si>
  <si>
    <t>CLI-00899</t>
  </si>
  <si>
    <t>CLI-00965</t>
  </si>
  <si>
    <t>CLI-01007</t>
  </si>
  <si>
    <t>CLI-01037</t>
  </si>
  <si>
    <t>CLI-01122</t>
  </si>
  <si>
    <t>CLI-01234</t>
  </si>
  <si>
    <t>CLI-01294</t>
  </si>
  <si>
    <t>CLI-01431</t>
  </si>
  <si>
    <t>CLI-01470</t>
  </si>
  <si>
    <t>CLI-01494</t>
  </si>
  <si>
    <t>CLI-01550</t>
  </si>
  <si>
    <t>CLI-01571</t>
  </si>
  <si>
    <t>CLI-01597</t>
  </si>
  <si>
    <t>CLI-01617</t>
  </si>
  <si>
    <t>CLI-01666</t>
  </si>
  <si>
    <t>CLI-01680</t>
  </si>
  <si>
    <t>CLI-01685</t>
  </si>
  <si>
    <t>CLI-01686</t>
  </si>
  <si>
    <t>CLI-01689</t>
  </si>
  <si>
    <t>CLI-01723</t>
  </si>
  <si>
    <t>CLI-01775</t>
  </si>
  <si>
    <t>CLI-01796</t>
  </si>
  <si>
    <t>CLI-01824</t>
  </si>
  <si>
    <t>CLI-01839</t>
  </si>
  <si>
    <t>CLI-01860</t>
  </si>
  <si>
    <t>CLI-01891</t>
  </si>
  <si>
    <t>CLI-01923</t>
  </si>
  <si>
    <t>CLI-01933</t>
  </si>
  <si>
    <t>CLI-01973</t>
  </si>
  <si>
    <t>CLI-01982</t>
  </si>
  <si>
    <t>Clients_Churn_Part_05.xlsx</t>
  </si>
  <si>
    <t>CLI-00007</t>
  </si>
  <si>
    <t>CLI-00057</t>
  </si>
  <si>
    <t>CLI-00107</t>
  </si>
  <si>
    <t>CLI-00169</t>
  </si>
  <si>
    <t>CLI-00227</t>
  </si>
  <si>
    <t>CLI-00267</t>
  </si>
  <si>
    <t>CLI-00274</t>
  </si>
  <si>
    <t>CLI-00279</t>
  </si>
  <si>
    <t>CLI-00324</t>
  </si>
  <si>
    <t>CLI-00356</t>
  </si>
  <si>
    <t>CLI-00377</t>
  </si>
  <si>
    <t>CLI-00410</t>
  </si>
  <si>
    <t>CLI-00512</t>
  </si>
  <si>
    <t>CLI-00534</t>
  </si>
  <si>
    <t>CLI-00626</t>
  </si>
  <si>
    <t>CLI-00655</t>
  </si>
  <si>
    <t>CLI-00670</t>
  </si>
  <si>
    <t>CLI-00671</t>
  </si>
  <si>
    <t>CLI-00821</t>
  </si>
  <si>
    <t>CLI-00841</t>
  </si>
  <si>
    <t>CLI-00909</t>
  </si>
  <si>
    <t>CLI-00925</t>
  </si>
  <si>
    <t>CLI-00929</t>
  </si>
  <si>
    <t>CLI-00980</t>
  </si>
  <si>
    <t>CLI-01058</t>
  </si>
  <si>
    <t>CLI-01180</t>
  </si>
  <si>
    <t>CLI-01215</t>
  </si>
  <si>
    <t>CLI-01217</t>
  </si>
  <si>
    <t>CLI-01287</t>
  </si>
  <si>
    <t>CLI-01291</t>
  </si>
  <si>
    <t>CLI-01313</t>
  </si>
  <si>
    <t>CLI-01314</t>
  </si>
  <si>
    <t>CLI-01330</t>
  </si>
  <si>
    <t>CLI-01405</t>
  </si>
  <si>
    <t>CLI-01408</t>
  </si>
  <si>
    <t>CLI-01424</t>
  </si>
  <si>
    <t>CLI-01462</t>
  </si>
  <si>
    <t>CLI-01506</t>
  </si>
  <si>
    <t>CLI-01511</t>
  </si>
  <si>
    <t>CLI-01561</t>
  </si>
  <si>
    <t>CLI-01563</t>
  </si>
  <si>
    <t>CLI-01573</t>
  </si>
  <si>
    <t>CLI-01621</t>
  </si>
  <si>
    <t>CLI-01624</t>
  </si>
  <si>
    <t>CLI-01638</t>
  </si>
  <si>
    <t>CLI-01694</t>
  </si>
  <si>
    <t>CLI-01702</t>
  </si>
  <si>
    <t>CLI-01735</t>
  </si>
  <si>
    <t>CLI-01793</t>
  </si>
  <si>
    <t>CLI-01970</t>
  </si>
  <si>
    <t>Clients_Churn_Part_06.xlsx</t>
  </si>
  <si>
    <t>CLI-00029</t>
  </si>
  <si>
    <t>CLI-00043</t>
  </si>
  <si>
    <t>CLI-00048</t>
  </si>
  <si>
    <t>CLI-00102</t>
  </si>
  <si>
    <t>CLI-00173</t>
  </si>
  <si>
    <t>CLI-00183</t>
  </si>
  <si>
    <t>CLI-00241</t>
  </si>
  <si>
    <t>CLI-00243</t>
  </si>
  <si>
    <t>CLI-00306</t>
  </si>
  <si>
    <t>CLI-00346</t>
  </si>
  <si>
    <t>CLI-00349</t>
  </si>
  <si>
    <t>CLI-00373</t>
  </si>
  <si>
    <t>CLI-00391</t>
  </si>
  <si>
    <t>CLI-00407</t>
  </si>
  <si>
    <t>CLI-00417</t>
  </si>
  <si>
    <t>CLI-00460</t>
  </si>
  <si>
    <t>CLI-00469</t>
  </si>
  <si>
    <t>CLI-00533</t>
  </si>
  <si>
    <t>CLI-00537</t>
  </si>
  <si>
    <t>CLI-00578</t>
  </si>
  <si>
    <t>CLI-00753</t>
  </si>
  <si>
    <t>CLI-00773</t>
  </si>
  <si>
    <t>CLI-00806</t>
  </si>
  <si>
    <t>CLI-00822</t>
  </si>
  <si>
    <t>CLI-00849</t>
  </si>
  <si>
    <t>CLI-00879</t>
  </si>
  <si>
    <t>CLI-00892</t>
  </si>
  <si>
    <t>CLI-00930</t>
  </si>
  <si>
    <t>CLI-00948</t>
  </si>
  <si>
    <t>CLI-01013</t>
  </si>
  <si>
    <t>CLI-01077</t>
  </si>
  <si>
    <t>CLI-01144</t>
  </si>
  <si>
    <t>CLI-01162</t>
  </si>
  <si>
    <t>CLI-01169</t>
  </si>
  <si>
    <t>CLI-01230</t>
  </si>
  <si>
    <t>CLI-01254</t>
  </si>
  <si>
    <t>CLI-01266</t>
  </si>
  <si>
    <t>CLI-01284</t>
  </si>
  <si>
    <t>CLI-01326</t>
  </si>
  <si>
    <t>CLI-01380</t>
  </si>
  <si>
    <t>CLI-01437</t>
  </si>
  <si>
    <t>CLI-01472</t>
  </si>
  <si>
    <t>CLI-01695</t>
  </si>
  <si>
    <t>CLI-01710</t>
  </si>
  <si>
    <t>CLI-01732</t>
  </si>
  <si>
    <t>CLI-01740</t>
  </si>
  <si>
    <t>CLI-01749</t>
  </si>
  <si>
    <t>CLI-01773</t>
  </si>
  <si>
    <t>CLI-01885</t>
  </si>
  <si>
    <t>CLI-01929</t>
  </si>
  <si>
    <t>Clients_Churn_Part_07.xlsx</t>
  </si>
  <si>
    <t>CLI-00022</t>
  </si>
  <si>
    <t>CLI-00059</t>
  </si>
  <si>
    <t>CLI-00176</t>
  </si>
  <si>
    <t>CLI-00273</t>
  </si>
  <si>
    <t>CLI-00299</t>
  </si>
  <si>
    <t>CLI-00370</t>
  </si>
  <si>
    <t>CLI-00388</t>
  </si>
  <si>
    <t>CLI-00424</t>
  </si>
  <si>
    <t>CLI-00435</t>
  </si>
  <si>
    <t>CLI-00442</t>
  </si>
  <si>
    <t>CLI-00509</t>
  </si>
  <si>
    <t>CLI-00525</t>
  </si>
  <si>
    <t>CLI-00546</t>
  </si>
  <si>
    <t>CLI-00580</t>
  </si>
  <si>
    <t>CLI-00590</t>
  </si>
  <si>
    <t>CLI-00595</t>
  </si>
  <si>
    <t>CLI-00663</t>
  </si>
  <si>
    <t>CLI-00758</t>
  </si>
  <si>
    <t>CLI-00783</t>
  </si>
  <si>
    <t>CLI-00786</t>
  </si>
  <si>
    <t>CLI-00815</t>
  </si>
  <si>
    <t>CLI-00857</t>
  </si>
  <si>
    <t>CLI-00884</t>
  </si>
  <si>
    <t>CLI-00924</t>
  </si>
  <si>
    <t>CLI-00939</t>
  </si>
  <si>
    <t>CLI-00961</t>
  </si>
  <si>
    <t>CLI-01194</t>
  </si>
  <si>
    <t>CLI-01224</t>
  </si>
  <si>
    <t>CLI-01387</t>
  </si>
  <si>
    <t>CLI-01402</t>
  </si>
  <si>
    <t>CLI-01407</t>
  </si>
  <si>
    <t>CLI-01420</t>
  </si>
  <si>
    <t>CLI-01451</t>
  </si>
  <si>
    <t>CLI-01461</t>
  </si>
  <si>
    <t>CLI-01489</t>
  </si>
  <si>
    <t>CLI-01508</t>
  </si>
  <si>
    <t>CLI-01529</t>
  </si>
  <si>
    <t>CLI-01602</t>
  </si>
  <si>
    <t>CLI-01623</t>
  </si>
  <si>
    <t>CLI-01688</t>
  </si>
  <si>
    <t>CLI-01706</t>
  </si>
  <si>
    <t>CLI-01729</t>
  </si>
  <si>
    <t>CLI-01736</t>
  </si>
  <si>
    <t>CLI-01835</t>
  </si>
  <si>
    <t>CLI-01844</t>
  </si>
  <si>
    <t>CLI-01877</t>
  </si>
  <si>
    <t>CLI-01906</t>
  </si>
  <si>
    <t>CLI-01917</t>
  </si>
  <si>
    <t>CLI-01931</t>
  </si>
  <si>
    <t>CLI-01938</t>
  </si>
  <si>
    <t>Clients_Churn_Part_08.xlsx</t>
  </si>
  <si>
    <t>CLI-00011</t>
  </si>
  <si>
    <t>CLI-00085</t>
  </si>
  <si>
    <t>CLI-00091</t>
  </si>
  <si>
    <t>CLI-00094</t>
  </si>
  <si>
    <t>CLI-00121</t>
  </si>
  <si>
    <t>CLI-00150</t>
  </si>
  <si>
    <t>CLI-00184</t>
  </si>
  <si>
    <t>CLI-00196</t>
  </si>
  <si>
    <t>CLI-00240</t>
  </si>
  <si>
    <t>CLI-00262</t>
  </si>
  <si>
    <t>CLI-00271</t>
  </si>
  <si>
    <t>CLI-00291</t>
  </si>
  <si>
    <t>CLI-00348</t>
  </si>
  <si>
    <t>CLI-00368</t>
  </si>
  <si>
    <t>CLI-00481</t>
  </si>
  <si>
    <t>CLI-00520</t>
  </si>
  <si>
    <t>CLI-00576</t>
  </si>
  <si>
    <t>CLI-00620</t>
  </si>
  <si>
    <t>CLI-00695</t>
  </si>
  <si>
    <t>CLI-00726</t>
  </si>
  <si>
    <t>CLI-00760</t>
  </si>
  <si>
    <t>CLI-00781</t>
  </si>
  <si>
    <t>CLI-00809</t>
  </si>
  <si>
    <t>CLI-00887</t>
  </si>
  <si>
    <t>CLI-00959</t>
  </si>
  <si>
    <t>CLI-01010</t>
  </si>
  <si>
    <t>CLI-01023</t>
  </si>
  <si>
    <t>CLI-01032</t>
  </si>
  <si>
    <t>CLI-01034</t>
  </si>
  <si>
    <t>CLI-01087</t>
  </si>
  <si>
    <t>CLI-01141</t>
  </si>
  <si>
    <t>CLI-01146</t>
  </si>
  <si>
    <t>CLI-01226</t>
  </si>
  <si>
    <t>CLI-01242</t>
  </si>
  <si>
    <t>CLI-01270</t>
  </si>
  <si>
    <t>CLI-01374</t>
  </si>
  <si>
    <t>CLI-01375</t>
  </si>
  <si>
    <t>CLI-01454</t>
  </si>
  <si>
    <t>CLI-01455</t>
  </si>
  <si>
    <t>CLI-01532</t>
  </si>
  <si>
    <t>76,95€</t>
  </si>
  <si>
    <t>CLI-01626</t>
  </si>
  <si>
    <t>CLI-01788</t>
  </si>
  <si>
    <t>CLI-01794</t>
  </si>
  <si>
    <t>CLI-01818</t>
  </si>
  <si>
    <t>CLI-01822</t>
  </si>
  <si>
    <t>CLI-01836</t>
  </si>
  <si>
    <t>CLI-01880</t>
  </si>
  <si>
    <t>CLI-01920</t>
  </si>
  <si>
    <t>CLI-01927</t>
  </si>
  <si>
    <t>CLI-01940</t>
  </si>
  <si>
    <t>Clients_Churn_Part_09.xlsx</t>
  </si>
  <si>
    <t>CLI-00074</t>
  </si>
  <si>
    <t>CLI-00084</t>
  </si>
  <si>
    <t>CLI-00109</t>
  </si>
  <si>
    <t>CLI-00192</t>
  </si>
  <si>
    <t>CLI-00231</t>
  </si>
  <si>
    <t>CLI-00238</t>
  </si>
  <si>
    <t>CLI-00254</t>
  </si>
  <si>
    <t>CLI-00304</t>
  </si>
  <si>
    <t>CLI-00305</t>
  </si>
  <si>
    <t>CLI-00310</t>
  </si>
  <si>
    <t>CLI-00335</t>
  </si>
  <si>
    <t>CLI-00338</t>
  </si>
  <si>
    <t>CLI-00376</t>
  </si>
  <si>
    <t>CLI-00387</t>
  </si>
  <si>
    <t>CLI-00418</t>
  </si>
  <si>
    <t>CLI-00471</t>
  </si>
  <si>
    <t>CLI-00540</t>
  </si>
  <si>
    <t>97,5€</t>
  </si>
  <si>
    <t>CLI-00541</t>
  </si>
  <si>
    <t>CLI-00647</t>
  </si>
  <si>
    <t>CLI-00716</t>
  </si>
  <si>
    <t>CLI-00731</t>
  </si>
  <si>
    <t>CLI-00739</t>
  </si>
  <si>
    <t>CLI-00881</t>
  </si>
  <si>
    <t>CLI-00893</t>
  </si>
  <si>
    <t>CLI-00902</t>
  </si>
  <si>
    <t>CLI-00905</t>
  </si>
  <si>
    <t>CLI-00938</t>
  </si>
  <si>
    <t>CLI-00957</t>
  </si>
  <si>
    <t>CLI-00964</t>
  </si>
  <si>
    <t>CLI-00994</t>
  </si>
  <si>
    <t>CLI-01014</t>
  </si>
  <si>
    <t>CLI-01059</t>
  </si>
  <si>
    <t>CLI-01139</t>
  </si>
  <si>
    <t>CLI-01149</t>
  </si>
  <si>
    <t>CLI-01256</t>
  </si>
  <si>
    <t>CLI-01304</t>
  </si>
  <si>
    <t>CLI-01446</t>
  </si>
  <si>
    <t>CLI-01453</t>
  </si>
  <si>
    <t>CLI-01475</t>
  </si>
  <si>
    <t>CLI-01560</t>
  </si>
  <si>
    <t>CLI-01565</t>
  </si>
  <si>
    <t>CLI-01606</t>
  </si>
  <si>
    <t>CLI-01687</t>
  </si>
  <si>
    <t>CLI-01721</t>
  </si>
  <si>
    <t>CLI-01821</t>
  </si>
  <si>
    <t>CLI-01823</t>
  </si>
  <si>
    <t>CLI-01873</t>
  </si>
  <si>
    <t>CLI-01959</t>
  </si>
  <si>
    <t>CLI-01988</t>
  </si>
  <si>
    <t>CLI-01999</t>
  </si>
  <si>
    <t>Clients_Churn_Part_10.xlsx</t>
  </si>
  <si>
    <t>CLI-00009</t>
  </si>
  <si>
    <t>CLI-00012</t>
  </si>
  <si>
    <t>CLI-00054</t>
  </si>
  <si>
    <t>CLI-00090</t>
  </si>
  <si>
    <t>CLI-00158</t>
  </si>
  <si>
    <t>CLI-00167</t>
  </si>
  <si>
    <t>CLI-00194</t>
  </si>
  <si>
    <t>CLI-00218</t>
  </si>
  <si>
    <t>CLI-00315</t>
  </si>
  <si>
    <t>CLI-00345</t>
  </si>
  <si>
    <t>CLI-00552</t>
  </si>
  <si>
    <t>CLI-00582</t>
  </si>
  <si>
    <t>CLI-00583</t>
  </si>
  <si>
    <t>CLI-00674</t>
  </si>
  <si>
    <t>CLI-00766</t>
  </si>
  <si>
    <t>CLI-00808</t>
  </si>
  <si>
    <t>CLI-00853</t>
  </si>
  <si>
    <t>CLI-00928</t>
  </si>
  <si>
    <t>CLI-00943</t>
  </si>
  <si>
    <t>CLI-00983</t>
  </si>
  <si>
    <t>CLI-01021</t>
  </si>
  <si>
    <t>CLI-01042</t>
  </si>
  <si>
    <t>CLI-01078</t>
  </si>
  <si>
    <t>CLI-01154</t>
  </si>
  <si>
    <t>CLI-01196</t>
  </si>
  <si>
    <t>CLI-01200</t>
  </si>
  <si>
    <t>CLI-01210</t>
  </si>
  <si>
    <t>CLI-01275</t>
  </si>
  <si>
    <t>CLI-01344</t>
  </si>
  <si>
    <t>CLI-01348</t>
  </si>
  <si>
    <t>58,74€</t>
  </si>
  <si>
    <t>CLI-01351</t>
  </si>
  <si>
    <t>CLI-01359</t>
  </si>
  <si>
    <t>CLI-01394</t>
  </si>
  <si>
    <t>CLI-01396</t>
  </si>
  <si>
    <t>CLI-01450</t>
  </si>
  <si>
    <t>CLI-01536</t>
  </si>
  <si>
    <t>CLI-01549</t>
  </si>
  <si>
    <t>CLI-01658</t>
  </si>
  <si>
    <t>CLI-01662</t>
  </si>
  <si>
    <t>CLI-01682</t>
  </si>
  <si>
    <t>CLI-01709</t>
  </si>
  <si>
    <t>CLI-01741</t>
  </si>
  <si>
    <t>CLI-01766</t>
  </si>
  <si>
    <t>CLI-01782</t>
  </si>
  <si>
    <t>CLI-01846</t>
  </si>
  <si>
    <t>CLI-01858</t>
  </si>
  <si>
    <t>CLI-01893</t>
  </si>
  <si>
    <t>CLI-01926</t>
  </si>
  <si>
    <t>CLI-01990</t>
  </si>
  <si>
    <t>CLI-01992</t>
  </si>
  <si>
    <t>Clients_Churn_Part_11.xlsx</t>
  </si>
  <si>
    <t>CLI-00100</t>
  </si>
  <si>
    <t>CLI-00145</t>
  </si>
  <si>
    <t>CLI-00190</t>
  </si>
  <si>
    <t>CLI-00197</t>
  </si>
  <si>
    <t>CLI-00247</t>
  </si>
  <si>
    <t>CLI-00265</t>
  </si>
  <si>
    <t>CLI-00269</t>
  </si>
  <si>
    <t>CLI-00316</t>
  </si>
  <si>
    <t>CLI-00334</t>
  </si>
  <si>
    <t>CLI-00365</t>
  </si>
  <si>
    <t>CLI-00427</t>
  </si>
  <si>
    <t>CLI-00433</t>
  </si>
  <si>
    <t>CLI-00492</t>
  </si>
  <si>
    <t>CLI-00523</t>
  </si>
  <si>
    <t>CLI-00550</t>
  </si>
  <si>
    <t>CLI-00584</t>
  </si>
  <si>
    <t>CLI-00612</t>
  </si>
  <si>
    <t>CLI-00636</t>
  </si>
  <si>
    <t>CLI-00662</t>
  </si>
  <si>
    <t>CLI-00666</t>
  </si>
  <si>
    <t>CLI-00736</t>
  </si>
  <si>
    <t>CLI-00782</t>
  </si>
  <si>
    <t>CLI-00795</t>
  </si>
  <si>
    <t>CLI-00817</t>
  </si>
  <si>
    <t>CLI-00825</t>
  </si>
  <si>
    <t>CLI-00886</t>
  </si>
  <si>
    <t>CLI-00913</t>
  </si>
  <si>
    <t>CLI-00976</t>
  </si>
  <si>
    <t>CLI-01003</t>
  </si>
  <si>
    <t>CLI-01006</t>
  </si>
  <si>
    <t>CLI-01050</t>
  </si>
  <si>
    <t>CLI-01121</t>
  </si>
  <si>
    <t>CLI-01166</t>
  </si>
  <si>
    <t>CLI-01236</t>
  </si>
  <si>
    <t>CLI-01319</t>
  </si>
  <si>
    <t>CLI-01340</t>
  </si>
  <si>
    <t>CLI-01363</t>
  </si>
  <si>
    <t>CLI-01403</t>
  </si>
  <si>
    <t>CLI-01485</t>
  </si>
  <si>
    <t>CLI-01499</t>
  </si>
  <si>
    <t>CLI-01544</t>
  </si>
  <si>
    <t>CLI-01598</t>
  </si>
  <si>
    <t>CLI-01668</t>
  </si>
  <si>
    <t>CLI-01719</t>
  </si>
  <si>
    <t>CLI-01739</t>
  </si>
  <si>
    <t>CLI-01783</t>
  </si>
  <si>
    <t>CLI-01804</t>
  </si>
  <si>
    <t>CLI-01852</t>
  </si>
  <si>
    <t>CLI-01979</t>
  </si>
  <si>
    <t>CLI-01981</t>
  </si>
  <si>
    <t>Clients_Churn_Part_12.xlsx</t>
  </si>
  <si>
    <t>CLI-00083</t>
  </si>
  <si>
    <t>CLI-00093</t>
  </si>
  <si>
    <t>CLI-00098</t>
  </si>
  <si>
    <t>CLI-00157</t>
  </si>
  <si>
    <t>CLI-00163</t>
  </si>
  <si>
    <t>CLI-00191</t>
  </si>
  <si>
    <t>CLI-00221</t>
  </si>
  <si>
    <t>CLI-00318</t>
  </si>
  <si>
    <t>CLI-00382</t>
  </si>
  <si>
    <t>CLI-00510</t>
  </si>
  <si>
    <t>CLI-00596</t>
  </si>
  <si>
    <t>CLI-00606</t>
  </si>
  <si>
    <t>CLI-00616</t>
  </si>
  <si>
    <t>CLI-00700</t>
  </si>
  <si>
    <t>CLI-00755</t>
  </si>
  <si>
    <t>CLI-00871</t>
  </si>
  <si>
    <t>CLI-00873</t>
  </si>
  <si>
    <t>CLI-00876</t>
  </si>
  <si>
    <t>CLI-00890</t>
  </si>
  <si>
    <t>CLI-00896</t>
  </si>
  <si>
    <t>CLI-00950</t>
  </si>
  <si>
    <t>CLI-00979</t>
  </si>
  <si>
    <t>CLI-01015</t>
  </si>
  <si>
    <t>CLI-01046</t>
  </si>
  <si>
    <t>CLI-01052</t>
  </si>
  <si>
    <t>CLI-01072</t>
  </si>
  <si>
    <t>CLI-01075</t>
  </si>
  <si>
    <t>CLI-01080</t>
  </si>
  <si>
    <t>CLI-01129</t>
  </si>
  <si>
    <t>CLI-01165</t>
  </si>
  <si>
    <t>CLI-01258</t>
  </si>
  <si>
    <t>CLI-01290</t>
  </si>
  <si>
    <t>CLI-01292</t>
  </si>
  <si>
    <t>CLI-01327</t>
  </si>
  <si>
    <t>CLI-01386</t>
  </si>
  <si>
    <t>CLI-01406</t>
  </si>
  <si>
    <t>CLI-01419</t>
  </si>
  <si>
    <t>CLI-01438</t>
  </si>
  <si>
    <t>CLI-01473</t>
  </si>
  <si>
    <t>CLI-01578</t>
  </si>
  <si>
    <t>CLI-01604</t>
  </si>
  <si>
    <t>CLI-01654</t>
  </si>
  <si>
    <t>CLI-01669</t>
  </si>
  <si>
    <t>CLI-01704</t>
  </si>
  <si>
    <t>CLI-01722</t>
  </si>
  <si>
    <t>CLI-01816</t>
  </si>
  <si>
    <t>CLI-01820</t>
  </si>
  <si>
    <t>CLI-01847</t>
  </si>
  <si>
    <t>CLI-01871</t>
  </si>
  <si>
    <t>CLI-01971</t>
  </si>
  <si>
    <t>Clients_Churn_Part_13.xlsx</t>
  </si>
  <si>
    <t>CLI-00028</t>
  </si>
  <si>
    <t>CLI-00034</t>
  </si>
  <si>
    <t>CLI-00037</t>
  </si>
  <si>
    <t>CLI-00161</t>
  </si>
  <si>
    <t>CLI-00168</t>
  </si>
  <si>
    <t>CLI-00171</t>
  </si>
  <si>
    <t>CLI-00234</t>
  </si>
  <si>
    <t>CLI-00239</t>
  </si>
  <si>
    <t>CLI-00352</t>
  </si>
  <si>
    <t>CLI-00374</t>
  </si>
  <si>
    <t>CLI-00380</t>
  </si>
  <si>
    <t>CLI-00384</t>
  </si>
  <si>
    <t>CLI-00522</t>
  </si>
  <si>
    <t>CLI-00532</t>
  </si>
  <si>
    <t>CLI-00543</t>
  </si>
  <si>
    <t>CLI-00728</t>
  </si>
  <si>
    <t>CLI-00830</t>
  </si>
  <si>
    <t>CLI-00889</t>
  </si>
  <si>
    <t>90,99€</t>
  </si>
  <si>
    <t>CLI-00922</t>
  </si>
  <si>
    <t>CLI-00932</t>
  </si>
  <si>
    <t>CLI-00952</t>
  </si>
  <si>
    <t>CLI-00978</t>
  </si>
  <si>
    <t>CLI-01095</t>
  </si>
  <si>
    <t>CLI-01203</t>
  </si>
  <si>
    <t>CLI-01238</t>
  </si>
  <si>
    <t>CLI-01278</t>
  </si>
  <si>
    <t>CLI-01354</t>
  </si>
  <si>
    <t>CLI-01355</t>
  </si>
  <si>
    <t>CLI-01373</t>
  </si>
  <si>
    <t>CLI-01410</t>
  </si>
  <si>
    <t>CLI-01432</t>
  </si>
  <si>
    <t>CLI-01496</t>
  </si>
  <si>
    <t>CLI-01503</t>
  </si>
  <si>
    <t>CLI-01507</t>
  </si>
  <si>
    <t>CLI-01520</t>
  </si>
  <si>
    <t>CLI-01530</t>
  </si>
  <si>
    <t>CLI-01535</t>
  </si>
  <si>
    <t>CLI-01542</t>
  </si>
  <si>
    <t>CLI-01619</t>
  </si>
  <si>
    <t>CLI-01622</t>
  </si>
  <si>
    <t>CLI-01629</t>
  </si>
  <si>
    <t>CLI-01728</t>
  </si>
  <si>
    <t>CLI-01731</t>
  </si>
  <si>
    <t>CLI-01759</t>
  </si>
  <si>
    <t>CLI-01780</t>
  </si>
  <si>
    <t>CLI-01843</t>
  </si>
  <si>
    <t>CLI-01861</t>
  </si>
  <si>
    <t>CLI-01868</t>
  </si>
  <si>
    <t>CLI-01876</t>
  </si>
  <si>
    <t>CLI-01969</t>
  </si>
  <si>
    <t>Clients_Churn_Part_14.xlsx</t>
  </si>
  <si>
    <t>CLI-00033</t>
  </si>
  <si>
    <t>CLI-00045</t>
  </si>
  <si>
    <t>CLI-00055</t>
  </si>
  <si>
    <t>CLI-00105</t>
  </si>
  <si>
    <t>CLI-00177</t>
  </si>
  <si>
    <t>CLI-00180</t>
  </si>
  <si>
    <t>CLI-00211</t>
  </si>
  <si>
    <t>CLI-00257</t>
  </si>
  <si>
    <t>CLI-00277</t>
  </si>
  <si>
    <t>CLI-00298</t>
  </si>
  <si>
    <t>CLI-00313</t>
  </si>
  <si>
    <t>CLI-00341</t>
  </si>
  <si>
    <t>CLI-00386</t>
  </si>
  <si>
    <t>CLI-00413</t>
  </si>
  <si>
    <t>CLI-00429</t>
  </si>
  <si>
    <t>CLI-00496</t>
  </si>
  <si>
    <t>CLI-00497</t>
  </si>
  <si>
    <t>CLI-00604</t>
  </si>
  <si>
    <t>CLI-00621</t>
  </si>
  <si>
    <t>CLI-00684</t>
  </si>
  <si>
    <t>CLI-00803</t>
  </si>
  <si>
    <t>CLI-00912</t>
  </si>
  <si>
    <t>CLI-00921</t>
  </si>
  <si>
    <t>CLI-00966</t>
  </si>
  <si>
    <t>CLI-00971</t>
  </si>
  <si>
    <t>CLI-00986</t>
  </si>
  <si>
    <t>CLI-00997</t>
  </si>
  <si>
    <t>CLI-01104</t>
  </si>
  <si>
    <t>CLI-01167</t>
  </si>
  <si>
    <t>CLI-01199</t>
  </si>
  <si>
    <t>CLI-01264</t>
  </si>
  <si>
    <t>CLI-01267</t>
  </si>
  <si>
    <t>CLI-01283</t>
  </si>
  <si>
    <t>CLI-01329</t>
  </si>
  <si>
    <t>CLI-01339</t>
  </si>
  <si>
    <t>CLI-01360</t>
  </si>
  <si>
    <t>CLI-01436</t>
  </si>
  <si>
    <t>CLI-01543</t>
  </si>
  <si>
    <t>CLI-01555</t>
  </si>
  <si>
    <t>CLI-01591</t>
  </si>
  <si>
    <t>CLI-01595</t>
  </si>
  <si>
    <t>CLI-01600</t>
  </si>
  <si>
    <t>CLI-01630</t>
  </si>
  <si>
    <t>CLI-01701</t>
  </si>
  <si>
    <t>CLI-01714</t>
  </si>
  <si>
    <t>CLI-01848</t>
  </si>
  <si>
    <t>CLI-01851</t>
  </si>
  <si>
    <t>CLI-01949</t>
  </si>
  <si>
    <t>CLI-01975</t>
  </si>
  <si>
    <t>CLI-01998</t>
  </si>
  <si>
    <t>Clients_Churn_Part_15.xlsx</t>
  </si>
  <si>
    <t>CLI-00039</t>
  </si>
  <si>
    <t>CLI-00125</t>
  </si>
  <si>
    <t>CLI-00331</t>
  </si>
  <si>
    <t>CLI-00394</t>
  </si>
  <si>
    <t>CLI-00450</t>
  </si>
  <si>
    <t>CLI-00475</t>
  </si>
  <si>
    <t>CLI-00476</t>
  </si>
  <si>
    <t>CLI-00549</t>
  </si>
  <si>
    <t>CLI-00601</t>
  </si>
  <si>
    <t>CLI-00705</t>
  </si>
  <si>
    <t>CLI-00711</t>
  </si>
  <si>
    <t>CLI-00800</t>
  </si>
  <si>
    <t>CLI-00819</t>
  </si>
  <si>
    <t>CLI-00852</t>
  </si>
  <si>
    <t>CLI-00855</t>
  </si>
  <si>
    <t>CLI-00885</t>
  </si>
  <si>
    <t>CLI-00898</t>
  </si>
  <si>
    <t>CLI-00919</t>
  </si>
  <si>
    <t>CLI-00960</t>
  </si>
  <si>
    <t>CLI-00962</t>
  </si>
  <si>
    <t>CLI-00970</t>
  </si>
  <si>
    <t>CLI-00999</t>
  </si>
  <si>
    <t>CLI-01000</t>
  </si>
  <si>
    <t>CLI-01016</t>
  </si>
  <si>
    <t>CLI-01040</t>
  </si>
  <si>
    <t>CLI-01082</t>
  </si>
  <si>
    <t>CLI-01134</t>
  </si>
  <si>
    <t>CLI-01136</t>
  </si>
  <si>
    <t>CLI-01181</t>
  </si>
  <si>
    <t>CLI-01186</t>
  </si>
  <si>
    <t>CLI-01204</t>
  </si>
  <si>
    <t>CLI-01211</t>
  </si>
  <si>
    <t>CLI-01221</t>
  </si>
  <si>
    <t>CLI-01253</t>
  </si>
  <si>
    <t>CLI-01442</t>
  </si>
  <si>
    <t>CLI-01463</t>
  </si>
  <si>
    <t>CLI-01479</t>
  </si>
  <si>
    <t>CLI-01488</t>
  </si>
  <si>
    <t>CLI-01566</t>
  </si>
  <si>
    <t>CLI-01568</t>
  </si>
  <si>
    <t>CLI-01589</t>
  </si>
  <si>
    <t>CLI-01697</t>
  </si>
  <si>
    <t>CLI-01765</t>
  </si>
  <si>
    <t>CLI-01797</t>
  </si>
  <si>
    <t>CLI-01830</t>
  </si>
  <si>
    <t>CLI-01832</t>
  </si>
  <si>
    <t>CLI-01890</t>
  </si>
  <si>
    <t>CLI-01966</t>
  </si>
  <si>
    <t>CLI-01977</t>
  </si>
  <si>
    <t>CLI-01995</t>
  </si>
  <si>
    <t>Colonne1</t>
  </si>
  <si>
    <t>Anciennete_Annee</t>
  </si>
  <si>
    <t>Duree_Cumulee_Panne_heur</t>
  </si>
  <si>
    <t>Catégorie</t>
  </si>
  <si>
    <t>Colonne12</t>
  </si>
  <si>
    <t>Remise</t>
  </si>
  <si>
    <t>Pertes</t>
  </si>
  <si>
    <t>% clients remisés</t>
  </si>
  <si>
    <t>B2B</t>
  </si>
  <si>
    <t>B2C</t>
  </si>
  <si>
    <t>Perte par type de client</t>
  </si>
  <si>
    <t>Perte moyenne par client</t>
  </si>
  <si>
    <t>Montant</t>
  </si>
  <si>
    <t>Montant Total De La Perte Financière Pour Kadea Telco.</t>
  </si>
  <si>
    <t>Nombre des clients ayant reçus une remise</t>
  </si>
  <si>
    <t>Nombre total des clients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</si>
</sst>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€&quot;"/>
    <numFmt numFmtId="165" formatCode="0.0%"/>
  </numFmts>
  <fonts count="10">
    <font>
      <sz val="11"/>
      <color theme="1"/>
      <name val="Calibri"/>
      <family val="2"/>
      <scheme val="minor"/>
    </font>
    <font>
      <sz val="10"/>
      <color theme="1"/>
      <name val="Gill Sans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NumberFormat="1"/>
    <xf numFmtId="0" fontId="1" fillId="0" borderId="0" xfId="0" applyFont="1" applyAlignment="1">
      <alignment wrapText="1"/>
    </xf>
    <xf numFmtId="0" fontId="4" fillId="0" borderId="0" xfId="0" applyFont="1" applyFill="1" applyBorder="1"/>
    <xf numFmtId="0" fontId="6" fillId="3" borderId="2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 indent="1"/>
    </xf>
    <xf numFmtId="164" fontId="0" fillId="2" borderId="6" xfId="0" applyNumberForma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center" indent="1"/>
    </xf>
    <xf numFmtId="164" fontId="0" fillId="2" borderId="10" xfId="0" applyNumberFormat="1" applyFill="1" applyBorder="1" applyAlignment="1">
      <alignment horizontal="center" vertical="center"/>
    </xf>
    <xf numFmtId="0" fontId="2" fillId="4" borderId="2" xfId="0" applyFont="1" applyFill="1" applyBorder="1"/>
    <xf numFmtId="164" fontId="2" fillId="4" borderId="1" xfId="0" applyNumberFormat="1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left" vertical="center" indent="1"/>
    </xf>
    <xf numFmtId="164" fontId="0" fillId="5" borderId="6" xfId="0" applyNumberForma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left" vertical="center" indent="1"/>
    </xf>
    <xf numFmtId="0" fontId="9" fillId="6" borderId="7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left" vertical="center" indent="1"/>
    </xf>
    <xf numFmtId="165" fontId="9" fillId="6" borderId="8" xfId="1" applyNumberFormat="1" applyFont="1" applyFill="1" applyBorder="1" applyAlignment="1">
      <alignment horizontal="center" vertical="center"/>
    </xf>
  </cellXfs>
  <cellStyles count="2">
    <cellStyle name="Normal" xfId="0" builtinId="0"/>
    <cellStyle name="Pourcentage" xfId="1" builtinId="5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4" xr16:uid="{FA0AF29C-7987-4FF3-86FB-081AC750CE0F}" autoFormatId="16" applyNumberFormats="0" applyBorderFormats="0" applyFontFormats="0" applyPatternFormats="0" applyAlignmentFormats="0" applyWidthHeightFormats="0">
  <queryTableRefresh nextId="19" unboundColumnsRight="6">
    <queryTableFields count="14">
      <queryTableField id="1" name="Source.Name" tableColumnId="1"/>
      <queryTableField id="2" name="ID_Client" tableColumnId="2"/>
      <queryTableField id="3" name="Province_Client" tableColumnId="3"/>
      <queryTableField id="4" name="Anciennete_Mois" tableColumnId="4"/>
      <queryTableField id="5" name="Type_Forfait" tableColumnId="5"/>
      <queryTableField id="6" name="Duree_Cumulee_Panne_Min" tableColumnId="6"/>
      <queryTableField id="7" name="Facture_Mensuelle" tableColumnId="7"/>
      <queryTableField id="8" name="Plaintes_Service_Client" tableColumnId="8"/>
      <queryTableField id="10" dataBound="0" tableColumnId="10"/>
      <queryTableField id="11" dataBound="0" tableColumnId="11"/>
      <queryTableField id="12" dataBound="0" tableColumnId="9"/>
      <queryTableField id="13" dataBound="0" tableColumnId="12"/>
      <queryTableField id="17" dataBound="0" tableColumnId="16"/>
      <queryTableField id="14" dataBound="0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3" xr16:uid="{2495D0D6-BFA4-47D4-A89D-B46A144A4327}" autoFormatId="16" applyNumberFormats="0" applyBorderFormats="0" applyFontFormats="0" applyPatternFormats="0" applyAlignmentFormats="0" applyWidthHeightFormats="0">
  <queryTableRefresh nextId="13" unboundColumnsRight="3">
    <queryTableFields count="10">
      <queryTableField id="1" name="Source.Name" tableColumnId="1"/>
      <queryTableField id="3" name="Province_Client" tableColumnId="3"/>
      <queryTableField id="4" name="Anciennete_Mois" tableColumnId="4"/>
      <queryTableField id="5" name="Type_Forfait" tableColumnId="5"/>
      <queryTableField id="6" name="Duree_Cumulee_Panne_Min" tableColumnId="6"/>
      <queryTableField id="7" name="Facture_Mensuelle" tableColumnId="7"/>
      <queryTableField id="8" name="Plaintes_Service_Client" tableColumnId="8"/>
      <queryTableField id="10" dataBound="0" tableColumnId="10"/>
      <queryTableField id="11" dataBound="0" tableColumnId="11"/>
      <queryTableField id="12" dataBound="0" tableColumnId="9"/>
    </queryTableFields>
    <queryTableDeletedFields count="1">
      <deletedField name="ID_Client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FEEE3108-CB51-4402-882A-C30D10A906F7}" autoFormatId="16" applyNumberFormats="0" applyBorderFormats="0" applyFontFormats="0" applyPatternFormats="0" applyAlignmentFormats="0" applyWidthHeightFormats="0">
  <queryTableRefresh nextId="9">
    <queryTableFields count="8">
      <queryTableField id="1" name="Source.Name" tableColumnId="1"/>
      <queryTableField id="2" name="ID_Client" tableColumnId="2"/>
      <queryTableField id="3" name="Province_Client" tableColumnId="3"/>
      <queryTableField id="4" name="Anciennete_Mois" tableColumnId="4"/>
      <queryTableField id="5" name="Type_Forfait" tableColumnId="5"/>
      <queryTableField id="6" name="Duree_Cumulee_Panne_Min" tableColumnId="6"/>
      <queryTableField id="7" name="Facture_Mensuelle" tableColumnId="7"/>
      <queryTableField id="8" name="Plaintes_Service_Client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2" xr16:uid="{7279AAEB-506B-421D-B705-B3C295153E26}" autoFormatId="16" applyNumberFormats="0" applyBorderFormats="0" applyFontFormats="0" applyPatternFormats="0" applyAlignmentFormats="0" applyWidthHeightFormats="0">
  <queryTableRefresh nextId="10" unboundColumnsRight="1">
    <queryTableFields count="9">
      <queryTableField id="1" name="Source.Name" tableColumnId="1"/>
      <queryTableField id="2" name="ID_Client" tableColumnId="2"/>
      <queryTableField id="3" name="Province_Client" tableColumnId="3"/>
      <queryTableField id="4" name="Anciennete_Mois" tableColumnId="4"/>
      <queryTableField id="5" name="Type_Forfait" tableColumnId="5"/>
      <queryTableField id="6" name="Duree_Cumulee_Panne_Min" tableColumnId="6"/>
      <queryTableField id="7" name="Facture_Mensuelle" tableColumnId="7"/>
      <queryTableField id="8" name="Plaintes_Service_Client" tableColumnId="8"/>
      <queryTableField id="9" dataBound="0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B443515-2589-49C7-982B-D47F9C7AD98E}" name="CLIENTS_CHURN345" displayName="CLIENTS_CHURN345" ref="A1:N674" tableType="queryTable" totalsRowShown="0">
  <autoFilter ref="A1:N674" xr:uid="{CA6369C1-E1A7-4054-9E60-96634E203040}"/>
  <sortState xmlns:xlrd2="http://schemas.microsoft.com/office/spreadsheetml/2017/richdata2" ref="A2:N674">
    <sortCondition ref="N1:N674"/>
  </sortState>
  <tableColumns count="14">
    <tableColumn id="1" xr3:uid="{CEC9AEDC-1898-4DF7-B2F5-E032A99F942A}" uniqueName="1" name="Source.Name" queryTableFieldId="1" dataDxfId="12"/>
    <tableColumn id="2" xr3:uid="{7D8FD66A-813F-4BE7-AACA-95A7BAF48F39}" uniqueName="2" name="ID_Client" queryTableFieldId="2"/>
    <tableColumn id="3" xr3:uid="{7B128348-2657-48EA-A9CA-84B0166099F1}" uniqueName="3" name="Province_Client" queryTableFieldId="3"/>
    <tableColumn id="4" xr3:uid="{14C81DF3-62C3-4AF7-AA4C-5DBA5412E93A}" uniqueName="4" name="Anciennete_Mois" queryTableFieldId="4"/>
    <tableColumn id="5" xr3:uid="{6C663BE4-3DDF-4307-84A3-EE5AC2CD98A8}" uniqueName="5" name="Type_Forfait" queryTableFieldId="5"/>
    <tableColumn id="6" xr3:uid="{E1D9331D-B4B5-44C2-9CE1-59C4822B6A0A}" uniqueName="6" name="Duree_Cumulee_Panne_Min" queryTableFieldId="6"/>
    <tableColumn id="7" xr3:uid="{7D6C6939-5CE1-4F6F-9124-2C7789EC9CEB}" uniqueName="7" name="Facture_Mensuelle" queryTableFieldId="7"/>
    <tableColumn id="8" xr3:uid="{51B9C555-6961-4842-8240-07823B2F9A65}" uniqueName="8" name="Plaintes_Service_Client" queryTableFieldId="8"/>
    <tableColumn id="10" xr3:uid="{A88952CF-5504-437A-83D8-2E978DBFFBCA}" uniqueName="10" name="Anciennete_Annee" queryTableFieldId="10" dataDxfId="11">
      <calculatedColumnFormula>CLIENTS_CHURN345[[#This Row],[Anciennete_Mois]]/12</calculatedColumnFormula>
    </tableColumn>
    <tableColumn id="11" xr3:uid="{112806D4-C384-4BA7-9939-FCE25F74EE43}" uniqueName="11" name="Duree_Cumulee_Panne_heur" queryTableFieldId="11" dataDxfId="10">
      <calculatedColumnFormula>CLIENTS_CHURN345[[#This Row],[Duree_Cumulee_Panne_Min]]/60</calculatedColumnFormula>
    </tableColumn>
    <tableColumn id="9" xr3:uid="{DBBBC390-3A40-40B9-9584-BD5191718209}" uniqueName="9" name="Catégorie" queryTableFieldId="12" dataDxfId="9">
      <calculatedColumnFormula>IF(CLIENTS_CHURN345[[#This Row],[Type_Forfait]]="Pro Monde","B2B","B2C")</calculatedColumnFormula>
    </tableColumn>
    <tableColumn id="12" xr3:uid="{E660CCE2-9AA5-44D7-A044-783982746A53}" uniqueName="12" name="Remise" queryTableFieldId="13" dataDxfId="8">
      <calculatedColumnFormula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calculatedColumnFormula>
    </tableColumn>
    <tableColumn id="16" xr3:uid="{A6C2DD71-7039-4916-A648-6AD30C6882AB}" uniqueName="16" name="Colonne12" queryTableFieldId="17" dataDxfId="7">
      <calculatedColumnFormula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calculatedColumnFormula>
    </tableColumn>
    <tableColumn id="13" xr3:uid="{A0685691-8B67-496E-83B6-B3B10AE8959B}" uniqueName="13" name="Pertes" queryTableFieldId="14" dataDxfId="6">
      <calculatedColumnFormula>CLIENTS_CHURN345[[#This Row],[Facture_Mensuelle]]*CLIENTS_CHURN345[[#This Row],[Colonne12]]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BDD8C19-1D20-4476-B588-1FF4E4146EC4}" name="CLIENTS_CHURN34" displayName="CLIENTS_CHURN34" ref="A1:J674" tableType="queryTable" totalsRowShown="0">
  <autoFilter ref="A1:J674" xr:uid="{CA6369C1-E1A7-4054-9E60-96634E203040}"/>
  <sortState xmlns:xlrd2="http://schemas.microsoft.com/office/spreadsheetml/2017/richdata2" ref="A2:I674">
    <sortCondition descending="1" ref="I1:I674"/>
  </sortState>
  <tableColumns count="10">
    <tableColumn id="1" xr3:uid="{549E748F-8E21-4247-A1E4-C9F6AFA41FDB}" uniqueName="1" name="Source.Name" queryTableFieldId="1" dataDxfId="5"/>
    <tableColumn id="3" xr3:uid="{5172E0A6-888B-435A-8418-2F1F0C371C3C}" uniqueName="3" name="Province_Client" queryTableFieldId="3"/>
    <tableColumn id="4" xr3:uid="{89E2F479-41CE-4C3B-AA36-2BEC451A31F3}" uniqueName="4" name="Anciennete_Mois" queryTableFieldId="4"/>
    <tableColumn id="5" xr3:uid="{D4782B58-9BA5-404F-A61D-221A831BDBE0}" uniqueName="5" name="Type_Forfait" queryTableFieldId="5"/>
    <tableColumn id="6" xr3:uid="{97292C8C-80BE-4E55-8668-DE338A96DE18}" uniqueName="6" name="Duree_Cumulee_Panne_Min" queryTableFieldId="6"/>
    <tableColumn id="7" xr3:uid="{ACE1B536-55F1-4A60-B6DE-225AB3858905}" uniqueName="7" name="Facture_Mensuelle" queryTableFieldId="7"/>
    <tableColumn id="8" xr3:uid="{B34ACD3C-E2BD-4F82-A54E-750F1FBF810D}" uniqueName="8" name="Plaintes_Service_Client" queryTableFieldId="8"/>
    <tableColumn id="10" xr3:uid="{9EB4AEDF-36C0-47DB-825E-D47C8E3AB3E1}" uniqueName="10" name="Anciennete_Annee" queryTableFieldId="10" dataDxfId="4">
      <calculatedColumnFormula>CLIENTS_CHURN34[[#This Row],[Anciennete_Mois]]/12</calculatedColumnFormula>
    </tableColumn>
    <tableColumn id="11" xr3:uid="{EB568752-21B0-4B1E-A2DF-6AAD3772EE64}" uniqueName="11" name="Duree_Cumulee_Panne_heur" queryTableFieldId="11" dataDxfId="3">
      <calculatedColumnFormula>CLIENTS_CHURN34[[#This Row],[Duree_Cumulee_Panne_Min]]/60</calculatedColumnFormula>
    </tableColumn>
    <tableColumn id="9" xr3:uid="{B6AD52D1-EFAF-4C9E-B926-F807360F1154}" uniqueName="9" name="Catégorie" queryTableFieldId="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6369C1-E1A7-4054-9E60-96634E203040}" name="CLIENTS_CHURN" displayName="CLIENTS_CHURN" ref="A1:H751" tableType="queryTable" totalsRowShown="0">
  <autoFilter ref="A1:H751" xr:uid="{CA6369C1-E1A7-4054-9E60-96634E203040}"/>
  <tableColumns count="8">
    <tableColumn id="1" xr3:uid="{A41C4E5F-0F31-4605-8DE0-18D116CC914E}" uniqueName="1" name="Source.Name" queryTableFieldId="1" dataDxfId="0"/>
    <tableColumn id="2" xr3:uid="{07DEEB7B-D5D5-4E4D-B6DF-232C9A263A91}" uniqueName="2" name="ID_Client" queryTableFieldId="2"/>
    <tableColumn id="3" xr3:uid="{2AD87E3A-EC13-43F2-B7E7-85A73C5B5493}" uniqueName="3" name="Province_Client" queryTableFieldId="3"/>
    <tableColumn id="4" xr3:uid="{813050DA-7681-4AEC-9E47-D877686D8E25}" uniqueName="4" name="Anciennete_Mois" queryTableFieldId="4"/>
    <tableColumn id="5" xr3:uid="{4CA82CD8-63C4-45AA-9FB0-168DA8C9FF00}" uniqueName="5" name="Type_Forfait" queryTableFieldId="5"/>
    <tableColumn id="6" xr3:uid="{CC0B3378-BBC6-4F3B-9384-E59ECF2E026B}" uniqueName="6" name="Duree_Cumulee_Panne_Min" queryTableFieldId="6"/>
    <tableColumn id="7" xr3:uid="{6FEB9C78-189F-49A8-A5F7-634F9820FB9D}" uniqueName="7" name="Facture_Mensuelle" queryTableFieldId="7"/>
    <tableColumn id="8" xr3:uid="{D72095DA-41FB-40EE-8138-CC530254F7B5}" uniqueName="8" name="Plaintes_Service_Client" queryTableField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EF69E7-1B6D-4D06-9DD1-C5A912A666AD}" name="CLIENTS_CHURN3" displayName="CLIENTS_CHURN3" ref="A1:I674" tableType="queryTable" totalsRowShown="0">
  <autoFilter ref="A1:I674" xr:uid="{CA6369C1-E1A7-4054-9E60-96634E203040}"/>
  <sortState xmlns:xlrd2="http://schemas.microsoft.com/office/spreadsheetml/2017/richdata2" ref="A2:I674">
    <sortCondition ref="D1:D674"/>
  </sortState>
  <tableColumns count="9">
    <tableColumn id="1" xr3:uid="{26784E28-2CB2-4A24-99EC-C2831225A9F4}" uniqueName="1" name="Source.Name" queryTableFieldId="1" dataDxfId="2"/>
    <tableColumn id="2" xr3:uid="{4778ED71-7A97-4231-B844-94DA8E8E653C}" uniqueName="2" name="ID_Client" queryTableFieldId="2"/>
    <tableColumn id="3" xr3:uid="{179FD500-ADDD-4392-8374-9F97760D8F7F}" uniqueName="3" name="Province_Client" queryTableFieldId="3"/>
    <tableColumn id="4" xr3:uid="{2FDF8E2C-3957-4706-900D-0EF7FB84B7EF}" uniqueName="4" name="Anciennete_Mois" queryTableFieldId="4"/>
    <tableColumn id="5" xr3:uid="{75349EF6-74F5-4C7F-8960-BFA237E1B4C9}" uniqueName="5" name="Type_Forfait" queryTableFieldId="5"/>
    <tableColumn id="6" xr3:uid="{EC7B1E2D-66D6-40A4-8932-07373D660577}" uniqueName="6" name="Duree_Cumulee_Panne_Min" queryTableFieldId="6"/>
    <tableColumn id="7" xr3:uid="{E3DE7EB2-28A9-440A-874B-D308FED4685F}" uniqueName="7" name="Facture_Mensuelle" queryTableFieldId="7"/>
    <tableColumn id="8" xr3:uid="{2FDAE7A3-2689-4374-9244-82315FBF7232}" uniqueName="8" name="Plaintes_Service_Client" queryTableFieldId="8"/>
    <tableColumn id="9" xr3:uid="{CDA82185-8449-4620-B810-13E78BE8EC0B}" uniqueName="9" name="Colonne1" queryTableFieldId="9" dataDxfId="1">
      <calculatedColumnFormula>AND(INT(CLIENTS_CHURN3[[#This Row],[Facture_Mensuelle]]*100)=CLIENTS_CHURN3[[#This Row],[Facture_Mensuelle]]*100,INT(CLIENTS_CHURN3[[#This Row],[Facture_Mensuelle]]*10)&lt;&gt;CLIENTS_CHURN3[[#This Row],[Facture_Mensuelle]]*10)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74759-7168-4796-9C8C-B6B4A36CB142}">
  <dimension ref="A1:Q674"/>
  <sheetViews>
    <sheetView workbookViewId="0">
      <selection activeCell="B1" sqref="B1:B1048576"/>
    </sheetView>
  </sheetViews>
  <sheetFormatPr baseColWidth="10" defaultRowHeight="14.5"/>
  <cols>
    <col min="1" max="1" width="23.6328125" bestFit="1" customWidth="1"/>
    <col min="2" max="2" width="10.7265625" bestFit="1" customWidth="1"/>
    <col min="3" max="3" width="16.08984375" bestFit="1" customWidth="1"/>
    <col min="4" max="4" width="17.6328125" bestFit="1" customWidth="1"/>
    <col min="5" max="5" width="17" bestFit="1" customWidth="1"/>
    <col min="6" max="6" width="27.26953125" bestFit="1" customWidth="1"/>
    <col min="7" max="7" width="19.08984375" bestFit="1" customWidth="1"/>
    <col min="8" max="8" width="22.453125" bestFit="1" customWidth="1"/>
    <col min="9" max="9" width="19" bestFit="1" customWidth="1"/>
    <col min="10" max="10" width="27.90625" bestFit="1" customWidth="1"/>
    <col min="16" max="16" width="57.1796875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808</v>
      </c>
      <c r="J1" t="s">
        <v>809</v>
      </c>
      <c r="K1" s="2" t="s">
        <v>810</v>
      </c>
      <c r="L1" t="s">
        <v>812</v>
      </c>
      <c r="M1" t="s">
        <v>811</v>
      </c>
      <c r="N1" t="s">
        <v>813</v>
      </c>
    </row>
    <row r="2" spans="1:17" ht="16" thickBot="1">
      <c r="A2" s="1" t="s">
        <v>242</v>
      </c>
      <c r="B2" t="s">
        <v>243</v>
      </c>
      <c r="C2" t="s">
        <v>38</v>
      </c>
      <c r="D2">
        <v>110</v>
      </c>
      <c r="E2" t="s">
        <v>14</v>
      </c>
      <c r="F2">
        <v>112</v>
      </c>
      <c r="G2">
        <v>98.95</v>
      </c>
      <c r="H2">
        <v>5</v>
      </c>
      <c r="I2">
        <f>CLIENTS_CHURN345[[#This Row],[Anciennete_Mois]]/12</f>
        <v>9.1666666666666661</v>
      </c>
      <c r="J2">
        <f>CLIENTS_CHURN345[[#This Row],[Duree_Cumulee_Panne_Min]]/60</f>
        <v>1.8666666666666667</v>
      </c>
      <c r="K2" t="str">
        <f>IF(CLIENTS_CHURN345[[#This Row],[Type_Forfait]]="Pro Monde","B2B","B2C")</f>
        <v>B2C</v>
      </c>
      <c r="L2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2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2" s="1">
        <f>CLIENTS_CHURN345[[#This Row],[Facture_Mensuelle]]*CLIENTS_CHURN345[[#This Row],[Colonne12]]</f>
        <v>0</v>
      </c>
      <c r="Q2" s="3"/>
    </row>
    <row r="3" spans="1:17" ht="15" thickBot="1">
      <c r="A3" s="1" t="s">
        <v>499</v>
      </c>
      <c r="B3" t="s">
        <v>501</v>
      </c>
      <c r="C3" t="s">
        <v>45</v>
      </c>
      <c r="D3">
        <v>105</v>
      </c>
      <c r="E3" t="s">
        <v>21</v>
      </c>
      <c r="F3">
        <v>172</v>
      </c>
      <c r="G3">
        <v>15.88</v>
      </c>
      <c r="H3">
        <v>5</v>
      </c>
      <c r="I3">
        <f>CLIENTS_CHURN345[[#This Row],[Anciennete_Mois]]/12</f>
        <v>8.75</v>
      </c>
      <c r="J3">
        <f>CLIENTS_CHURN345[[#This Row],[Duree_Cumulee_Panne_Min]]/60</f>
        <v>2.8666666666666667</v>
      </c>
      <c r="K3" t="str">
        <f>IF(CLIENTS_CHURN345[[#This Row],[Type_Forfait]]="Pro Monde","B2B","B2C")</f>
        <v>B2C</v>
      </c>
      <c r="L3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3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3" s="1">
        <f>CLIENTS_CHURN345[[#This Row],[Facture_Mensuelle]]*CLIENTS_CHURN345[[#This Row],[Colonne12]]</f>
        <v>0</v>
      </c>
      <c r="P3" s="4" t="s">
        <v>817</v>
      </c>
      <c r="Q3" s="5" t="s">
        <v>819</v>
      </c>
    </row>
    <row r="4" spans="1:17">
      <c r="A4" s="1" t="s">
        <v>140</v>
      </c>
      <c r="B4" t="s">
        <v>141</v>
      </c>
      <c r="C4" t="s">
        <v>38</v>
      </c>
      <c r="D4">
        <v>29</v>
      </c>
      <c r="E4" t="s">
        <v>21</v>
      </c>
      <c r="F4">
        <v>124</v>
      </c>
      <c r="G4">
        <v>43.83</v>
      </c>
      <c r="H4">
        <v>5</v>
      </c>
      <c r="I4">
        <f>CLIENTS_CHURN345[[#This Row],[Anciennete_Mois]]/12</f>
        <v>2.4166666666666665</v>
      </c>
      <c r="J4">
        <f>CLIENTS_CHURN345[[#This Row],[Duree_Cumulee_Panne_Min]]/60</f>
        <v>2.0666666666666669</v>
      </c>
      <c r="K4" t="str">
        <f>IF(CLIENTS_CHURN345[[#This Row],[Type_Forfait]]="Pro Monde","B2B","B2C")</f>
        <v>B2C</v>
      </c>
      <c r="L4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4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4" s="1">
        <f>CLIENTS_CHURN345[[#This Row],[Facture_Mensuelle]]*CLIENTS_CHURN345[[#This Row],[Colonne12]]</f>
        <v>0</v>
      </c>
      <c r="P4" s="6" t="s">
        <v>815</v>
      </c>
      <c r="Q4" s="7">
        <f>SUMIF(CLIENTS_CHURN345[Catégorie],P4,CLIENTS_CHURN345[Pertes])</f>
        <v>2734.8850000000007</v>
      </c>
    </row>
    <row r="5" spans="1:17" ht="15" thickBot="1">
      <c r="A5" s="1" t="s">
        <v>653</v>
      </c>
      <c r="B5" t="s">
        <v>655</v>
      </c>
      <c r="C5" t="s">
        <v>45</v>
      </c>
      <c r="D5">
        <v>25</v>
      </c>
      <c r="E5" t="s">
        <v>14</v>
      </c>
      <c r="F5">
        <v>95</v>
      </c>
      <c r="G5">
        <v>15.93</v>
      </c>
      <c r="H5">
        <v>4</v>
      </c>
      <c r="I5">
        <f>CLIENTS_CHURN345[[#This Row],[Anciennete_Mois]]/12</f>
        <v>2.0833333333333335</v>
      </c>
      <c r="J5">
        <f>CLIENTS_CHURN345[[#This Row],[Duree_Cumulee_Panne_Min]]/60</f>
        <v>1.5833333333333333</v>
      </c>
      <c r="K5" t="str">
        <f>IF(CLIENTS_CHURN345[[#This Row],[Type_Forfait]]="Pro Monde","B2B","B2C")</f>
        <v>B2C</v>
      </c>
      <c r="L5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5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5" s="1">
        <f>CLIENTS_CHURN345[[#This Row],[Facture_Mensuelle]]*CLIENTS_CHURN345[[#This Row],[Colonne12]]</f>
        <v>0</v>
      </c>
      <c r="P5" s="8" t="s">
        <v>816</v>
      </c>
      <c r="Q5" s="9">
        <f>SUMIF(CLIENTS_CHURN345[Catégorie],P5,CLIENTS_CHURN345[Pertes])</f>
        <v>6944.1929999999993</v>
      </c>
    </row>
    <row r="6" spans="1:17" ht="15" thickBot="1">
      <c r="A6" s="1" t="s">
        <v>705</v>
      </c>
      <c r="B6" t="s">
        <v>707</v>
      </c>
      <c r="C6" t="s">
        <v>38</v>
      </c>
      <c r="D6">
        <v>33</v>
      </c>
      <c r="E6" t="s">
        <v>14</v>
      </c>
      <c r="F6">
        <v>54</v>
      </c>
      <c r="G6">
        <v>71.319999999999993</v>
      </c>
      <c r="H6">
        <v>4</v>
      </c>
      <c r="I6">
        <f>CLIENTS_CHURN345[[#This Row],[Anciennete_Mois]]/12</f>
        <v>2.75</v>
      </c>
      <c r="J6">
        <f>CLIENTS_CHURN345[[#This Row],[Duree_Cumulee_Panne_Min]]/60</f>
        <v>0.9</v>
      </c>
      <c r="K6" t="str">
        <f>IF(CLIENTS_CHURN345[[#This Row],[Type_Forfait]]="Pro Monde","B2B","B2C")</f>
        <v>B2C</v>
      </c>
      <c r="L6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6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6" s="1">
        <f>CLIENTS_CHURN345[[#This Row],[Facture_Mensuelle]]*CLIENTS_CHURN345[[#This Row],[Colonne12]]</f>
        <v>0</v>
      </c>
      <c r="P6" s="10" t="s">
        <v>820</v>
      </c>
      <c r="Q6" s="11">
        <f>SUM(Q4:Q5)</f>
        <v>9679.0779999999995</v>
      </c>
    </row>
    <row r="7" spans="1:17">
      <c r="A7" s="1" t="s">
        <v>499</v>
      </c>
      <c r="B7" t="s">
        <v>502</v>
      </c>
      <c r="C7" t="s">
        <v>20</v>
      </c>
      <c r="D7">
        <v>34</v>
      </c>
      <c r="E7" t="s">
        <v>14</v>
      </c>
      <c r="F7">
        <v>40</v>
      </c>
      <c r="G7">
        <v>65.709999999999994</v>
      </c>
      <c r="H7">
        <v>5</v>
      </c>
      <c r="I7">
        <f>CLIENTS_CHURN345[[#This Row],[Anciennete_Mois]]/12</f>
        <v>2.8333333333333335</v>
      </c>
      <c r="J7">
        <f>CLIENTS_CHURN345[[#This Row],[Duree_Cumulee_Panne_Min]]/60</f>
        <v>0.66666666666666663</v>
      </c>
      <c r="K7" t="str">
        <f>IF(CLIENTS_CHURN345[[#This Row],[Type_Forfait]]="Pro Monde","B2B","B2C")</f>
        <v>B2C</v>
      </c>
      <c r="L7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7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7" s="1">
        <f>CLIENTS_CHURN345[[#This Row],[Facture_Mensuelle]]*CLIENTS_CHURN345[[#This Row],[Colonne12]]</f>
        <v>0</v>
      </c>
      <c r="P7" s="12" t="s">
        <v>818</v>
      </c>
      <c r="Q7" s="13">
        <f>AVERAGE(CLIENTS_CHURN345[Pertes])</f>
        <v>14.381988112927191</v>
      </c>
    </row>
    <row r="8" spans="1:17">
      <c r="A8" s="1" t="s">
        <v>242</v>
      </c>
      <c r="B8" t="s">
        <v>244</v>
      </c>
      <c r="C8" t="s">
        <v>13</v>
      </c>
      <c r="D8">
        <v>4</v>
      </c>
      <c r="E8" t="s">
        <v>14</v>
      </c>
      <c r="F8">
        <v>182</v>
      </c>
      <c r="G8">
        <v>89.56</v>
      </c>
      <c r="H8">
        <v>4</v>
      </c>
      <c r="I8">
        <f>CLIENTS_CHURN345[[#This Row],[Anciennete_Mois]]/12</f>
        <v>0.33333333333333331</v>
      </c>
      <c r="J8">
        <f>CLIENTS_CHURN345[[#This Row],[Duree_Cumulee_Panne_Min]]/60</f>
        <v>3.0333333333333332</v>
      </c>
      <c r="K8" t="str">
        <f>IF(CLIENTS_CHURN345[[#This Row],[Type_Forfait]]="Pro Monde","B2B","B2C")</f>
        <v>B2C</v>
      </c>
      <c r="L8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8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8" s="1">
        <f>CLIENTS_CHURN345[[#This Row],[Facture_Mensuelle]]*CLIENTS_CHURN345[[#This Row],[Colonne12]]</f>
        <v>0</v>
      </c>
      <c r="P8" s="14" t="s">
        <v>821</v>
      </c>
      <c r="Q8" s="15">
        <v>464</v>
      </c>
    </row>
    <row r="9" spans="1:17">
      <c r="A9" s="1" t="s">
        <v>191</v>
      </c>
      <c r="B9" t="s">
        <v>192</v>
      </c>
      <c r="C9" t="s">
        <v>10</v>
      </c>
      <c r="D9">
        <v>52</v>
      </c>
      <c r="E9" t="s">
        <v>21</v>
      </c>
      <c r="F9">
        <v>119</v>
      </c>
      <c r="G9">
        <v>64.709999999999994</v>
      </c>
      <c r="H9">
        <v>4</v>
      </c>
      <c r="I9">
        <f>CLIENTS_CHURN345[[#This Row],[Anciennete_Mois]]/12</f>
        <v>4.333333333333333</v>
      </c>
      <c r="J9">
        <f>CLIENTS_CHURN345[[#This Row],[Duree_Cumulee_Panne_Min]]/60</f>
        <v>1.9833333333333334</v>
      </c>
      <c r="K9" t="str">
        <f>IF(CLIENTS_CHURN345[[#This Row],[Type_Forfait]]="Pro Monde","B2B","B2C")</f>
        <v>B2C</v>
      </c>
      <c r="L9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9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9" s="1">
        <f>CLIENTS_CHURN345[[#This Row],[Facture_Mensuelle]]*CLIENTS_CHURN345[[#This Row],[Colonne12]]</f>
        <v>0</v>
      </c>
      <c r="P9" s="14" t="s">
        <v>822</v>
      </c>
      <c r="Q9" s="15">
        <v>673</v>
      </c>
    </row>
    <row r="10" spans="1:17" ht="15" thickBot="1">
      <c r="A10" s="1" t="s">
        <v>447</v>
      </c>
      <c r="B10" t="s">
        <v>448</v>
      </c>
      <c r="C10" t="s">
        <v>45</v>
      </c>
      <c r="D10">
        <v>78</v>
      </c>
      <c r="E10" t="s">
        <v>32</v>
      </c>
      <c r="F10">
        <v>60</v>
      </c>
      <c r="G10">
        <v>33.159999999999997</v>
      </c>
      <c r="H10">
        <v>5</v>
      </c>
      <c r="I10">
        <f>CLIENTS_CHURN345[[#This Row],[Anciennete_Mois]]/12</f>
        <v>6.5</v>
      </c>
      <c r="J10">
        <f>CLIENTS_CHURN345[[#This Row],[Duree_Cumulee_Panne_Min]]/60</f>
        <v>1</v>
      </c>
      <c r="K10" t="str">
        <f>IF(CLIENTS_CHURN345[[#This Row],[Type_Forfait]]="Pro Monde","B2B","B2C")</f>
        <v>B2C</v>
      </c>
      <c r="L10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0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0" s="1">
        <f>CLIENTS_CHURN345[[#This Row],[Facture_Mensuelle]]*CLIENTS_CHURN345[[#This Row],[Colonne12]]</f>
        <v>0</v>
      </c>
      <c r="P10" s="16" t="s">
        <v>814</v>
      </c>
      <c r="Q10" s="17">
        <f>Q8/Q9</f>
        <v>0.68945022288261515</v>
      </c>
    </row>
    <row r="11" spans="1:17">
      <c r="A11" s="1" t="s">
        <v>293</v>
      </c>
      <c r="B11" t="s">
        <v>297</v>
      </c>
      <c r="C11" t="s">
        <v>95</v>
      </c>
      <c r="D11">
        <v>93</v>
      </c>
      <c r="E11" t="s">
        <v>32</v>
      </c>
      <c r="F11">
        <v>150</v>
      </c>
      <c r="G11">
        <v>93.25</v>
      </c>
      <c r="H11">
        <v>3</v>
      </c>
      <c r="I11">
        <f>CLIENTS_CHURN345[[#This Row],[Anciennete_Mois]]/12</f>
        <v>7.75</v>
      </c>
      <c r="J11">
        <f>CLIENTS_CHURN345[[#This Row],[Duree_Cumulee_Panne_Min]]/60</f>
        <v>2.5</v>
      </c>
      <c r="K11" t="str">
        <f>IF(CLIENTS_CHURN345[[#This Row],[Type_Forfait]]="Pro Monde","B2B","B2C")</f>
        <v>B2C</v>
      </c>
      <c r="L11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1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1" s="1">
        <f>CLIENTS_CHURN345[[#This Row],[Facture_Mensuelle]]*CLIENTS_CHURN345[[#This Row],[Colonne12]]</f>
        <v>0</v>
      </c>
    </row>
    <row r="12" spans="1:17">
      <c r="A12" s="1" t="s">
        <v>242</v>
      </c>
      <c r="B12" t="s">
        <v>245</v>
      </c>
      <c r="C12" t="s">
        <v>24</v>
      </c>
      <c r="D12">
        <v>82</v>
      </c>
      <c r="E12" t="s">
        <v>32</v>
      </c>
      <c r="F12">
        <v>88</v>
      </c>
      <c r="G12">
        <v>86.64</v>
      </c>
      <c r="H12">
        <v>1</v>
      </c>
      <c r="I12">
        <f>CLIENTS_CHURN345[[#This Row],[Anciennete_Mois]]/12</f>
        <v>6.833333333333333</v>
      </c>
      <c r="J12">
        <f>CLIENTS_CHURN345[[#This Row],[Duree_Cumulee_Panne_Min]]/60</f>
        <v>1.4666666666666666</v>
      </c>
      <c r="K12" t="str">
        <f>IF(CLIENTS_CHURN345[[#This Row],[Type_Forfait]]="Pro Monde","B2B","B2C")</f>
        <v>B2C</v>
      </c>
      <c r="L12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2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2" s="1">
        <f>CLIENTS_CHURN345[[#This Row],[Facture_Mensuelle]]*CLIENTS_CHURN345[[#This Row],[Colonne12]]</f>
        <v>0</v>
      </c>
    </row>
    <row r="13" spans="1:17">
      <c r="A13" s="1" t="s">
        <v>140</v>
      </c>
      <c r="B13" t="s">
        <v>144</v>
      </c>
      <c r="C13" t="s">
        <v>92</v>
      </c>
      <c r="D13">
        <v>98</v>
      </c>
      <c r="E13" t="s">
        <v>14</v>
      </c>
      <c r="F13">
        <v>52</v>
      </c>
      <c r="G13">
        <v>52.82</v>
      </c>
      <c r="H13">
        <v>2</v>
      </c>
      <c r="I13">
        <f>CLIENTS_CHURN345[[#This Row],[Anciennete_Mois]]/12</f>
        <v>8.1666666666666661</v>
      </c>
      <c r="J13">
        <f>CLIENTS_CHURN345[[#This Row],[Duree_Cumulee_Panne_Min]]/60</f>
        <v>0.8666666666666667</v>
      </c>
      <c r="K13" t="str">
        <f>IF(CLIENTS_CHURN345[[#This Row],[Type_Forfait]]="Pro Monde","B2B","B2C")</f>
        <v>B2C</v>
      </c>
      <c r="L13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3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3" s="1">
        <f>CLIENTS_CHURN345[[#This Row],[Facture_Mensuelle]]*CLIENTS_CHURN345[[#This Row],[Colonne12]]</f>
        <v>0</v>
      </c>
    </row>
    <row r="14" spans="1:17">
      <c r="A14" s="1" t="s">
        <v>191</v>
      </c>
      <c r="B14" t="s">
        <v>193</v>
      </c>
      <c r="C14" t="s">
        <v>40</v>
      </c>
      <c r="D14">
        <v>120</v>
      </c>
      <c r="E14" t="s">
        <v>21</v>
      </c>
      <c r="F14">
        <v>224</v>
      </c>
      <c r="G14">
        <v>69.36</v>
      </c>
      <c r="H14">
        <v>0</v>
      </c>
      <c r="I14">
        <f>CLIENTS_CHURN345[[#This Row],[Anciennete_Mois]]/12</f>
        <v>10</v>
      </c>
      <c r="J14">
        <f>CLIENTS_CHURN345[[#This Row],[Duree_Cumulee_Panne_Min]]/60</f>
        <v>3.7333333333333334</v>
      </c>
      <c r="K14" t="str">
        <f>IF(CLIENTS_CHURN345[[#This Row],[Type_Forfait]]="Pro Monde","B2B","B2C")</f>
        <v>B2C</v>
      </c>
      <c r="L14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4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4" s="1">
        <f>CLIENTS_CHURN345[[#This Row],[Facture_Mensuelle]]*CLIENTS_CHURN345[[#This Row],[Colonne12]]</f>
        <v>0</v>
      </c>
    </row>
    <row r="15" spans="1:17">
      <c r="A15" s="1" t="s">
        <v>602</v>
      </c>
      <c r="B15" t="s">
        <v>606</v>
      </c>
      <c r="C15" t="s">
        <v>76</v>
      </c>
      <c r="D15">
        <v>12</v>
      </c>
      <c r="E15" t="s">
        <v>21</v>
      </c>
      <c r="F15">
        <v>112</v>
      </c>
      <c r="G15">
        <v>82.81</v>
      </c>
      <c r="H15">
        <v>0</v>
      </c>
      <c r="I15">
        <f>CLIENTS_CHURN345[[#This Row],[Anciennete_Mois]]/12</f>
        <v>1</v>
      </c>
      <c r="J15">
        <f>CLIENTS_CHURN345[[#This Row],[Duree_Cumulee_Panne_Min]]/60</f>
        <v>1.8666666666666667</v>
      </c>
      <c r="K15" t="str">
        <f>IF(CLIENTS_CHURN345[[#This Row],[Type_Forfait]]="Pro Monde","B2B","B2C")</f>
        <v>B2C</v>
      </c>
      <c r="L15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5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5" s="1">
        <f>CLIENTS_CHURN345[[#This Row],[Facture_Mensuelle]]*CLIENTS_CHURN345[[#This Row],[Colonne12]]</f>
        <v>0</v>
      </c>
    </row>
    <row r="16" spans="1:17">
      <c r="A16" s="1" t="s">
        <v>602</v>
      </c>
      <c r="B16" t="s">
        <v>607</v>
      </c>
      <c r="C16" t="s">
        <v>52</v>
      </c>
      <c r="D16">
        <v>81</v>
      </c>
      <c r="E16" t="s">
        <v>21</v>
      </c>
      <c r="F16">
        <v>11</v>
      </c>
      <c r="G16">
        <v>41.76</v>
      </c>
      <c r="H16">
        <v>5</v>
      </c>
      <c r="I16">
        <f>CLIENTS_CHURN345[[#This Row],[Anciennete_Mois]]/12</f>
        <v>6.75</v>
      </c>
      <c r="J16">
        <f>CLIENTS_CHURN345[[#This Row],[Duree_Cumulee_Panne_Min]]/60</f>
        <v>0.18333333333333332</v>
      </c>
      <c r="K16" t="str">
        <f>IF(CLIENTS_CHURN345[[#This Row],[Type_Forfait]]="Pro Monde","B2B","B2C")</f>
        <v>B2C</v>
      </c>
      <c r="L16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6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6" s="1">
        <f>CLIENTS_CHURN345[[#This Row],[Facture_Mensuelle]]*CLIENTS_CHURN345[[#This Row],[Colonne12]]</f>
        <v>0</v>
      </c>
    </row>
    <row r="17" spans="1:14">
      <c r="A17" s="1" t="s">
        <v>242</v>
      </c>
      <c r="B17" t="s">
        <v>246</v>
      </c>
      <c r="C17" t="s">
        <v>13</v>
      </c>
      <c r="D17">
        <v>91</v>
      </c>
      <c r="E17" t="s">
        <v>14</v>
      </c>
      <c r="F17">
        <v>188</v>
      </c>
      <c r="G17">
        <v>65.78</v>
      </c>
      <c r="H17">
        <v>4</v>
      </c>
      <c r="I17">
        <f>CLIENTS_CHURN345[[#This Row],[Anciennete_Mois]]/12</f>
        <v>7.583333333333333</v>
      </c>
      <c r="J17">
        <f>CLIENTS_CHURN345[[#This Row],[Duree_Cumulee_Panne_Min]]/60</f>
        <v>3.1333333333333333</v>
      </c>
      <c r="K17" t="str">
        <f>IF(CLIENTS_CHURN345[[#This Row],[Type_Forfait]]="Pro Monde","B2B","B2C")</f>
        <v>B2C</v>
      </c>
      <c r="L17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7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7" s="1">
        <f>CLIENTS_CHURN345[[#This Row],[Facture_Mensuelle]]*CLIENTS_CHURN345[[#This Row],[Colonne12]]</f>
        <v>0</v>
      </c>
    </row>
    <row r="18" spans="1:14">
      <c r="A18" s="1" t="s">
        <v>653</v>
      </c>
      <c r="B18" t="s">
        <v>659</v>
      </c>
      <c r="C18" t="s">
        <v>43</v>
      </c>
      <c r="D18">
        <v>1</v>
      </c>
      <c r="E18" t="s">
        <v>14</v>
      </c>
      <c r="F18">
        <v>135</v>
      </c>
      <c r="G18">
        <v>89.16</v>
      </c>
      <c r="H18">
        <v>3</v>
      </c>
      <c r="I18">
        <f>CLIENTS_CHURN345[[#This Row],[Anciennete_Mois]]/12</f>
        <v>8.3333333333333329E-2</v>
      </c>
      <c r="J18">
        <f>CLIENTS_CHURN345[[#This Row],[Duree_Cumulee_Panne_Min]]/60</f>
        <v>2.25</v>
      </c>
      <c r="K18" t="str">
        <f>IF(CLIENTS_CHURN345[[#This Row],[Type_Forfait]]="Pro Monde","B2B","B2C")</f>
        <v>B2C</v>
      </c>
      <c r="L18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8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8" s="1">
        <f>CLIENTS_CHURN345[[#This Row],[Facture_Mensuelle]]*CLIENTS_CHURN345[[#This Row],[Colonne12]]</f>
        <v>0</v>
      </c>
    </row>
    <row r="19" spans="1:14">
      <c r="A19" s="1" t="s">
        <v>705</v>
      </c>
      <c r="B19" t="s">
        <v>710</v>
      </c>
      <c r="C19" t="s">
        <v>79</v>
      </c>
      <c r="D19">
        <v>56</v>
      </c>
      <c r="E19" t="s">
        <v>14</v>
      </c>
      <c r="F19">
        <v>27</v>
      </c>
      <c r="G19">
        <v>46.41</v>
      </c>
      <c r="H19">
        <v>3</v>
      </c>
      <c r="I19">
        <f>CLIENTS_CHURN345[[#This Row],[Anciennete_Mois]]/12</f>
        <v>4.666666666666667</v>
      </c>
      <c r="J19">
        <f>CLIENTS_CHURN345[[#This Row],[Duree_Cumulee_Panne_Min]]/60</f>
        <v>0.45</v>
      </c>
      <c r="K19" t="str">
        <f>IF(CLIENTS_CHURN345[[#This Row],[Type_Forfait]]="Pro Monde","B2B","B2C")</f>
        <v>B2C</v>
      </c>
      <c r="L19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9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9" s="1">
        <f>CLIENTS_CHURN345[[#This Row],[Facture_Mensuelle]]*CLIENTS_CHURN345[[#This Row],[Colonne12]]</f>
        <v>0</v>
      </c>
    </row>
    <row r="20" spans="1:14">
      <c r="A20" s="1" t="s">
        <v>395</v>
      </c>
      <c r="B20" t="s">
        <v>402</v>
      </c>
      <c r="C20" t="s">
        <v>65</v>
      </c>
      <c r="D20">
        <v>71</v>
      </c>
      <c r="E20" t="s">
        <v>32</v>
      </c>
      <c r="F20">
        <v>191</v>
      </c>
      <c r="G20">
        <v>83.04</v>
      </c>
      <c r="H20">
        <v>4</v>
      </c>
      <c r="I20">
        <f>CLIENTS_CHURN345[[#This Row],[Anciennete_Mois]]/12</f>
        <v>5.916666666666667</v>
      </c>
      <c r="J20">
        <f>CLIENTS_CHURN345[[#This Row],[Duree_Cumulee_Panne_Min]]/60</f>
        <v>3.1833333333333331</v>
      </c>
      <c r="K20" t="str">
        <f>IF(CLIENTS_CHURN345[[#This Row],[Type_Forfait]]="Pro Monde","B2B","B2C")</f>
        <v>B2C</v>
      </c>
      <c r="L20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20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20" s="1">
        <f>CLIENTS_CHURN345[[#This Row],[Facture_Mensuelle]]*CLIENTS_CHURN345[[#This Row],[Colonne12]]</f>
        <v>0</v>
      </c>
    </row>
    <row r="21" spans="1:14">
      <c r="A21" s="1" t="s">
        <v>551</v>
      </c>
      <c r="B21" t="s">
        <v>554</v>
      </c>
      <c r="C21" t="s">
        <v>40</v>
      </c>
      <c r="D21">
        <v>34</v>
      </c>
      <c r="E21" t="s">
        <v>14</v>
      </c>
      <c r="F21">
        <v>35</v>
      </c>
      <c r="G21">
        <v>76.86</v>
      </c>
      <c r="H21">
        <v>1</v>
      </c>
      <c r="I21">
        <f>CLIENTS_CHURN345[[#This Row],[Anciennete_Mois]]/12</f>
        <v>2.8333333333333335</v>
      </c>
      <c r="J21">
        <f>CLIENTS_CHURN345[[#This Row],[Duree_Cumulee_Panne_Min]]/60</f>
        <v>0.58333333333333337</v>
      </c>
      <c r="K21" t="str">
        <f>IF(CLIENTS_CHURN345[[#This Row],[Type_Forfait]]="Pro Monde","B2B","B2C")</f>
        <v>B2C</v>
      </c>
      <c r="L21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21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21" s="1">
        <f>CLIENTS_CHURN345[[#This Row],[Facture_Mensuelle]]*CLIENTS_CHURN345[[#This Row],[Colonne12]]</f>
        <v>0</v>
      </c>
    </row>
    <row r="22" spans="1:14">
      <c r="A22" s="1" t="s">
        <v>602</v>
      </c>
      <c r="B22" t="s">
        <v>608</v>
      </c>
      <c r="C22" t="s">
        <v>40</v>
      </c>
      <c r="D22">
        <v>55</v>
      </c>
      <c r="E22" t="s">
        <v>21</v>
      </c>
      <c r="F22">
        <v>60</v>
      </c>
      <c r="G22">
        <v>32.51</v>
      </c>
      <c r="H22">
        <v>4</v>
      </c>
      <c r="I22">
        <f>CLIENTS_CHURN345[[#This Row],[Anciennete_Mois]]/12</f>
        <v>4.583333333333333</v>
      </c>
      <c r="J22">
        <f>CLIENTS_CHURN345[[#This Row],[Duree_Cumulee_Panne_Min]]/60</f>
        <v>1</v>
      </c>
      <c r="K22" t="str">
        <f>IF(CLIENTS_CHURN345[[#This Row],[Type_Forfait]]="Pro Monde","B2B","B2C")</f>
        <v>B2C</v>
      </c>
      <c r="L22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22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22" s="1">
        <f>CLIENTS_CHURN345[[#This Row],[Facture_Mensuelle]]*CLIENTS_CHURN345[[#This Row],[Colonne12]]</f>
        <v>0</v>
      </c>
    </row>
    <row r="23" spans="1:14">
      <c r="A23" s="1" t="s">
        <v>499</v>
      </c>
      <c r="B23" t="s">
        <v>506</v>
      </c>
      <c r="C23" t="s">
        <v>107</v>
      </c>
      <c r="D23">
        <v>48</v>
      </c>
      <c r="E23" t="s">
        <v>21</v>
      </c>
      <c r="F23">
        <v>187</v>
      </c>
      <c r="G23">
        <v>21.26</v>
      </c>
      <c r="H23">
        <v>2</v>
      </c>
      <c r="I23">
        <f>CLIENTS_CHURN345[[#This Row],[Anciennete_Mois]]/12</f>
        <v>4</v>
      </c>
      <c r="J23">
        <f>CLIENTS_CHURN345[[#This Row],[Duree_Cumulee_Panne_Min]]/60</f>
        <v>3.1166666666666667</v>
      </c>
      <c r="K23" t="str">
        <f>IF(CLIENTS_CHURN345[[#This Row],[Type_Forfait]]="Pro Monde","B2B","B2C")</f>
        <v>B2C</v>
      </c>
      <c r="L23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23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23" s="1">
        <f>CLIENTS_CHURN345[[#This Row],[Facture_Mensuelle]]*CLIENTS_CHURN345[[#This Row],[Colonne12]]</f>
        <v>0</v>
      </c>
    </row>
    <row r="24" spans="1:14">
      <c r="A24" s="1" t="s">
        <v>551</v>
      </c>
      <c r="B24" t="s">
        <v>555</v>
      </c>
      <c r="C24" t="s">
        <v>29</v>
      </c>
      <c r="D24">
        <v>109</v>
      </c>
      <c r="E24" t="s">
        <v>21</v>
      </c>
      <c r="F24">
        <v>84</v>
      </c>
      <c r="G24">
        <v>97.46</v>
      </c>
      <c r="H24">
        <v>5</v>
      </c>
      <c r="I24">
        <f>CLIENTS_CHURN345[[#This Row],[Anciennete_Mois]]/12</f>
        <v>9.0833333333333339</v>
      </c>
      <c r="J24">
        <f>CLIENTS_CHURN345[[#This Row],[Duree_Cumulee_Panne_Min]]/60</f>
        <v>1.4</v>
      </c>
      <c r="K24" t="str">
        <f>IF(CLIENTS_CHURN345[[#This Row],[Type_Forfait]]="Pro Monde","B2B","B2C")</f>
        <v>B2C</v>
      </c>
      <c r="L24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24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24" s="1">
        <f>CLIENTS_CHURN345[[#This Row],[Facture_Mensuelle]]*CLIENTS_CHURN345[[#This Row],[Colonne12]]</f>
        <v>0</v>
      </c>
    </row>
    <row r="25" spans="1:14">
      <c r="A25" s="1" t="s">
        <v>191</v>
      </c>
      <c r="B25" t="s">
        <v>195</v>
      </c>
      <c r="C25" t="s">
        <v>43</v>
      </c>
      <c r="D25">
        <v>40</v>
      </c>
      <c r="E25" t="s">
        <v>21</v>
      </c>
      <c r="F25">
        <v>219</v>
      </c>
      <c r="G25">
        <v>53.98</v>
      </c>
      <c r="H25">
        <v>2</v>
      </c>
      <c r="I25">
        <f>CLIENTS_CHURN345[[#This Row],[Anciennete_Mois]]/12</f>
        <v>3.3333333333333335</v>
      </c>
      <c r="J25">
        <f>CLIENTS_CHURN345[[#This Row],[Duree_Cumulee_Panne_Min]]/60</f>
        <v>3.65</v>
      </c>
      <c r="K25" t="str">
        <f>IF(CLIENTS_CHURN345[[#This Row],[Type_Forfait]]="Pro Monde","B2B","B2C")</f>
        <v>B2C</v>
      </c>
      <c r="L25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25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25" s="1">
        <f>CLIENTS_CHURN345[[#This Row],[Facture_Mensuelle]]*CLIENTS_CHURN345[[#This Row],[Colonne12]]</f>
        <v>0</v>
      </c>
    </row>
    <row r="26" spans="1:14">
      <c r="A26" s="1" t="s">
        <v>499</v>
      </c>
      <c r="B26" t="s">
        <v>507</v>
      </c>
      <c r="C26" t="s">
        <v>18</v>
      </c>
      <c r="D26">
        <v>111</v>
      </c>
      <c r="E26" t="s">
        <v>14</v>
      </c>
      <c r="F26">
        <v>76</v>
      </c>
      <c r="G26">
        <v>38.19</v>
      </c>
      <c r="H26">
        <v>5</v>
      </c>
      <c r="I26">
        <f>CLIENTS_CHURN345[[#This Row],[Anciennete_Mois]]/12</f>
        <v>9.25</v>
      </c>
      <c r="J26">
        <f>CLIENTS_CHURN345[[#This Row],[Duree_Cumulee_Panne_Min]]/60</f>
        <v>1.2666666666666666</v>
      </c>
      <c r="K26" t="str">
        <f>IF(CLIENTS_CHURN345[[#This Row],[Type_Forfait]]="Pro Monde","B2B","B2C")</f>
        <v>B2C</v>
      </c>
      <c r="L26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26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26" s="1">
        <f>CLIENTS_CHURN345[[#This Row],[Facture_Mensuelle]]*CLIENTS_CHURN345[[#This Row],[Colonne12]]</f>
        <v>0</v>
      </c>
    </row>
    <row r="27" spans="1:14">
      <c r="A27" s="1" t="s">
        <v>85</v>
      </c>
      <c r="B27" t="s">
        <v>88</v>
      </c>
      <c r="C27" t="s">
        <v>20</v>
      </c>
      <c r="D27">
        <v>59</v>
      </c>
      <c r="E27" t="s">
        <v>21</v>
      </c>
      <c r="F27">
        <v>192</v>
      </c>
      <c r="G27">
        <v>86.17</v>
      </c>
      <c r="H27">
        <v>1</v>
      </c>
      <c r="I27">
        <f>CLIENTS_CHURN345[[#This Row],[Anciennete_Mois]]/12</f>
        <v>4.916666666666667</v>
      </c>
      <c r="J27">
        <f>CLIENTS_CHURN345[[#This Row],[Duree_Cumulee_Panne_Min]]/60</f>
        <v>3.2</v>
      </c>
      <c r="K27" t="str">
        <f>IF(CLIENTS_CHURN345[[#This Row],[Type_Forfait]]="Pro Monde","B2B","B2C")</f>
        <v>B2C</v>
      </c>
      <c r="L27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27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27" s="1">
        <f>CLIENTS_CHURN345[[#This Row],[Facture_Mensuelle]]*CLIENTS_CHURN345[[#This Row],[Colonne12]]</f>
        <v>0</v>
      </c>
    </row>
    <row r="28" spans="1:14">
      <c r="A28" s="1" t="s">
        <v>653</v>
      </c>
      <c r="B28" t="s">
        <v>660</v>
      </c>
      <c r="C28" t="s">
        <v>63</v>
      </c>
      <c r="D28">
        <v>93</v>
      </c>
      <c r="E28" t="s">
        <v>32</v>
      </c>
      <c r="F28">
        <v>136</v>
      </c>
      <c r="G28">
        <v>19.09</v>
      </c>
      <c r="H28">
        <v>1</v>
      </c>
      <c r="I28">
        <f>CLIENTS_CHURN345[[#This Row],[Anciennete_Mois]]/12</f>
        <v>7.75</v>
      </c>
      <c r="J28">
        <f>CLIENTS_CHURN345[[#This Row],[Duree_Cumulee_Panne_Min]]/60</f>
        <v>2.2666666666666666</v>
      </c>
      <c r="K28" t="str">
        <f>IF(CLIENTS_CHURN345[[#This Row],[Type_Forfait]]="Pro Monde","B2B","B2C")</f>
        <v>B2C</v>
      </c>
      <c r="L28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28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28" s="1">
        <f>CLIENTS_CHURN345[[#This Row],[Facture_Mensuelle]]*CLIENTS_CHURN345[[#This Row],[Colonne12]]</f>
        <v>0</v>
      </c>
    </row>
    <row r="29" spans="1:14">
      <c r="A29" s="1" t="s">
        <v>447</v>
      </c>
      <c r="B29" t="s">
        <v>453</v>
      </c>
      <c r="C29" t="s">
        <v>31</v>
      </c>
      <c r="D29">
        <v>43</v>
      </c>
      <c r="E29" t="s">
        <v>14</v>
      </c>
      <c r="F29">
        <v>20</v>
      </c>
      <c r="G29">
        <v>66.680000000000007</v>
      </c>
      <c r="H29">
        <v>5</v>
      </c>
      <c r="I29">
        <f>CLIENTS_CHURN345[[#This Row],[Anciennete_Mois]]/12</f>
        <v>3.5833333333333335</v>
      </c>
      <c r="J29">
        <f>CLIENTS_CHURN345[[#This Row],[Duree_Cumulee_Panne_Min]]/60</f>
        <v>0.33333333333333331</v>
      </c>
      <c r="K29" t="str">
        <f>IF(CLIENTS_CHURN345[[#This Row],[Type_Forfait]]="Pro Monde","B2B","B2C")</f>
        <v>B2C</v>
      </c>
      <c r="L29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29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29" s="1">
        <f>CLIENTS_CHURN345[[#This Row],[Facture_Mensuelle]]*CLIENTS_CHURN345[[#This Row],[Colonne12]]</f>
        <v>0</v>
      </c>
    </row>
    <row r="30" spans="1:14">
      <c r="A30" s="1" t="s">
        <v>85</v>
      </c>
      <c r="B30" t="s">
        <v>89</v>
      </c>
      <c r="C30" t="s">
        <v>71</v>
      </c>
      <c r="D30">
        <v>20</v>
      </c>
      <c r="E30" t="s">
        <v>14</v>
      </c>
      <c r="F30">
        <v>26</v>
      </c>
      <c r="G30">
        <v>25.14</v>
      </c>
      <c r="H30">
        <v>0</v>
      </c>
      <c r="I30">
        <f>CLIENTS_CHURN345[[#This Row],[Anciennete_Mois]]/12</f>
        <v>1.6666666666666667</v>
      </c>
      <c r="J30">
        <f>CLIENTS_CHURN345[[#This Row],[Duree_Cumulee_Panne_Min]]/60</f>
        <v>0.43333333333333335</v>
      </c>
      <c r="K30" t="str">
        <f>IF(CLIENTS_CHURN345[[#This Row],[Type_Forfait]]="Pro Monde","B2B","B2C")</f>
        <v>B2C</v>
      </c>
      <c r="L30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30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30" s="1">
        <f>CLIENTS_CHURN345[[#This Row],[Facture_Mensuelle]]*CLIENTS_CHURN345[[#This Row],[Colonne12]]</f>
        <v>0</v>
      </c>
    </row>
    <row r="31" spans="1:14">
      <c r="A31" s="1" t="s">
        <v>140</v>
      </c>
      <c r="B31" t="s">
        <v>146</v>
      </c>
      <c r="C31" t="s">
        <v>61</v>
      </c>
      <c r="D31">
        <v>43</v>
      </c>
      <c r="E31" t="s">
        <v>14</v>
      </c>
      <c r="F31">
        <v>181</v>
      </c>
      <c r="G31">
        <v>72.39</v>
      </c>
      <c r="H31">
        <v>2</v>
      </c>
      <c r="I31">
        <f>CLIENTS_CHURN345[[#This Row],[Anciennete_Mois]]/12</f>
        <v>3.5833333333333335</v>
      </c>
      <c r="J31">
        <f>CLIENTS_CHURN345[[#This Row],[Duree_Cumulee_Panne_Min]]/60</f>
        <v>3.0166666666666666</v>
      </c>
      <c r="K31" t="str">
        <f>IF(CLIENTS_CHURN345[[#This Row],[Type_Forfait]]="Pro Monde","B2B","B2C")</f>
        <v>B2C</v>
      </c>
      <c r="L31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31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31" s="1">
        <f>CLIENTS_CHURN345[[#This Row],[Facture_Mensuelle]]*CLIENTS_CHURN345[[#This Row],[Colonne12]]</f>
        <v>0</v>
      </c>
    </row>
    <row r="32" spans="1:14">
      <c r="A32" s="1" t="s">
        <v>551</v>
      </c>
      <c r="B32" t="s">
        <v>557</v>
      </c>
      <c r="C32" t="s">
        <v>38</v>
      </c>
      <c r="D32">
        <v>9</v>
      </c>
      <c r="E32" t="s">
        <v>14</v>
      </c>
      <c r="F32">
        <v>11</v>
      </c>
      <c r="G32">
        <v>72.36</v>
      </c>
      <c r="H32">
        <v>2</v>
      </c>
      <c r="I32">
        <f>CLIENTS_CHURN345[[#This Row],[Anciennete_Mois]]/12</f>
        <v>0.75</v>
      </c>
      <c r="J32">
        <f>CLIENTS_CHURN345[[#This Row],[Duree_Cumulee_Panne_Min]]/60</f>
        <v>0.18333333333333332</v>
      </c>
      <c r="K32" t="str">
        <f>IF(CLIENTS_CHURN345[[#This Row],[Type_Forfait]]="Pro Monde","B2B","B2C")</f>
        <v>B2C</v>
      </c>
      <c r="L32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32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32" s="1">
        <f>CLIENTS_CHURN345[[#This Row],[Facture_Mensuelle]]*CLIENTS_CHURN345[[#This Row],[Colonne12]]</f>
        <v>0</v>
      </c>
    </row>
    <row r="33" spans="1:14">
      <c r="A33" s="1" t="s">
        <v>242</v>
      </c>
      <c r="B33" t="s">
        <v>248</v>
      </c>
      <c r="C33" t="s">
        <v>31</v>
      </c>
      <c r="D33">
        <v>11</v>
      </c>
      <c r="E33" t="s">
        <v>14</v>
      </c>
      <c r="F33">
        <v>52</v>
      </c>
      <c r="G33">
        <v>76.53</v>
      </c>
      <c r="H33">
        <v>5</v>
      </c>
      <c r="I33">
        <f>CLIENTS_CHURN345[[#This Row],[Anciennete_Mois]]/12</f>
        <v>0.91666666666666663</v>
      </c>
      <c r="J33">
        <f>CLIENTS_CHURN345[[#This Row],[Duree_Cumulee_Panne_Min]]/60</f>
        <v>0.8666666666666667</v>
      </c>
      <c r="K33" t="str">
        <f>IF(CLIENTS_CHURN345[[#This Row],[Type_Forfait]]="Pro Monde","B2B","B2C")</f>
        <v>B2C</v>
      </c>
      <c r="L33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33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33" s="1">
        <f>CLIENTS_CHURN345[[#This Row],[Facture_Mensuelle]]*CLIENTS_CHURN345[[#This Row],[Colonne12]]</f>
        <v>0</v>
      </c>
    </row>
    <row r="34" spans="1:14">
      <c r="A34" s="1" t="s">
        <v>395</v>
      </c>
      <c r="B34" t="s">
        <v>406</v>
      </c>
      <c r="C34" t="s">
        <v>92</v>
      </c>
      <c r="D34">
        <v>40</v>
      </c>
      <c r="E34" t="s">
        <v>14</v>
      </c>
      <c r="F34">
        <v>38</v>
      </c>
      <c r="G34">
        <v>17.63</v>
      </c>
      <c r="H34">
        <v>0</v>
      </c>
      <c r="I34">
        <f>CLIENTS_CHURN345[[#This Row],[Anciennete_Mois]]/12</f>
        <v>3.3333333333333335</v>
      </c>
      <c r="J34">
        <f>CLIENTS_CHURN345[[#This Row],[Duree_Cumulee_Panne_Min]]/60</f>
        <v>0.6333333333333333</v>
      </c>
      <c r="K34" t="str">
        <f>IF(CLIENTS_CHURN345[[#This Row],[Type_Forfait]]="Pro Monde","B2B","B2C")</f>
        <v>B2C</v>
      </c>
      <c r="L34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34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34" s="1">
        <f>CLIENTS_CHURN345[[#This Row],[Facture_Mensuelle]]*CLIENTS_CHURN345[[#This Row],[Colonne12]]</f>
        <v>0</v>
      </c>
    </row>
    <row r="35" spans="1:14">
      <c r="A35" s="1" t="s">
        <v>447</v>
      </c>
      <c r="B35" t="s">
        <v>456</v>
      </c>
      <c r="C35" t="s">
        <v>24</v>
      </c>
      <c r="D35">
        <v>37</v>
      </c>
      <c r="E35" t="s">
        <v>21</v>
      </c>
      <c r="F35">
        <v>151</v>
      </c>
      <c r="G35">
        <v>62.49</v>
      </c>
      <c r="H35">
        <v>3</v>
      </c>
      <c r="I35">
        <f>CLIENTS_CHURN345[[#This Row],[Anciennete_Mois]]/12</f>
        <v>3.0833333333333335</v>
      </c>
      <c r="J35">
        <f>CLIENTS_CHURN345[[#This Row],[Duree_Cumulee_Panne_Min]]/60</f>
        <v>2.5166666666666666</v>
      </c>
      <c r="K35" t="str">
        <f>IF(CLIENTS_CHURN345[[#This Row],[Type_Forfait]]="Pro Monde","B2B","B2C")</f>
        <v>B2C</v>
      </c>
      <c r="L35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35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35" s="1">
        <f>CLIENTS_CHURN345[[#This Row],[Facture_Mensuelle]]*CLIENTS_CHURN345[[#This Row],[Colonne12]]</f>
        <v>0</v>
      </c>
    </row>
    <row r="36" spans="1:14">
      <c r="A36" s="1" t="s">
        <v>293</v>
      </c>
      <c r="B36" t="s">
        <v>302</v>
      </c>
      <c r="C36" t="s">
        <v>10</v>
      </c>
      <c r="D36">
        <v>89</v>
      </c>
      <c r="E36" t="s">
        <v>14</v>
      </c>
      <c r="F36">
        <v>175</v>
      </c>
      <c r="G36">
        <v>32.369999999999997</v>
      </c>
      <c r="H36">
        <v>1</v>
      </c>
      <c r="I36">
        <f>CLIENTS_CHURN345[[#This Row],[Anciennete_Mois]]/12</f>
        <v>7.416666666666667</v>
      </c>
      <c r="J36">
        <f>CLIENTS_CHURN345[[#This Row],[Duree_Cumulee_Panne_Min]]/60</f>
        <v>2.9166666666666665</v>
      </c>
      <c r="K36" t="str">
        <f>IF(CLIENTS_CHURN345[[#This Row],[Type_Forfait]]="Pro Monde","B2B","B2C")</f>
        <v>B2C</v>
      </c>
      <c r="L36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36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36" s="1">
        <f>CLIENTS_CHURN345[[#This Row],[Facture_Mensuelle]]*CLIENTS_CHURN345[[#This Row],[Colonne12]]</f>
        <v>0</v>
      </c>
    </row>
    <row r="37" spans="1:14">
      <c r="A37" s="1" t="s">
        <v>705</v>
      </c>
      <c r="B37" t="s">
        <v>716</v>
      </c>
      <c r="C37" t="s">
        <v>18</v>
      </c>
      <c r="D37">
        <v>113</v>
      </c>
      <c r="E37" t="s">
        <v>32</v>
      </c>
      <c r="F37">
        <v>49</v>
      </c>
      <c r="G37">
        <v>48.91</v>
      </c>
      <c r="H37">
        <v>5</v>
      </c>
      <c r="I37">
        <f>CLIENTS_CHURN345[[#This Row],[Anciennete_Mois]]/12</f>
        <v>9.4166666666666661</v>
      </c>
      <c r="J37">
        <f>CLIENTS_CHURN345[[#This Row],[Duree_Cumulee_Panne_Min]]/60</f>
        <v>0.81666666666666665</v>
      </c>
      <c r="K37" t="str">
        <f>IF(CLIENTS_CHURN345[[#This Row],[Type_Forfait]]="Pro Monde","B2B","B2C")</f>
        <v>B2C</v>
      </c>
      <c r="L37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37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37" s="1">
        <f>CLIENTS_CHURN345[[#This Row],[Facture_Mensuelle]]*CLIENTS_CHURN345[[#This Row],[Colonne12]]</f>
        <v>0</v>
      </c>
    </row>
    <row r="38" spans="1:14">
      <c r="A38" s="1" t="s">
        <v>602</v>
      </c>
      <c r="B38" t="s">
        <v>610</v>
      </c>
      <c r="C38" t="s">
        <v>20</v>
      </c>
      <c r="D38">
        <v>67</v>
      </c>
      <c r="E38" t="s">
        <v>21</v>
      </c>
      <c r="F38">
        <v>81</v>
      </c>
      <c r="G38">
        <v>28.52</v>
      </c>
      <c r="H38">
        <v>4</v>
      </c>
      <c r="I38">
        <f>CLIENTS_CHURN345[[#This Row],[Anciennete_Mois]]/12</f>
        <v>5.583333333333333</v>
      </c>
      <c r="J38">
        <f>CLIENTS_CHURN345[[#This Row],[Duree_Cumulee_Panne_Min]]/60</f>
        <v>1.35</v>
      </c>
      <c r="K38" t="str">
        <f>IF(CLIENTS_CHURN345[[#This Row],[Type_Forfait]]="Pro Monde","B2B","B2C")</f>
        <v>B2C</v>
      </c>
      <c r="L38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38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38" s="1">
        <f>CLIENTS_CHURN345[[#This Row],[Facture_Mensuelle]]*CLIENTS_CHURN345[[#This Row],[Colonne12]]</f>
        <v>0</v>
      </c>
    </row>
    <row r="39" spans="1:14">
      <c r="A39" s="1" t="s">
        <v>242</v>
      </c>
      <c r="B39" t="s">
        <v>251</v>
      </c>
      <c r="C39" t="s">
        <v>57</v>
      </c>
      <c r="D39">
        <v>18</v>
      </c>
      <c r="E39" t="s">
        <v>21</v>
      </c>
      <c r="F39">
        <v>34</v>
      </c>
      <c r="G39">
        <v>43.71</v>
      </c>
      <c r="H39">
        <v>1</v>
      </c>
      <c r="I39">
        <f>CLIENTS_CHURN345[[#This Row],[Anciennete_Mois]]/12</f>
        <v>1.5</v>
      </c>
      <c r="J39">
        <f>CLIENTS_CHURN345[[#This Row],[Duree_Cumulee_Panne_Min]]/60</f>
        <v>0.56666666666666665</v>
      </c>
      <c r="K39" t="str">
        <f>IF(CLIENTS_CHURN345[[#This Row],[Type_Forfait]]="Pro Monde","B2B","B2C")</f>
        <v>B2C</v>
      </c>
      <c r="L39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39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39" s="1">
        <f>CLIENTS_CHURN345[[#This Row],[Facture_Mensuelle]]*CLIENTS_CHURN345[[#This Row],[Colonne12]]</f>
        <v>0</v>
      </c>
    </row>
    <row r="40" spans="1:14">
      <c r="A40" s="1" t="s">
        <v>8</v>
      </c>
      <c r="B40" t="s">
        <v>72</v>
      </c>
      <c r="C40" t="s">
        <v>40</v>
      </c>
      <c r="D40">
        <v>6</v>
      </c>
      <c r="E40" t="s">
        <v>21</v>
      </c>
      <c r="F40">
        <v>155</v>
      </c>
      <c r="G40">
        <v>40.659999999999997</v>
      </c>
      <c r="H40">
        <v>1</v>
      </c>
      <c r="I40">
        <f>CLIENTS_CHURN345[[#This Row],[Anciennete_Mois]]/12</f>
        <v>0.5</v>
      </c>
      <c r="J40">
        <f>CLIENTS_CHURN345[[#This Row],[Duree_Cumulee_Panne_Min]]/60</f>
        <v>2.5833333333333335</v>
      </c>
      <c r="K40" t="str">
        <f>IF(CLIENTS_CHURN345[[#This Row],[Type_Forfait]]="Pro Monde","B2B","B2C")</f>
        <v>B2C</v>
      </c>
      <c r="L40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40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40" s="1">
        <f>CLIENTS_CHURN345[[#This Row],[Facture_Mensuelle]]*CLIENTS_CHURN345[[#This Row],[Colonne12]]</f>
        <v>0</v>
      </c>
    </row>
    <row r="41" spans="1:14">
      <c r="A41" s="1" t="s">
        <v>293</v>
      </c>
      <c r="B41" t="s">
        <v>303</v>
      </c>
      <c r="C41" t="s">
        <v>107</v>
      </c>
      <c r="D41">
        <v>97</v>
      </c>
      <c r="E41" t="s">
        <v>14</v>
      </c>
      <c r="F41">
        <v>40</v>
      </c>
      <c r="G41">
        <v>85.19</v>
      </c>
      <c r="H41">
        <v>1</v>
      </c>
      <c r="I41">
        <f>CLIENTS_CHURN345[[#This Row],[Anciennete_Mois]]/12</f>
        <v>8.0833333333333339</v>
      </c>
      <c r="J41">
        <f>CLIENTS_CHURN345[[#This Row],[Duree_Cumulee_Panne_Min]]/60</f>
        <v>0.66666666666666663</v>
      </c>
      <c r="K41" t="str">
        <f>IF(CLIENTS_CHURN345[[#This Row],[Type_Forfait]]="Pro Monde","B2B","B2C")</f>
        <v>B2C</v>
      </c>
      <c r="L41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41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41" s="1">
        <f>CLIENTS_CHURN345[[#This Row],[Facture_Mensuelle]]*CLIENTS_CHURN345[[#This Row],[Colonne12]]</f>
        <v>0</v>
      </c>
    </row>
    <row r="42" spans="1:14">
      <c r="A42" s="1" t="s">
        <v>293</v>
      </c>
      <c r="B42" t="s">
        <v>304</v>
      </c>
      <c r="C42" t="s">
        <v>76</v>
      </c>
      <c r="D42">
        <v>8</v>
      </c>
      <c r="E42" t="s">
        <v>14</v>
      </c>
      <c r="F42">
        <v>120</v>
      </c>
      <c r="G42">
        <v>88.29</v>
      </c>
      <c r="H42">
        <v>5</v>
      </c>
      <c r="I42">
        <f>CLIENTS_CHURN345[[#This Row],[Anciennete_Mois]]/12</f>
        <v>0.66666666666666663</v>
      </c>
      <c r="J42">
        <f>CLIENTS_CHURN345[[#This Row],[Duree_Cumulee_Panne_Min]]/60</f>
        <v>2</v>
      </c>
      <c r="K42" t="str">
        <f>IF(CLIENTS_CHURN345[[#This Row],[Type_Forfait]]="Pro Monde","B2B","B2C")</f>
        <v>B2C</v>
      </c>
      <c r="L42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42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42" s="1">
        <f>CLIENTS_CHURN345[[#This Row],[Facture_Mensuelle]]*CLIENTS_CHURN345[[#This Row],[Colonne12]]</f>
        <v>0</v>
      </c>
    </row>
    <row r="43" spans="1:14">
      <c r="A43" s="1" t="s">
        <v>653</v>
      </c>
      <c r="B43" t="s">
        <v>662</v>
      </c>
      <c r="C43" t="s">
        <v>20</v>
      </c>
      <c r="D43">
        <v>75</v>
      </c>
      <c r="E43" t="s">
        <v>21</v>
      </c>
      <c r="F43">
        <v>99</v>
      </c>
      <c r="G43">
        <v>16.93</v>
      </c>
      <c r="H43">
        <v>5</v>
      </c>
      <c r="I43">
        <f>CLIENTS_CHURN345[[#This Row],[Anciennete_Mois]]/12</f>
        <v>6.25</v>
      </c>
      <c r="J43">
        <f>CLIENTS_CHURN345[[#This Row],[Duree_Cumulee_Panne_Min]]/60</f>
        <v>1.65</v>
      </c>
      <c r="K43" t="str">
        <f>IF(CLIENTS_CHURN345[[#This Row],[Type_Forfait]]="Pro Monde","B2B","B2C")</f>
        <v>B2C</v>
      </c>
      <c r="L43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43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43" s="1">
        <f>CLIENTS_CHURN345[[#This Row],[Facture_Mensuelle]]*CLIENTS_CHURN345[[#This Row],[Colonne12]]</f>
        <v>0</v>
      </c>
    </row>
    <row r="44" spans="1:14">
      <c r="A44" s="1" t="s">
        <v>344</v>
      </c>
      <c r="B44" t="s">
        <v>350</v>
      </c>
      <c r="C44" t="s">
        <v>36</v>
      </c>
      <c r="D44">
        <v>29</v>
      </c>
      <c r="E44" t="s">
        <v>14</v>
      </c>
      <c r="F44">
        <v>173</v>
      </c>
      <c r="G44">
        <v>49.03</v>
      </c>
      <c r="H44">
        <v>3</v>
      </c>
      <c r="I44">
        <f>CLIENTS_CHURN345[[#This Row],[Anciennete_Mois]]/12</f>
        <v>2.4166666666666665</v>
      </c>
      <c r="J44">
        <f>CLIENTS_CHURN345[[#This Row],[Duree_Cumulee_Panne_Min]]/60</f>
        <v>2.8833333333333333</v>
      </c>
      <c r="K44" t="str">
        <f>IF(CLIENTS_CHURN345[[#This Row],[Type_Forfait]]="Pro Monde","B2B","B2C")</f>
        <v>B2C</v>
      </c>
      <c r="L44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44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44" s="1">
        <f>CLIENTS_CHURN345[[#This Row],[Facture_Mensuelle]]*CLIENTS_CHURN345[[#This Row],[Colonne12]]</f>
        <v>0</v>
      </c>
    </row>
    <row r="45" spans="1:14">
      <c r="A45" s="1" t="s">
        <v>293</v>
      </c>
      <c r="B45" t="s">
        <v>305</v>
      </c>
      <c r="C45" t="s">
        <v>111</v>
      </c>
      <c r="D45">
        <v>83</v>
      </c>
      <c r="E45" t="s">
        <v>21</v>
      </c>
      <c r="F45">
        <v>30</v>
      </c>
      <c r="G45">
        <v>33.93</v>
      </c>
      <c r="H45">
        <v>3</v>
      </c>
      <c r="I45">
        <f>CLIENTS_CHURN345[[#This Row],[Anciennete_Mois]]/12</f>
        <v>6.916666666666667</v>
      </c>
      <c r="J45">
        <f>CLIENTS_CHURN345[[#This Row],[Duree_Cumulee_Panne_Min]]/60</f>
        <v>0.5</v>
      </c>
      <c r="K45" t="str">
        <f>IF(CLIENTS_CHURN345[[#This Row],[Type_Forfait]]="Pro Monde","B2B","B2C")</f>
        <v>B2C</v>
      </c>
      <c r="L45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45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45" s="1">
        <f>CLIENTS_CHURN345[[#This Row],[Facture_Mensuelle]]*CLIENTS_CHURN345[[#This Row],[Colonne12]]</f>
        <v>0</v>
      </c>
    </row>
    <row r="46" spans="1:14">
      <c r="A46" s="1" t="s">
        <v>705</v>
      </c>
      <c r="B46" t="s">
        <v>718</v>
      </c>
      <c r="C46" t="s">
        <v>63</v>
      </c>
      <c r="D46">
        <v>59</v>
      </c>
      <c r="E46" t="s">
        <v>21</v>
      </c>
      <c r="F46">
        <v>64</v>
      </c>
      <c r="G46">
        <v>20.32</v>
      </c>
      <c r="H46">
        <v>0</v>
      </c>
      <c r="I46">
        <f>CLIENTS_CHURN345[[#This Row],[Anciennete_Mois]]/12</f>
        <v>4.916666666666667</v>
      </c>
      <c r="J46">
        <f>CLIENTS_CHURN345[[#This Row],[Duree_Cumulee_Panne_Min]]/60</f>
        <v>1.0666666666666667</v>
      </c>
      <c r="K46" t="str">
        <f>IF(CLIENTS_CHURN345[[#This Row],[Type_Forfait]]="Pro Monde","B2B","B2C")</f>
        <v>B2C</v>
      </c>
      <c r="L46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46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46" s="1">
        <f>CLIENTS_CHURN345[[#This Row],[Facture_Mensuelle]]*CLIENTS_CHURN345[[#This Row],[Colonne12]]</f>
        <v>0</v>
      </c>
    </row>
    <row r="47" spans="1:14">
      <c r="A47" s="1" t="s">
        <v>447</v>
      </c>
      <c r="B47" t="s">
        <v>461</v>
      </c>
      <c r="C47" t="s">
        <v>71</v>
      </c>
      <c r="D47">
        <v>28</v>
      </c>
      <c r="E47" t="s">
        <v>21</v>
      </c>
      <c r="F47">
        <v>112</v>
      </c>
      <c r="G47">
        <v>94.51</v>
      </c>
      <c r="H47">
        <v>3</v>
      </c>
      <c r="I47">
        <f>CLIENTS_CHURN345[[#This Row],[Anciennete_Mois]]/12</f>
        <v>2.3333333333333335</v>
      </c>
      <c r="J47">
        <f>CLIENTS_CHURN345[[#This Row],[Duree_Cumulee_Panne_Min]]/60</f>
        <v>1.8666666666666667</v>
      </c>
      <c r="K47" t="str">
        <f>IF(CLIENTS_CHURN345[[#This Row],[Type_Forfait]]="Pro Monde","B2B","B2C")</f>
        <v>B2C</v>
      </c>
      <c r="L47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47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47" s="1">
        <f>CLIENTS_CHURN345[[#This Row],[Facture_Mensuelle]]*CLIENTS_CHURN345[[#This Row],[Colonne12]]</f>
        <v>0</v>
      </c>
    </row>
    <row r="48" spans="1:14">
      <c r="A48" s="1" t="s">
        <v>293</v>
      </c>
      <c r="B48" t="s">
        <v>308</v>
      </c>
      <c r="C48" t="s">
        <v>52</v>
      </c>
      <c r="D48">
        <v>87</v>
      </c>
      <c r="E48" t="s">
        <v>14</v>
      </c>
      <c r="F48">
        <v>21</v>
      </c>
      <c r="G48">
        <v>81.459999999999994</v>
      </c>
      <c r="H48">
        <v>3</v>
      </c>
      <c r="I48">
        <f>CLIENTS_CHURN345[[#This Row],[Anciennete_Mois]]/12</f>
        <v>7.25</v>
      </c>
      <c r="J48">
        <f>CLIENTS_CHURN345[[#This Row],[Duree_Cumulee_Panne_Min]]/60</f>
        <v>0.35</v>
      </c>
      <c r="K48" t="str">
        <f>IF(CLIENTS_CHURN345[[#This Row],[Type_Forfait]]="Pro Monde","B2B","B2C")</f>
        <v>B2C</v>
      </c>
      <c r="L48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48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48" s="1">
        <f>CLIENTS_CHURN345[[#This Row],[Facture_Mensuelle]]*CLIENTS_CHURN345[[#This Row],[Colonne12]]</f>
        <v>0</v>
      </c>
    </row>
    <row r="49" spans="1:14">
      <c r="A49" s="1" t="s">
        <v>344</v>
      </c>
      <c r="B49" t="s">
        <v>352</v>
      </c>
      <c r="C49" t="s">
        <v>111</v>
      </c>
      <c r="D49">
        <v>103</v>
      </c>
      <c r="E49" t="s">
        <v>21</v>
      </c>
      <c r="F49">
        <v>182</v>
      </c>
      <c r="G49">
        <v>12.07</v>
      </c>
      <c r="H49">
        <v>5</v>
      </c>
      <c r="I49">
        <f>CLIENTS_CHURN345[[#This Row],[Anciennete_Mois]]/12</f>
        <v>8.5833333333333339</v>
      </c>
      <c r="J49">
        <f>CLIENTS_CHURN345[[#This Row],[Duree_Cumulee_Panne_Min]]/60</f>
        <v>3.0333333333333332</v>
      </c>
      <c r="K49" t="str">
        <f>IF(CLIENTS_CHURN345[[#This Row],[Type_Forfait]]="Pro Monde","B2B","B2C")</f>
        <v>B2C</v>
      </c>
      <c r="L49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49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49" s="1">
        <f>CLIENTS_CHURN345[[#This Row],[Facture_Mensuelle]]*CLIENTS_CHURN345[[#This Row],[Colonne12]]</f>
        <v>0</v>
      </c>
    </row>
    <row r="50" spans="1:14">
      <c r="A50" s="1" t="s">
        <v>85</v>
      </c>
      <c r="B50" t="s">
        <v>96</v>
      </c>
      <c r="C50" t="s">
        <v>43</v>
      </c>
      <c r="D50">
        <v>81</v>
      </c>
      <c r="E50" t="s">
        <v>32</v>
      </c>
      <c r="F50">
        <v>137</v>
      </c>
      <c r="G50">
        <v>89.05</v>
      </c>
      <c r="H50">
        <v>0</v>
      </c>
      <c r="I50">
        <f>CLIENTS_CHURN345[[#This Row],[Anciennete_Mois]]/12</f>
        <v>6.75</v>
      </c>
      <c r="J50">
        <f>CLIENTS_CHURN345[[#This Row],[Duree_Cumulee_Panne_Min]]/60</f>
        <v>2.2833333333333332</v>
      </c>
      <c r="K50" t="str">
        <f>IF(CLIENTS_CHURN345[[#This Row],[Type_Forfait]]="Pro Monde","B2B","B2C")</f>
        <v>B2C</v>
      </c>
      <c r="L50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50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50" s="1">
        <f>CLIENTS_CHURN345[[#This Row],[Facture_Mensuelle]]*CLIENTS_CHURN345[[#This Row],[Colonne12]]</f>
        <v>0</v>
      </c>
    </row>
    <row r="51" spans="1:14">
      <c r="A51" s="1" t="s">
        <v>85</v>
      </c>
      <c r="B51" t="s">
        <v>97</v>
      </c>
      <c r="C51" t="s">
        <v>18</v>
      </c>
      <c r="D51">
        <v>82</v>
      </c>
      <c r="E51" t="s">
        <v>14</v>
      </c>
      <c r="F51">
        <v>132</v>
      </c>
      <c r="G51">
        <v>50.14</v>
      </c>
      <c r="H51">
        <v>5</v>
      </c>
      <c r="I51">
        <f>CLIENTS_CHURN345[[#This Row],[Anciennete_Mois]]/12</f>
        <v>6.833333333333333</v>
      </c>
      <c r="J51">
        <f>CLIENTS_CHURN345[[#This Row],[Duree_Cumulee_Panne_Min]]/60</f>
        <v>2.2000000000000002</v>
      </c>
      <c r="K51" t="str">
        <f>IF(CLIENTS_CHURN345[[#This Row],[Type_Forfait]]="Pro Monde","B2B","B2C")</f>
        <v>B2C</v>
      </c>
      <c r="L51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51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51" s="1">
        <f>CLIENTS_CHURN345[[#This Row],[Facture_Mensuelle]]*CLIENTS_CHURN345[[#This Row],[Colonne12]]</f>
        <v>0</v>
      </c>
    </row>
    <row r="52" spans="1:14">
      <c r="A52" s="1" t="s">
        <v>140</v>
      </c>
      <c r="B52" t="s">
        <v>150</v>
      </c>
      <c r="C52" t="s">
        <v>79</v>
      </c>
      <c r="D52">
        <v>59</v>
      </c>
      <c r="E52" t="s">
        <v>14</v>
      </c>
      <c r="F52">
        <v>196</v>
      </c>
      <c r="G52">
        <v>62.53</v>
      </c>
      <c r="H52">
        <v>0</v>
      </c>
      <c r="I52">
        <f>CLIENTS_CHURN345[[#This Row],[Anciennete_Mois]]/12</f>
        <v>4.916666666666667</v>
      </c>
      <c r="J52">
        <f>CLIENTS_CHURN345[[#This Row],[Duree_Cumulee_Panne_Min]]/60</f>
        <v>3.2666666666666666</v>
      </c>
      <c r="K52" t="str">
        <f>IF(CLIENTS_CHURN345[[#This Row],[Type_Forfait]]="Pro Monde","B2B","B2C")</f>
        <v>B2C</v>
      </c>
      <c r="L52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52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52" s="1">
        <f>CLIENTS_CHURN345[[#This Row],[Facture_Mensuelle]]*CLIENTS_CHURN345[[#This Row],[Colonne12]]</f>
        <v>0</v>
      </c>
    </row>
    <row r="53" spans="1:14">
      <c r="A53" s="1" t="s">
        <v>602</v>
      </c>
      <c r="B53" t="s">
        <v>612</v>
      </c>
      <c r="C53" t="s">
        <v>65</v>
      </c>
      <c r="D53">
        <v>118</v>
      </c>
      <c r="E53" t="s">
        <v>14</v>
      </c>
      <c r="F53">
        <v>186</v>
      </c>
      <c r="G53">
        <v>46.88</v>
      </c>
      <c r="H53">
        <v>1</v>
      </c>
      <c r="I53">
        <f>CLIENTS_CHURN345[[#This Row],[Anciennete_Mois]]/12</f>
        <v>9.8333333333333339</v>
      </c>
      <c r="J53">
        <f>CLIENTS_CHURN345[[#This Row],[Duree_Cumulee_Panne_Min]]/60</f>
        <v>3.1</v>
      </c>
      <c r="K53" t="str">
        <f>IF(CLIENTS_CHURN345[[#This Row],[Type_Forfait]]="Pro Monde","B2B","B2C")</f>
        <v>B2C</v>
      </c>
      <c r="L53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53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53" s="1">
        <f>CLIENTS_CHURN345[[#This Row],[Facture_Mensuelle]]*CLIENTS_CHURN345[[#This Row],[Colonne12]]</f>
        <v>0</v>
      </c>
    </row>
    <row r="54" spans="1:14">
      <c r="A54" s="1" t="s">
        <v>191</v>
      </c>
      <c r="B54" t="s">
        <v>199</v>
      </c>
      <c r="C54" t="s">
        <v>52</v>
      </c>
      <c r="D54">
        <v>113</v>
      </c>
      <c r="E54" t="s">
        <v>32</v>
      </c>
      <c r="F54">
        <v>207</v>
      </c>
      <c r="G54">
        <v>21.55</v>
      </c>
      <c r="H54">
        <v>0</v>
      </c>
      <c r="I54">
        <f>CLIENTS_CHURN345[[#This Row],[Anciennete_Mois]]/12</f>
        <v>9.4166666666666661</v>
      </c>
      <c r="J54">
        <f>CLIENTS_CHURN345[[#This Row],[Duree_Cumulee_Panne_Min]]/60</f>
        <v>3.45</v>
      </c>
      <c r="K54" t="str">
        <f>IF(CLIENTS_CHURN345[[#This Row],[Type_Forfait]]="Pro Monde","B2B","B2C")</f>
        <v>B2C</v>
      </c>
      <c r="L54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54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54" s="1">
        <f>CLIENTS_CHURN345[[#This Row],[Facture_Mensuelle]]*CLIENTS_CHURN345[[#This Row],[Colonne12]]</f>
        <v>0</v>
      </c>
    </row>
    <row r="55" spans="1:14">
      <c r="A55" s="1" t="s">
        <v>653</v>
      </c>
      <c r="B55" t="s">
        <v>667</v>
      </c>
      <c r="C55" t="s">
        <v>10</v>
      </c>
      <c r="D55">
        <v>79</v>
      </c>
      <c r="E55" t="s">
        <v>21</v>
      </c>
      <c r="F55">
        <v>139</v>
      </c>
      <c r="G55">
        <v>16.25</v>
      </c>
      <c r="H55">
        <v>4</v>
      </c>
      <c r="I55">
        <f>CLIENTS_CHURN345[[#This Row],[Anciennete_Mois]]/12</f>
        <v>6.583333333333333</v>
      </c>
      <c r="J55">
        <f>CLIENTS_CHURN345[[#This Row],[Duree_Cumulee_Panne_Min]]/60</f>
        <v>2.3166666666666669</v>
      </c>
      <c r="K55" t="str">
        <f>IF(CLIENTS_CHURN345[[#This Row],[Type_Forfait]]="Pro Monde","B2B","B2C")</f>
        <v>B2C</v>
      </c>
      <c r="L55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55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55" s="1">
        <f>CLIENTS_CHURN345[[#This Row],[Facture_Mensuelle]]*CLIENTS_CHURN345[[#This Row],[Colonne12]]</f>
        <v>0</v>
      </c>
    </row>
    <row r="56" spans="1:14">
      <c r="A56" s="1" t="s">
        <v>293</v>
      </c>
      <c r="B56" t="s">
        <v>311</v>
      </c>
      <c r="C56" t="s">
        <v>63</v>
      </c>
      <c r="D56">
        <v>82</v>
      </c>
      <c r="E56" t="s">
        <v>32</v>
      </c>
      <c r="F56">
        <v>32</v>
      </c>
      <c r="G56">
        <v>77.63</v>
      </c>
      <c r="H56">
        <v>1</v>
      </c>
      <c r="I56">
        <f>CLIENTS_CHURN345[[#This Row],[Anciennete_Mois]]/12</f>
        <v>6.833333333333333</v>
      </c>
      <c r="J56">
        <f>CLIENTS_CHURN345[[#This Row],[Duree_Cumulee_Panne_Min]]/60</f>
        <v>0.53333333333333333</v>
      </c>
      <c r="K56" t="str">
        <f>IF(CLIENTS_CHURN345[[#This Row],[Type_Forfait]]="Pro Monde","B2B","B2C")</f>
        <v>B2C</v>
      </c>
      <c r="L56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56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56" s="1">
        <f>CLIENTS_CHURN345[[#This Row],[Facture_Mensuelle]]*CLIENTS_CHURN345[[#This Row],[Colonne12]]</f>
        <v>0</v>
      </c>
    </row>
    <row r="57" spans="1:14">
      <c r="A57" s="1" t="s">
        <v>191</v>
      </c>
      <c r="B57" t="s">
        <v>200</v>
      </c>
      <c r="C57" t="s">
        <v>40</v>
      </c>
      <c r="D57">
        <v>74</v>
      </c>
      <c r="E57" t="s">
        <v>32</v>
      </c>
      <c r="F57">
        <v>213</v>
      </c>
      <c r="G57">
        <v>35.54</v>
      </c>
      <c r="H57">
        <v>3</v>
      </c>
      <c r="I57">
        <f>CLIENTS_CHURN345[[#This Row],[Anciennete_Mois]]/12</f>
        <v>6.166666666666667</v>
      </c>
      <c r="J57">
        <f>CLIENTS_CHURN345[[#This Row],[Duree_Cumulee_Panne_Min]]/60</f>
        <v>3.55</v>
      </c>
      <c r="K57" t="str">
        <f>IF(CLIENTS_CHURN345[[#This Row],[Type_Forfait]]="Pro Monde","B2B","B2C")</f>
        <v>B2C</v>
      </c>
      <c r="L57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57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57" s="1">
        <f>CLIENTS_CHURN345[[#This Row],[Facture_Mensuelle]]*CLIENTS_CHURN345[[#This Row],[Colonne12]]</f>
        <v>0</v>
      </c>
    </row>
    <row r="58" spans="1:14">
      <c r="A58" s="1" t="s">
        <v>85</v>
      </c>
      <c r="B58" t="s">
        <v>101</v>
      </c>
      <c r="C58" t="s">
        <v>76</v>
      </c>
      <c r="D58">
        <v>72</v>
      </c>
      <c r="E58" t="s">
        <v>21</v>
      </c>
      <c r="F58">
        <v>51</v>
      </c>
      <c r="G58">
        <v>95.09</v>
      </c>
      <c r="H58">
        <v>0</v>
      </c>
      <c r="I58">
        <f>CLIENTS_CHURN345[[#This Row],[Anciennete_Mois]]/12</f>
        <v>6</v>
      </c>
      <c r="J58">
        <f>CLIENTS_CHURN345[[#This Row],[Duree_Cumulee_Panne_Min]]/60</f>
        <v>0.85</v>
      </c>
      <c r="K58" t="str">
        <f>IF(CLIENTS_CHURN345[[#This Row],[Type_Forfait]]="Pro Monde","B2B","B2C")</f>
        <v>B2C</v>
      </c>
      <c r="L58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58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58" s="1">
        <f>CLIENTS_CHURN345[[#This Row],[Facture_Mensuelle]]*CLIENTS_CHURN345[[#This Row],[Colonne12]]</f>
        <v>0</v>
      </c>
    </row>
    <row r="59" spans="1:14">
      <c r="A59" s="1" t="s">
        <v>8</v>
      </c>
      <c r="B59" t="s">
        <v>64</v>
      </c>
      <c r="C59" t="s">
        <v>65</v>
      </c>
      <c r="D59">
        <v>79</v>
      </c>
      <c r="E59" t="s">
        <v>32</v>
      </c>
      <c r="F59">
        <v>226</v>
      </c>
      <c r="G59">
        <v>94.38</v>
      </c>
      <c r="H59">
        <v>3</v>
      </c>
      <c r="I59">
        <f>CLIENTS_CHURN345[[#This Row],[Anciennete_Mois]]/12</f>
        <v>6.583333333333333</v>
      </c>
      <c r="J59">
        <f>CLIENTS_CHURN345[[#This Row],[Duree_Cumulee_Panne_Min]]/60</f>
        <v>3.7666666666666666</v>
      </c>
      <c r="K59" t="str">
        <f>IF(CLIENTS_CHURN345[[#This Row],[Type_Forfait]]="Pro Monde","B2B","B2C")</f>
        <v>B2C</v>
      </c>
      <c r="L59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59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59" s="1">
        <f>CLIENTS_CHURN345[[#This Row],[Facture_Mensuelle]]*CLIENTS_CHURN345[[#This Row],[Colonne12]]</f>
        <v>0</v>
      </c>
    </row>
    <row r="60" spans="1:14">
      <c r="A60" s="1" t="s">
        <v>140</v>
      </c>
      <c r="B60" t="s">
        <v>153</v>
      </c>
      <c r="C60" t="s">
        <v>71</v>
      </c>
      <c r="D60">
        <v>54</v>
      </c>
      <c r="E60" t="s">
        <v>14</v>
      </c>
      <c r="F60">
        <v>99</v>
      </c>
      <c r="G60">
        <v>39.58</v>
      </c>
      <c r="H60">
        <v>0</v>
      </c>
      <c r="I60">
        <f>CLIENTS_CHURN345[[#This Row],[Anciennete_Mois]]/12</f>
        <v>4.5</v>
      </c>
      <c r="J60">
        <f>CLIENTS_CHURN345[[#This Row],[Duree_Cumulee_Panne_Min]]/60</f>
        <v>1.65</v>
      </c>
      <c r="K60" t="str">
        <f>IF(CLIENTS_CHURN345[[#This Row],[Type_Forfait]]="Pro Monde","B2B","B2C")</f>
        <v>B2C</v>
      </c>
      <c r="L60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60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60" s="1">
        <f>CLIENTS_CHURN345[[#This Row],[Facture_Mensuelle]]*CLIENTS_CHURN345[[#This Row],[Colonne12]]</f>
        <v>0</v>
      </c>
    </row>
    <row r="61" spans="1:14">
      <c r="A61" s="1" t="s">
        <v>551</v>
      </c>
      <c r="B61" t="s">
        <v>571</v>
      </c>
      <c r="C61" t="s">
        <v>57</v>
      </c>
      <c r="D61">
        <v>120</v>
      </c>
      <c r="E61" t="s">
        <v>14</v>
      </c>
      <c r="F61">
        <v>27</v>
      </c>
      <c r="G61">
        <v>24.46</v>
      </c>
      <c r="H61">
        <v>3</v>
      </c>
      <c r="I61">
        <f>CLIENTS_CHURN345[[#This Row],[Anciennete_Mois]]/12</f>
        <v>10</v>
      </c>
      <c r="J61">
        <f>CLIENTS_CHURN345[[#This Row],[Duree_Cumulee_Panne_Min]]/60</f>
        <v>0.45</v>
      </c>
      <c r="K61" t="str">
        <f>IF(CLIENTS_CHURN345[[#This Row],[Type_Forfait]]="Pro Monde","B2B","B2C")</f>
        <v>B2C</v>
      </c>
      <c r="L61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61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61" s="1">
        <f>CLIENTS_CHURN345[[#This Row],[Facture_Mensuelle]]*CLIENTS_CHURN345[[#This Row],[Colonne12]]</f>
        <v>0</v>
      </c>
    </row>
    <row r="62" spans="1:14">
      <c r="A62" s="1" t="s">
        <v>242</v>
      </c>
      <c r="B62" t="s">
        <v>259</v>
      </c>
      <c r="C62" t="s">
        <v>107</v>
      </c>
      <c r="D62">
        <v>65</v>
      </c>
      <c r="E62" t="s">
        <v>14</v>
      </c>
      <c r="F62">
        <v>118</v>
      </c>
      <c r="G62">
        <v>72.430000000000007</v>
      </c>
      <c r="H62">
        <v>1</v>
      </c>
      <c r="I62">
        <f>CLIENTS_CHURN345[[#This Row],[Anciennete_Mois]]/12</f>
        <v>5.416666666666667</v>
      </c>
      <c r="J62">
        <f>CLIENTS_CHURN345[[#This Row],[Duree_Cumulee_Panne_Min]]/60</f>
        <v>1.9666666666666666</v>
      </c>
      <c r="K62" t="str">
        <f>IF(CLIENTS_CHURN345[[#This Row],[Type_Forfait]]="Pro Monde","B2B","B2C")</f>
        <v>B2C</v>
      </c>
      <c r="L62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62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62" s="1">
        <f>CLIENTS_CHURN345[[#This Row],[Facture_Mensuelle]]*CLIENTS_CHURN345[[#This Row],[Colonne12]]</f>
        <v>0</v>
      </c>
    </row>
    <row r="63" spans="1:14">
      <c r="A63" s="1" t="s">
        <v>602</v>
      </c>
      <c r="B63" t="s">
        <v>616</v>
      </c>
      <c r="C63" t="s">
        <v>57</v>
      </c>
      <c r="D63">
        <v>50</v>
      </c>
      <c r="E63" t="s">
        <v>21</v>
      </c>
      <c r="F63">
        <v>177</v>
      </c>
      <c r="G63">
        <v>74.569999999999993</v>
      </c>
      <c r="H63">
        <v>4</v>
      </c>
      <c r="I63">
        <f>CLIENTS_CHURN345[[#This Row],[Anciennete_Mois]]/12</f>
        <v>4.166666666666667</v>
      </c>
      <c r="J63">
        <f>CLIENTS_CHURN345[[#This Row],[Duree_Cumulee_Panne_Min]]/60</f>
        <v>2.95</v>
      </c>
      <c r="K63" t="str">
        <f>IF(CLIENTS_CHURN345[[#This Row],[Type_Forfait]]="Pro Monde","B2B","B2C")</f>
        <v>B2C</v>
      </c>
      <c r="L63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63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63" s="1">
        <f>CLIENTS_CHURN345[[#This Row],[Facture_Mensuelle]]*CLIENTS_CHURN345[[#This Row],[Colonne12]]</f>
        <v>0</v>
      </c>
    </row>
    <row r="64" spans="1:14">
      <c r="A64" s="1" t="s">
        <v>447</v>
      </c>
      <c r="B64" t="s">
        <v>470</v>
      </c>
      <c r="C64" t="s">
        <v>18</v>
      </c>
      <c r="D64">
        <v>83</v>
      </c>
      <c r="E64" t="s">
        <v>32</v>
      </c>
      <c r="F64">
        <v>105</v>
      </c>
      <c r="G64">
        <v>20.46</v>
      </c>
      <c r="H64">
        <v>1</v>
      </c>
      <c r="I64">
        <f>CLIENTS_CHURN345[[#This Row],[Anciennete_Mois]]/12</f>
        <v>6.916666666666667</v>
      </c>
      <c r="J64">
        <f>CLIENTS_CHURN345[[#This Row],[Duree_Cumulee_Panne_Min]]/60</f>
        <v>1.75</v>
      </c>
      <c r="K64" t="str">
        <f>IF(CLIENTS_CHURN345[[#This Row],[Type_Forfait]]="Pro Monde","B2B","B2C")</f>
        <v>B2C</v>
      </c>
      <c r="L64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64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64" s="1">
        <f>CLIENTS_CHURN345[[#This Row],[Facture_Mensuelle]]*CLIENTS_CHURN345[[#This Row],[Colonne12]]</f>
        <v>0</v>
      </c>
    </row>
    <row r="65" spans="1:14">
      <c r="A65" s="1" t="s">
        <v>140</v>
      </c>
      <c r="B65" t="s">
        <v>156</v>
      </c>
      <c r="C65" t="s">
        <v>57</v>
      </c>
      <c r="D65">
        <v>42</v>
      </c>
      <c r="E65" t="s">
        <v>21</v>
      </c>
      <c r="F65">
        <v>173</v>
      </c>
      <c r="G65">
        <v>69.19</v>
      </c>
      <c r="H65">
        <v>4</v>
      </c>
      <c r="I65">
        <f>CLIENTS_CHURN345[[#This Row],[Anciennete_Mois]]/12</f>
        <v>3.5</v>
      </c>
      <c r="J65">
        <f>CLIENTS_CHURN345[[#This Row],[Duree_Cumulee_Panne_Min]]/60</f>
        <v>2.8833333333333333</v>
      </c>
      <c r="K65" t="str">
        <f>IF(CLIENTS_CHURN345[[#This Row],[Type_Forfait]]="Pro Monde","B2B","B2C")</f>
        <v>B2C</v>
      </c>
      <c r="L65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65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65" s="1">
        <f>CLIENTS_CHURN345[[#This Row],[Facture_Mensuelle]]*CLIENTS_CHURN345[[#This Row],[Colonne12]]</f>
        <v>0</v>
      </c>
    </row>
    <row r="66" spans="1:14">
      <c r="A66" s="1" t="s">
        <v>395</v>
      </c>
      <c r="B66" t="s">
        <v>416</v>
      </c>
      <c r="C66" t="s">
        <v>20</v>
      </c>
      <c r="D66">
        <v>113</v>
      </c>
      <c r="E66" t="s">
        <v>32</v>
      </c>
      <c r="F66">
        <v>89</v>
      </c>
      <c r="G66">
        <v>54.28</v>
      </c>
      <c r="H66">
        <v>0</v>
      </c>
      <c r="I66">
        <f>CLIENTS_CHURN345[[#This Row],[Anciennete_Mois]]/12</f>
        <v>9.4166666666666661</v>
      </c>
      <c r="J66">
        <f>CLIENTS_CHURN345[[#This Row],[Duree_Cumulee_Panne_Min]]/60</f>
        <v>1.4833333333333334</v>
      </c>
      <c r="K66" t="str">
        <f>IF(CLIENTS_CHURN345[[#This Row],[Type_Forfait]]="Pro Monde","B2B","B2C")</f>
        <v>B2C</v>
      </c>
      <c r="L66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66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66" s="1">
        <f>CLIENTS_CHURN345[[#This Row],[Facture_Mensuelle]]*CLIENTS_CHURN345[[#This Row],[Colonne12]]</f>
        <v>0</v>
      </c>
    </row>
    <row r="67" spans="1:14">
      <c r="A67" s="1" t="s">
        <v>85</v>
      </c>
      <c r="B67" t="s">
        <v>104</v>
      </c>
      <c r="C67" t="s">
        <v>61</v>
      </c>
      <c r="D67">
        <v>74</v>
      </c>
      <c r="E67" t="s">
        <v>32</v>
      </c>
      <c r="F67">
        <v>208</v>
      </c>
      <c r="G67">
        <v>39.56</v>
      </c>
      <c r="H67">
        <v>0</v>
      </c>
      <c r="I67">
        <f>CLIENTS_CHURN345[[#This Row],[Anciennete_Mois]]/12</f>
        <v>6.166666666666667</v>
      </c>
      <c r="J67">
        <f>CLIENTS_CHURN345[[#This Row],[Duree_Cumulee_Panne_Min]]/60</f>
        <v>3.4666666666666668</v>
      </c>
      <c r="K67" t="str">
        <f>IF(CLIENTS_CHURN345[[#This Row],[Type_Forfait]]="Pro Monde","B2B","B2C")</f>
        <v>B2C</v>
      </c>
      <c r="L67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67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67" s="1">
        <f>CLIENTS_CHURN345[[#This Row],[Facture_Mensuelle]]*CLIENTS_CHURN345[[#This Row],[Colonne12]]</f>
        <v>0</v>
      </c>
    </row>
    <row r="68" spans="1:14">
      <c r="A68" s="1" t="s">
        <v>293</v>
      </c>
      <c r="B68" t="s">
        <v>315</v>
      </c>
      <c r="C68" t="s">
        <v>40</v>
      </c>
      <c r="D68">
        <v>10</v>
      </c>
      <c r="E68" t="s">
        <v>14</v>
      </c>
      <c r="F68">
        <v>93</v>
      </c>
      <c r="G68">
        <v>78.12</v>
      </c>
      <c r="H68">
        <v>4</v>
      </c>
      <c r="I68">
        <f>CLIENTS_CHURN345[[#This Row],[Anciennete_Mois]]/12</f>
        <v>0.83333333333333337</v>
      </c>
      <c r="J68">
        <f>CLIENTS_CHURN345[[#This Row],[Duree_Cumulee_Panne_Min]]/60</f>
        <v>1.55</v>
      </c>
      <c r="K68" t="str">
        <f>IF(CLIENTS_CHURN345[[#This Row],[Type_Forfait]]="Pro Monde","B2B","B2C")</f>
        <v>B2C</v>
      </c>
      <c r="L68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68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68" s="1">
        <f>CLIENTS_CHURN345[[#This Row],[Facture_Mensuelle]]*CLIENTS_CHURN345[[#This Row],[Colonne12]]</f>
        <v>0</v>
      </c>
    </row>
    <row r="69" spans="1:14">
      <c r="A69" s="1" t="s">
        <v>85</v>
      </c>
      <c r="B69" t="s">
        <v>105</v>
      </c>
      <c r="C69" t="s">
        <v>65</v>
      </c>
      <c r="D69">
        <v>83</v>
      </c>
      <c r="E69" t="s">
        <v>21</v>
      </c>
      <c r="F69">
        <v>14</v>
      </c>
      <c r="G69">
        <v>58.07</v>
      </c>
      <c r="H69">
        <v>3</v>
      </c>
      <c r="I69">
        <f>CLIENTS_CHURN345[[#This Row],[Anciennete_Mois]]/12</f>
        <v>6.916666666666667</v>
      </c>
      <c r="J69">
        <f>CLIENTS_CHURN345[[#This Row],[Duree_Cumulee_Panne_Min]]/60</f>
        <v>0.23333333333333334</v>
      </c>
      <c r="K69" t="str">
        <f>IF(CLIENTS_CHURN345[[#This Row],[Type_Forfait]]="Pro Monde","B2B","B2C")</f>
        <v>B2C</v>
      </c>
      <c r="L69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69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69" s="1">
        <f>CLIENTS_CHURN345[[#This Row],[Facture_Mensuelle]]*CLIENTS_CHURN345[[#This Row],[Colonne12]]</f>
        <v>0</v>
      </c>
    </row>
    <row r="70" spans="1:14">
      <c r="A70" s="1" t="s">
        <v>8</v>
      </c>
      <c r="B70" t="s">
        <v>59</v>
      </c>
      <c r="C70" t="s">
        <v>52</v>
      </c>
      <c r="D70">
        <v>16</v>
      </c>
      <c r="E70" t="s">
        <v>14</v>
      </c>
      <c r="F70">
        <v>43</v>
      </c>
      <c r="G70">
        <v>56.48</v>
      </c>
      <c r="H70">
        <v>0</v>
      </c>
      <c r="I70">
        <f>CLIENTS_CHURN345[[#This Row],[Anciennete_Mois]]/12</f>
        <v>1.3333333333333333</v>
      </c>
      <c r="J70">
        <f>CLIENTS_CHURN345[[#This Row],[Duree_Cumulee_Panne_Min]]/60</f>
        <v>0.71666666666666667</v>
      </c>
      <c r="K70" t="str">
        <f>IF(CLIENTS_CHURN345[[#This Row],[Type_Forfait]]="Pro Monde","B2B","B2C")</f>
        <v>B2C</v>
      </c>
      <c r="L70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70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70" s="1">
        <f>CLIENTS_CHURN345[[#This Row],[Facture_Mensuelle]]*CLIENTS_CHURN345[[#This Row],[Colonne12]]</f>
        <v>0</v>
      </c>
    </row>
    <row r="71" spans="1:14">
      <c r="A71" s="1" t="s">
        <v>242</v>
      </c>
      <c r="B71" t="s">
        <v>261</v>
      </c>
      <c r="C71" t="s">
        <v>92</v>
      </c>
      <c r="D71">
        <v>25</v>
      </c>
      <c r="E71" t="s">
        <v>14</v>
      </c>
      <c r="F71">
        <v>33</v>
      </c>
      <c r="G71">
        <v>30.93</v>
      </c>
      <c r="H71">
        <v>1</v>
      </c>
      <c r="I71">
        <f>CLIENTS_CHURN345[[#This Row],[Anciennete_Mois]]/12</f>
        <v>2.0833333333333335</v>
      </c>
      <c r="J71">
        <f>CLIENTS_CHURN345[[#This Row],[Duree_Cumulee_Panne_Min]]/60</f>
        <v>0.55000000000000004</v>
      </c>
      <c r="K71" t="str">
        <f>IF(CLIENTS_CHURN345[[#This Row],[Type_Forfait]]="Pro Monde","B2B","B2C")</f>
        <v>B2C</v>
      </c>
      <c r="L71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71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71" s="1">
        <f>CLIENTS_CHURN345[[#This Row],[Facture_Mensuelle]]*CLIENTS_CHURN345[[#This Row],[Colonne12]]</f>
        <v>0</v>
      </c>
    </row>
    <row r="72" spans="1:14">
      <c r="A72" s="1" t="s">
        <v>293</v>
      </c>
      <c r="B72" t="s">
        <v>317</v>
      </c>
      <c r="C72" t="s">
        <v>29</v>
      </c>
      <c r="D72">
        <v>45</v>
      </c>
      <c r="E72" t="s">
        <v>21</v>
      </c>
      <c r="F72">
        <v>43</v>
      </c>
      <c r="G72">
        <v>12.31</v>
      </c>
      <c r="H72">
        <v>0</v>
      </c>
      <c r="I72">
        <f>CLIENTS_CHURN345[[#This Row],[Anciennete_Mois]]/12</f>
        <v>3.75</v>
      </c>
      <c r="J72">
        <f>CLIENTS_CHURN345[[#This Row],[Duree_Cumulee_Panne_Min]]/60</f>
        <v>0.71666666666666667</v>
      </c>
      <c r="K72" t="str">
        <f>IF(CLIENTS_CHURN345[[#This Row],[Type_Forfait]]="Pro Monde","B2B","B2C")</f>
        <v>B2C</v>
      </c>
      <c r="L72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72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72" s="1">
        <f>CLIENTS_CHURN345[[#This Row],[Facture_Mensuelle]]*CLIENTS_CHURN345[[#This Row],[Colonne12]]</f>
        <v>0</v>
      </c>
    </row>
    <row r="73" spans="1:14">
      <c r="A73" s="1" t="s">
        <v>551</v>
      </c>
      <c r="B73" t="s">
        <v>576</v>
      </c>
      <c r="C73" t="s">
        <v>107</v>
      </c>
      <c r="D73">
        <v>63</v>
      </c>
      <c r="E73" t="s">
        <v>21</v>
      </c>
      <c r="F73">
        <v>109</v>
      </c>
      <c r="G73">
        <v>10.33</v>
      </c>
      <c r="H73">
        <v>3</v>
      </c>
      <c r="I73">
        <f>CLIENTS_CHURN345[[#This Row],[Anciennete_Mois]]/12</f>
        <v>5.25</v>
      </c>
      <c r="J73">
        <f>CLIENTS_CHURN345[[#This Row],[Duree_Cumulee_Panne_Min]]/60</f>
        <v>1.8166666666666667</v>
      </c>
      <c r="K73" t="str">
        <f>IF(CLIENTS_CHURN345[[#This Row],[Type_Forfait]]="Pro Monde","B2B","B2C")</f>
        <v>B2C</v>
      </c>
      <c r="L73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73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73" s="1">
        <f>CLIENTS_CHURN345[[#This Row],[Facture_Mensuelle]]*CLIENTS_CHURN345[[#This Row],[Colonne12]]</f>
        <v>0</v>
      </c>
    </row>
    <row r="74" spans="1:14">
      <c r="A74" s="1" t="s">
        <v>653</v>
      </c>
      <c r="B74" t="s">
        <v>670</v>
      </c>
      <c r="C74" t="s">
        <v>24</v>
      </c>
      <c r="D74">
        <v>41</v>
      </c>
      <c r="E74" t="s">
        <v>21</v>
      </c>
      <c r="F74">
        <v>90</v>
      </c>
      <c r="G74">
        <v>97.26</v>
      </c>
      <c r="H74">
        <v>1</v>
      </c>
      <c r="I74">
        <f>CLIENTS_CHURN345[[#This Row],[Anciennete_Mois]]/12</f>
        <v>3.4166666666666665</v>
      </c>
      <c r="J74">
        <f>CLIENTS_CHURN345[[#This Row],[Duree_Cumulee_Panne_Min]]/60</f>
        <v>1.5</v>
      </c>
      <c r="K74" t="str">
        <f>IF(CLIENTS_CHURN345[[#This Row],[Type_Forfait]]="Pro Monde","B2B","B2C")</f>
        <v>B2C</v>
      </c>
      <c r="L74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74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74" s="1">
        <f>CLIENTS_CHURN345[[#This Row],[Facture_Mensuelle]]*CLIENTS_CHURN345[[#This Row],[Colonne12]]</f>
        <v>0</v>
      </c>
    </row>
    <row r="75" spans="1:14">
      <c r="A75" s="1" t="s">
        <v>191</v>
      </c>
      <c r="B75" t="s">
        <v>208</v>
      </c>
      <c r="C75" t="s">
        <v>45</v>
      </c>
      <c r="D75">
        <v>35</v>
      </c>
      <c r="E75" t="s">
        <v>21</v>
      </c>
      <c r="F75">
        <v>107</v>
      </c>
      <c r="G75">
        <v>66.69</v>
      </c>
      <c r="H75">
        <v>4</v>
      </c>
      <c r="I75">
        <f>CLIENTS_CHURN345[[#This Row],[Anciennete_Mois]]/12</f>
        <v>2.9166666666666665</v>
      </c>
      <c r="J75">
        <f>CLIENTS_CHURN345[[#This Row],[Duree_Cumulee_Panne_Min]]/60</f>
        <v>1.7833333333333334</v>
      </c>
      <c r="K75" t="str">
        <f>IF(CLIENTS_CHURN345[[#This Row],[Type_Forfait]]="Pro Monde","B2B","B2C")</f>
        <v>B2C</v>
      </c>
      <c r="L75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75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75" s="1">
        <f>CLIENTS_CHURN345[[#This Row],[Facture_Mensuelle]]*CLIENTS_CHURN345[[#This Row],[Colonne12]]</f>
        <v>0</v>
      </c>
    </row>
    <row r="76" spans="1:14">
      <c r="A76" s="1" t="s">
        <v>191</v>
      </c>
      <c r="B76" t="s">
        <v>209</v>
      </c>
      <c r="C76" t="s">
        <v>45</v>
      </c>
      <c r="D76">
        <v>115</v>
      </c>
      <c r="E76" t="s">
        <v>14</v>
      </c>
      <c r="F76">
        <v>236</v>
      </c>
      <c r="G76">
        <v>50.64</v>
      </c>
      <c r="H76">
        <v>1</v>
      </c>
      <c r="I76">
        <f>CLIENTS_CHURN345[[#This Row],[Anciennete_Mois]]/12</f>
        <v>9.5833333333333339</v>
      </c>
      <c r="J76">
        <f>CLIENTS_CHURN345[[#This Row],[Duree_Cumulee_Panne_Min]]/60</f>
        <v>3.9333333333333331</v>
      </c>
      <c r="K76" t="str">
        <f>IF(CLIENTS_CHURN345[[#This Row],[Type_Forfait]]="Pro Monde","B2B","B2C")</f>
        <v>B2C</v>
      </c>
      <c r="L76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76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76" s="1">
        <f>CLIENTS_CHURN345[[#This Row],[Facture_Mensuelle]]*CLIENTS_CHURN345[[#This Row],[Colonne12]]</f>
        <v>0</v>
      </c>
    </row>
    <row r="77" spans="1:14">
      <c r="A77" s="1" t="s">
        <v>293</v>
      </c>
      <c r="B77" t="s">
        <v>318</v>
      </c>
      <c r="C77" t="s">
        <v>36</v>
      </c>
      <c r="D77">
        <v>63</v>
      </c>
      <c r="E77" t="s">
        <v>21</v>
      </c>
      <c r="F77">
        <v>95</v>
      </c>
      <c r="G77">
        <v>56.81</v>
      </c>
      <c r="H77">
        <v>0</v>
      </c>
      <c r="I77">
        <f>CLIENTS_CHURN345[[#This Row],[Anciennete_Mois]]/12</f>
        <v>5.25</v>
      </c>
      <c r="J77">
        <f>CLIENTS_CHURN345[[#This Row],[Duree_Cumulee_Panne_Min]]/60</f>
        <v>1.5833333333333333</v>
      </c>
      <c r="K77" t="str">
        <f>IF(CLIENTS_CHURN345[[#This Row],[Type_Forfait]]="Pro Monde","B2B","B2C")</f>
        <v>B2C</v>
      </c>
      <c r="L77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77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77" s="1">
        <f>CLIENTS_CHURN345[[#This Row],[Facture_Mensuelle]]*CLIENTS_CHURN345[[#This Row],[Colonne12]]</f>
        <v>0</v>
      </c>
    </row>
    <row r="78" spans="1:14">
      <c r="A78" s="1" t="s">
        <v>756</v>
      </c>
      <c r="B78" t="s">
        <v>770</v>
      </c>
      <c r="C78" t="s">
        <v>26</v>
      </c>
      <c r="D78">
        <v>119</v>
      </c>
      <c r="E78" t="s">
        <v>14</v>
      </c>
      <c r="F78">
        <v>133</v>
      </c>
      <c r="G78">
        <v>30.27</v>
      </c>
      <c r="H78">
        <v>5</v>
      </c>
      <c r="I78">
        <f>CLIENTS_CHURN345[[#This Row],[Anciennete_Mois]]/12</f>
        <v>9.9166666666666661</v>
      </c>
      <c r="J78">
        <f>CLIENTS_CHURN345[[#This Row],[Duree_Cumulee_Panne_Min]]/60</f>
        <v>2.2166666666666668</v>
      </c>
      <c r="K78" t="str">
        <f>IF(CLIENTS_CHURN345[[#This Row],[Type_Forfait]]="Pro Monde","B2B","B2C")</f>
        <v>B2C</v>
      </c>
      <c r="L78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78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78" s="1">
        <f>CLIENTS_CHURN345[[#This Row],[Facture_Mensuelle]]*CLIENTS_CHURN345[[#This Row],[Colonne12]]</f>
        <v>0</v>
      </c>
    </row>
    <row r="79" spans="1:14">
      <c r="A79" s="1" t="s">
        <v>191</v>
      </c>
      <c r="B79" t="s">
        <v>211</v>
      </c>
      <c r="C79" t="s">
        <v>71</v>
      </c>
      <c r="D79">
        <v>31</v>
      </c>
      <c r="E79" t="s">
        <v>14</v>
      </c>
      <c r="F79">
        <v>160</v>
      </c>
      <c r="G79">
        <v>59.76</v>
      </c>
      <c r="H79">
        <v>4</v>
      </c>
      <c r="I79">
        <f>CLIENTS_CHURN345[[#This Row],[Anciennete_Mois]]/12</f>
        <v>2.5833333333333335</v>
      </c>
      <c r="J79">
        <f>CLIENTS_CHURN345[[#This Row],[Duree_Cumulee_Panne_Min]]/60</f>
        <v>2.6666666666666665</v>
      </c>
      <c r="K79" t="str">
        <f>IF(CLIENTS_CHURN345[[#This Row],[Type_Forfait]]="Pro Monde","B2B","B2C")</f>
        <v>B2C</v>
      </c>
      <c r="L79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79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79" s="1">
        <f>CLIENTS_CHURN345[[#This Row],[Facture_Mensuelle]]*CLIENTS_CHURN345[[#This Row],[Colonne12]]</f>
        <v>0</v>
      </c>
    </row>
    <row r="80" spans="1:14">
      <c r="A80" s="1" t="s">
        <v>85</v>
      </c>
      <c r="B80" t="s">
        <v>108</v>
      </c>
      <c r="C80" t="s">
        <v>52</v>
      </c>
      <c r="D80">
        <v>74</v>
      </c>
      <c r="E80" t="s">
        <v>21</v>
      </c>
      <c r="F80">
        <v>9</v>
      </c>
      <c r="G80">
        <v>99.89</v>
      </c>
      <c r="H80">
        <v>0</v>
      </c>
      <c r="I80">
        <f>CLIENTS_CHURN345[[#This Row],[Anciennete_Mois]]/12</f>
        <v>6.166666666666667</v>
      </c>
      <c r="J80">
        <f>CLIENTS_CHURN345[[#This Row],[Duree_Cumulee_Panne_Min]]/60</f>
        <v>0.15</v>
      </c>
      <c r="K80" t="str">
        <f>IF(CLIENTS_CHURN345[[#This Row],[Type_Forfait]]="Pro Monde","B2B","B2C")</f>
        <v>B2C</v>
      </c>
      <c r="L80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80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80" s="1">
        <f>CLIENTS_CHURN345[[#This Row],[Facture_Mensuelle]]*CLIENTS_CHURN345[[#This Row],[Colonne12]]</f>
        <v>0</v>
      </c>
    </row>
    <row r="81" spans="1:14">
      <c r="A81" s="1" t="s">
        <v>602</v>
      </c>
      <c r="B81" t="s">
        <v>618</v>
      </c>
      <c r="C81" t="s">
        <v>24</v>
      </c>
      <c r="D81">
        <v>81</v>
      </c>
      <c r="E81" t="s">
        <v>21</v>
      </c>
      <c r="F81">
        <v>64</v>
      </c>
      <c r="G81">
        <v>43.45</v>
      </c>
      <c r="H81">
        <v>2</v>
      </c>
      <c r="I81">
        <f>CLIENTS_CHURN345[[#This Row],[Anciennete_Mois]]/12</f>
        <v>6.75</v>
      </c>
      <c r="J81">
        <f>CLIENTS_CHURN345[[#This Row],[Duree_Cumulee_Panne_Min]]/60</f>
        <v>1.0666666666666667</v>
      </c>
      <c r="K81" t="str">
        <f>IF(CLIENTS_CHURN345[[#This Row],[Type_Forfait]]="Pro Monde","B2B","B2C")</f>
        <v>B2C</v>
      </c>
      <c r="L81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81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81" s="1">
        <f>CLIENTS_CHURN345[[#This Row],[Facture_Mensuelle]]*CLIENTS_CHURN345[[#This Row],[Colonne12]]</f>
        <v>0</v>
      </c>
    </row>
    <row r="82" spans="1:14">
      <c r="A82" s="1" t="s">
        <v>602</v>
      </c>
      <c r="B82" t="s">
        <v>619</v>
      </c>
      <c r="C82" t="s">
        <v>20</v>
      </c>
      <c r="D82">
        <v>74</v>
      </c>
      <c r="E82" t="s">
        <v>21</v>
      </c>
      <c r="F82">
        <v>16</v>
      </c>
      <c r="G82">
        <v>93.01</v>
      </c>
      <c r="H82">
        <v>3</v>
      </c>
      <c r="I82">
        <f>CLIENTS_CHURN345[[#This Row],[Anciennete_Mois]]/12</f>
        <v>6.166666666666667</v>
      </c>
      <c r="J82">
        <f>CLIENTS_CHURN345[[#This Row],[Duree_Cumulee_Panne_Min]]/60</f>
        <v>0.26666666666666666</v>
      </c>
      <c r="K82" t="str">
        <f>IF(CLIENTS_CHURN345[[#This Row],[Type_Forfait]]="Pro Monde","B2B","B2C")</f>
        <v>B2C</v>
      </c>
      <c r="L82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82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82" s="1">
        <f>CLIENTS_CHURN345[[#This Row],[Facture_Mensuelle]]*CLIENTS_CHURN345[[#This Row],[Colonne12]]</f>
        <v>0</v>
      </c>
    </row>
    <row r="83" spans="1:14">
      <c r="A83" s="1" t="s">
        <v>293</v>
      </c>
      <c r="B83" t="s">
        <v>319</v>
      </c>
      <c r="C83" t="s">
        <v>29</v>
      </c>
      <c r="D83">
        <v>91</v>
      </c>
      <c r="E83" t="s">
        <v>21</v>
      </c>
      <c r="F83">
        <v>63</v>
      </c>
      <c r="G83">
        <v>57.76</v>
      </c>
      <c r="H83">
        <v>5</v>
      </c>
      <c r="I83">
        <f>CLIENTS_CHURN345[[#This Row],[Anciennete_Mois]]/12</f>
        <v>7.583333333333333</v>
      </c>
      <c r="J83">
        <f>CLIENTS_CHURN345[[#This Row],[Duree_Cumulee_Panne_Min]]/60</f>
        <v>1.05</v>
      </c>
      <c r="K83" t="str">
        <f>IF(CLIENTS_CHURN345[[#This Row],[Type_Forfait]]="Pro Monde","B2B","B2C")</f>
        <v>B2C</v>
      </c>
      <c r="L83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83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83" s="1">
        <f>CLIENTS_CHURN345[[#This Row],[Facture_Mensuelle]]*CLIENTS_CHURN345[[#This Row],[Colonne12]]</f>
        <v>0</v>
      </c>
    </row>
    <row r="84" spans="1:14">
      <c r="A84" s="1" t="s">
        <v>447</v>
      </c>
      <c r="B84" t="s">
        <v>471</v>
      </c>
      <c r="C84" t="s">
        <v>79</v>
      </c>
      <c r="D84">
        <v>7</v>
      </c>
      <c r="E84" t="s">
        <v>21</v>
      </c>
      <c r="F84">
        <v>94</v>
      </c>
      <c r="G84">
        <v>68.38</v>
      </c>
      <c r="H84">
        <v>3</v>
      </c>
      <c r="I84">
        <f>CLIENTS_CHURN345[[#This Row],[Anciennete_Mois]]/12</f>
        <v>0.58333333333333337</v>
      </c>
      <c r="J84">
        <f>CLIENTS_CHURN345[[#This Row],[Duree_Cumulee_Panne_Min]]/60</f>
        <v>1.5666666666666667</v>
      </c>
      <c r="K84" t="str">
        <f>IF(CLIENTS_CHURN345[[#This Row],[Type_Forfait]]="Pro Monde","B2B","B2C")</f>
        <v>B2C</v>
      </c>
      <c r="L84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84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84" s="1">
        <f>CLIENTS_CHURN345[[#This Row],[Facture_Mensuelle]]*CLIENTS_CHURN345[[#This Row],[Colonne12]]</f>
        <v>0</v>
      </c>
    </row>
    <row r="85" spans="1:14">
      <c r="A85" s="1" t="s">
        <v>756</v>
      </c>
      <c r="B85" t="s">
        <v>772</v>
      </c>
      <c r="C85" t="s">
        <v>107</v>
      </c>
      <c r="D85">
        <v>54</v>
      </c>
      <c r="E85" t="s">
        <v>21</v>
      </c>
      <c r="F85">
        <v>215</v>
      </c>
      <c r="G85">
        <v>54.69</v>
      </c>
      <c r="H85">
        <v>0</v>
      </c>
      <c r="I85">
        <f>CLIENTS_CHURN345[[#This Row],[Anciennete_Mois]]/12</f>
        <v>4.5</v>
      </c>
      <c r="J85">
        <f>CLIENTS_CHURN345[[#This Row],[Duree_Cumulee_Panne_Min]]/60</f>
        <v>3.5833333333333335</v>
      </c>
      <c r="K85" t="str">
        <f>IF(CLIENTS_CHURN345[[#This Row],[Type_Forfait]]="Pro Monde","B2B","B2C")</f>
        <v>B2C</v>
      </c>
      <c r="L85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85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85" s="1">
        <f>CLIENTS_CHURN345[[#This Row],[Facture_Mensuelle]]*CLIENTS_CHURN345[[#This Row],[Colonne12]]</f>
        <v>0</v>
      </c>
    </row>
    <row r="86" spans="1:14">
      <c r="A86" s="1" t="s">
        <v>85</v>
      </c>
      <c r="B86" t="s">
        <v>109</v>
      </c>
      <c r="C86" t="s">
        <v>40</v>
      </c>
      <c r="D86">
        <v>83</v>
      </c>
      <c r="E86" t="s">
        <v>14</v>
      </c>
      <c r="F86">
        <v>126</v>
      </c>
      <c r="G86">
        <v>67.17</v>
      </c>
      <c r="H86">
        <v>1</v>
      </c>
      <c r="I86">
        <f>CLIENTS_CHURN345[[#This Row],[Anciennete_Mois]]/12</f>
        <v>6.916666666666667</v>
      </c>
      <c r="J86">
        <f>CLIENTS_CHURN345[[#This Row],[Duree_Cumulee_Panne_Min]]/60</f>
        <v>2.1</v>
      </c>
      <c r="K86" t="str">
        <f>IF(CLIENTS_CHURN345[[#This Row],[Type_Forfait]]="Pro Monde","B2B","B2C")</f>
        <v>B2C</v>
      </c>
      <c r="L86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86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86" s="1">
        <f>CLIENTS_CHURN345[[#This Row],[Facture_Mensuelle]]*CLIENTS_CHURN345[[#This Row],[Colonne12]]</f>
        <v>0</v>
      </c>
    </row>
    <row r="87" spans="1:14">
      <c r="A87" s="1" t="s">
        <v>447</v>
      </c>
      <c r="B87" t="s">
        <v>473</v>
      </c>
      <c r="C87" t="s">
        <v>57</v>
      </c>
      <c r="D87">
        <v>96</v>
      </c>
      <c r="E87" t="s">
        <v>21</v>
      </c>
      <c r="F87">
        <v>155</v>
      </c>
      <c r="G87">
        <v>69.16</v>
      </c>
      <c r="H87">
        <v>4</v>
      </c>
      <c r="I87">
        <f>CLIENTS_CHURN345[[#This Row],[Anciennete_Mois]]/12</f>
        <v>8</v>
      </c>
      <c r="J87">
        <f>CLIENTS_CHURN345[[#This Row],[Duree_Cumulee_Panne_Min]]/60</f>
        <v>2.5833333333333335</v>
      </c>
      <c r="K87" t="str">
        <f>IF(CLIENTS_CHURN345[[#This Row],[Type_Forfait]]="Pro Monde","B2B","B2C")</f>
        <v>B2C</v>
      </c>
      <c r="L87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87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87" s="1">
        <f>CLIENTS_CHURN345[[#This Row],[Facture_Mensuelle]]*CLIENTS_CHURN345[[#This Row],[Colonne12]]</f>
        <v>0</v>
      </c>
    </row>
    <row r="88" spans="1:14">
      <c r="A88" s="1" t="s">
        <v>140</v>
      </c>
      <c r="B88" t="s">
        <v>160</v>
      </c>
      <c r="C88" t="s">
        <v>16</v>
      </c>
      <c r="D88">
        <v>4</v>
      </c>
      <c r="E88" t="s">
        <v>14</v>
      </c>
      <c r="F88">
        <v>227</v>
      </c>
      <c r="G88">
        <v>83.32</v>
      </c>
      <c r="H88">
        <v>2</v>
      </c>
      <c r="I88">
        <f>CLIENTS_CHURN345[[#This Row],[Anciennete_Mois]]/12</f>
        <v>0.33333333333333331</v>
      </c>
      <c r="J88">
        <f>CLIENTS_CHURN345[[#This Row],[Duree_Cumulee_Panne_Min]]/60</f>
        <v>3.7833333333333332</v>
      </c>
      <c r="K88" t="str">
        <f>IF(CLIENTS_CHURN345[[#This Row],[Type_Forfait]]="Pro Monde","B2B","B2C")</f>
        <v>B2C</v>
      </c>
      <c r="L88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88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88" s="1">
        <f>CLIENTS_CHURN345[[#This Row],[Facture_Mensuelle]]*CLIENTS_CHURN345[[#This Row],[Colonne12]]</f>
        <v>0</v>
      </c>
    </row>
    <row r="89" spans="1:14">
      <c r="A89" s="1" t="s">
        <v>242</v>
      </c>
      <c r="B89" t="s">
        <v>263</v>
      </c>
      <c r="C89" t="s">
        <v>95</v>
      </c>
      <c r="D89">
        <v>49</v>
      </c>
      <c r="E89" t="s">
        <v>21</v>
      </c>
      <c r="F89">
        <v>6</v>
      </c>
      <c r="G89">
        <v>44.41</v>
      </c>
      <c r="H89">
        <v>3</v>
      </c>
      <c r="I89">
        <f>CLIENTS_CHURN345[[#This Row],[Anciennete_Mois]]/12</f>
        <v>4.083333333333333</v>
      </c>
      <c r="J89">
        <f>CLIENTS_CHURN345[[#This Row],[Duree_Cumulee_Panne_Min]]/60</f>
        <v>0.1</v>
      </c>
      <c r="K89" t="str">
        <f>IF(CLIENTS_CHURN345[[#This Row],[Type_Forfait]]="Pro Monde","B2B","B2C")</f>
        <v>B2C</v>
      </c>
      <c r="L89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89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89" s="1">
        <f>CLIENTS_CHURN345[[#This Row],[Facture_Mensuelle]]*CLIENTS_CHURN345[[#This Row],[Colonne12]]</f>
        <v>0</v>
      </c>
    </row>
    <row r="90" spans="1:14">
      <c r="A90" s="1" t="s">
        <v>344</v>
      </c>
      <c r="B90" t="s">
        <v>368</v>
      </c>
      <c r="C90" t="s">
        <v>24</v>
      </c>
      <c r="D90">
        <v>105</v>
      </c>
      <c r="E90" t="s">
        <v>32</v>
      </c>
      <c r="F90">
        <v>17</v>
      </c>
      <c r="G90">
        <v>60.05</v>
      </c>
      <c r="H90">
        <v>4</v>
      </c>
      <c r="I90">
        <f>CLIENTS_CHURN345[[#This Row],[Anciennete_Mois]]/12</f>
        <v>8.75</v>
      </c>
      <c r="J90">
        <f>CLIENTS_CHURN345[[#This Row],[Duree_Cumulee_Panne_Min]]/60</f>
        <v>0.28333333333333333</v>
      </c>
      <c r="K90" t="str">
        <f>IF(CLIENTS_CHURN345[[#This Row],[Type_Forfait]]="Pro Monde","B2B","B2C")</f>
        <v>B2C</v>
      </c>
      <c r="L90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90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90" s="1">
        <f>CLIENTS_CHURN345[[#This Row],[Facture_Mensuelle]]*CLIENTS_CHURN345[[#This Row],[Colonne12]]</f>
        <v>0</v>
      </c>
    </row>
    <row r="91" spans="1:14">
      <c r="A91" s="1" t="s">
        <v>242</v>
      </c>
      <c r="B91" t="s">
        <v>264</v>
      </c>
      <c r="C91" t="s">
        <v>26</v>
      </c>
      <c r="D91">
        <v>61</v>
      </c>
      <c r="E91" t="s">
        <v>21</v>
      </c>
      <c r="F91">
        <v>87</v>
      </c>
      <c r="G91">
        <v>68.319999999999993</v>
      </c>
      <c r="H91">
        <v>2</v>
      </c>
      <c r="I91">
        <f>CLIENTS_CHURN345[[#This Row],[Anciennete_Mois]]/12</f>
        <v>5.083333333333333</v>
      </c>
      <c r="J91">
        <f>CLIENTS_CHURN345[[#This Row],[Duree_Cumulee_Panne_Min]]/60</f>
        <v>1.45</v>
      </c>
      <c r="K91" t="str">
        <f>IF(CLIENTS_CHURN345[[#This Row],[Type_Forfait]]="Pro Monde","B2B","B2C")</f>
        <v>B2C</v>
      </c>
      <c r="L91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91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91" s="1">
        <f>CLIENTS_CHURN345[[#This Row],[Facture_Mensuelle]]*CLIENTS_CHURN345[[#This Row],[Colonne12]]</f>
        <v>0</v>
      </c>
    </row>
    <row r="92" spans="1:14">
      <c r="A92" s="1" t="s">
        <v>499</v>
      </c>
      <c r="B92" t="s">
        <v>517</v>
      </c>
      <c r="C92" t="s">
        <v>61</v>
      </c>
      <c r="D92">
        <v>94</v>
      </c>
      <c r="E92" t="s">
        <v>21</v>
      </c>
      <c r="F92">
        <v>6</v>
      </c>
      <c r="G92">
        <v>67.459999999999994</v>
      </c>
      <c r="H92">
        <v>5</v>
      </c>
      <c r="I92">
        <f>CLIENTS_CHURN345[[#This Row],[Anciennete_Mois]]/12</f>
        <v>7.833333333333333</v>
      </c>
      <c r="J92">
        <f>CLIENTS_CHURN345[[#This Row],[Duree_Cumulee_Panne_Min]]/60</f>
        <v>0.1</v>
      </c>
      <c r="K92" t="str">
        <f>IF(CLIENTS_CHURN345[[#This Row],[Type_Forfait]]="Pro Monde","B2B","B2C")</f>
        <v>B2C</v>
      </c>
      <c r="L92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92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92" s="1">
        <f>CLIENTS_CHURN345[[#This Row],[Facture_Mensuelle]]*CLIENTS_CHURN345[[#This Row],[Colonne12]]</f>
        <v>0</v>
      </c>
    </row>
    <row r="93" spans="1:14">
      <c r="A93" s="1" t="s">
        <v>293</v>
      </c>
      <c r="B93" t="s">
        <v>321</v>
      </c>
      <c r="C93" t="s">
        <v>65</v>
      </c>
      <c r="D93">
        <v>62</v>
      </c>
      <c r="E93" t="s">
        <v>21</v>
      </c>
      <c r="F93">
        <v>136</v>
      </c>
      <c r="G93">
        <v>88.61</v>
      </c>
      <c r="H93">
        <v>2</v>
      </c>
      <c r="I93">
        <f>CLIENTS_CHURN345[[#This Row],[Anciennete_Mois]]/12</f>
        <v>5.166666666666667</v>
      </c>
      <c r="J93">
        <f>CLIENTS_CHURN345[[#This Row],[Duree_Cumulee_Panne_Min]]/60</f>
        <v>2.2666666666666666</v>
      </c>
      <c r="K93" t="str">
        <f>IF(CLIENTS_CHURN345[[#This Row],[Type_Forfait]]="Pro Monde","B2B","B2C")</f>
        <v>B2C</v>
      </c>
      <c r="L93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93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93" s="1">
        <f>CLIENTS_CHURN345[[#This Row],[Facture_Mensuelle]]*CLIENTS_CHURN345[[#This Row],[Colonne12]]</f>
        <v>0</v>
      </c>
    </row>
    <row r="94" spans="1:14">
      <c r="A94" s="1" t="s">
        <v>653</v>
      </c>
      <c r="B94" t="s">
        <v>674</v>
      </c>
      <c r="C94" t="s">
        <v>29</v>
      </c>
      <c r="D94">
        <v>34</v>
      </c>
      <c r="E94" t="s">
        <v>21</v>
      </c>
      <c r="F94">
        <v>181</v>
      </c>
      <c r="G94">
        <v>35.92</v>
      </c>
      <c r="H94">
        <v>2</v>
      </c>
      <c r="I94">
        <f>CLIENTS_CHURN345[[#This Row],[Anciennete_Mois]]/12</f>
        <v>2.8333333333333335</v>
      </c>
      <c r="J94">
        <f>CLIENTS_CHURN345[[#This Row],[Duree_Cumulee_Panne_Min]]/60</f>
        <v>3.0166666666666666</v>
      </c>
      <c r="K94" t="str">
        <f>IF(CLIENTS_CHURN345[[#This Row],[Type_Forfait]]="Pro Monde","B2B","B2C")</f>
        <v>B2C</v>
      </c>
      <c r="L94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94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94" s="1">
        <f>CLIENTS_CHURN345[[#This Row],[Facture_Mensuelle]]*CLIENTS_CHURN345[[#This Row],[Colonne12]]</f>
        <v>0</v>
      </c>
    </row>
    <row r="95" spans="1:14">
      <c r="A95" s="1" t="s">
        <v>395</v>
      </c>
      <c r="B95" t="s">
        <v>420</v>
      </c>
      <c r="C95" t="s">
        <v>52</v>
      </c>
      <c r="D95">
        <v>111</v>
      </c>
      <c r="E95" t="s">
        <v>14</v>
      </c>
      <c r="F95">
        <v>194</v>
      </c>
      <c r="G95">
        <v>48.55</v>
      </c>
      <c r="H95">
        <v>2</v>
      </c>
      <c r="I95">
        <f>CLIENTS_CHURN345[[#This Row],[Anciennete_Mois]]/12</f>
        <v>9.25</v>
      </c>
      <c r="J95">
        <f>CLIENTS_CHURN345[[#This Row],[Duree_Cumulee_Panne_Min]]/60</f>
        <v>3.2333333333333334</v>
      </c>
      <c r="K95" t="str">
        <f>IF(CLIENTS_CHURN345[[#This Row],[Type_Forfait]]="Pro Monde","B2B","B2C")</f>
        <v>B2C</v>
      </c>
      <c r="L95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95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95" s="1">
        <f>CLIENTS_CHURN345[[#This Row],[Facture_Mensuelle]]*CLIENTS_CHURN345[[#This Row],[Colonne12]]</f>
        <v>0</v>
      </c>
    </row>
    <row r="96" spans="1:14">
      <c r="A96" s="1" t="s">
        <v>140</v>
      </c>
      <c r="B96" t="s">
        <v>161</v>
      </c>
      <c r="C96" t="s">
        <v>20</v>
      </c>
      <c r="D96">
        <v>72</v>
      </c>
      <c r="E96" t="s">
        <v>32</v>
      </c>
      <c r="F96">
        <v>5</v>
      </c>
      <c r="G96">
        <v>68.650000000000006</v>
      </c>
      <c r="H96">
        <v>0</v>
      </c>
      <c r="I96">
        <f>CLIENTS_CHURN345[[#This Row],[Anciennete_Mois]]/12</f>
        <v>6</v>
      </c>
      <c r="J96">
        <f>CLIENTS_CHURN345[[#This Row],[Duree_Cumulee_Panne_Min]]/60</f>
        <v>8.3333333333333329E-2</v>
      </c>
      <c r="K96" t="str">
        <f>IF(CLIENTS_CHURN345[[#This Row],[Type_Forfait]]="Pro Monde","B2B","B2C")</f>
        <v>B2C</v>
      </c>
      <c r="L96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96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96" s="1">
        <f>CLIENTS_CHURN345[[#This Row],[Facture_Mensuelle]]*CLIENTS_CHURN345[[#This Row],[Colonne12]]</f>
        <v>0</v>
      </c>
    </row>
    <row r="97" spans="1:14">
      <c r="A97" s="1" t="s">
        <v>242</v>
      </c>
      <c r="B97" t="s">
        <v>266</v>
      </c>
      <c r="C97" t="s">
        <v>111</v>
      </c>
      <c r="D97">
        <v>106</v>
      </c>
      <c r="E97" t="s">
        <v>21</v>
      </c>
      <c r="F97">
        <v>128</v>
      </c>
      <c r="G97">
        <v>35.96</v>
      </c>
      <c r="H97">
        <v>2</v>
      </c>
      <c r="I97">
        <f>CLIENTS_CHURN345[[#This Row],[Anciennete_Mois]]/12</f>
        <v>8.8333333333333339</v>
      </c>
      <c r="J97">
        <f>CLIENTS_CHURN345[[#This Row],[Duree_Cumulee_Panne_Min]]/60</f>
        <v>2.1333333333333333</v>
      </c>
      <c r="K97" t="str">
        <f>IF(CLIENTS_CHURN345[[#This Row],[Type_Forfait]]="Pro Monde","B2B","B2C")</f>
        <v>B2C</v>
      </c>
      <c r="L97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97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97" s="1">
        <f>CLIENTS_CHURN345[[#This Row],[Facture_Mensuelle]]*CLIENTS_CHURN345[[#This Row],[Colonne12]]</f>
        <v>0</v>
      </c>
    </row>
    <row r="98" spans="1:14">
      <c r="A98" s="1" t="s">
        <v>705</v>
      </c>
      <c r="B98" t="s">
        <v>731</v>
      </c>
      <c r="C98" t="s">
        <v>13</v>
      </c>
      <c r="D98">
        <v>37</v>
      </c>
      <c r="E98" t="s">
        <v>21</v>
      </c>
      <c r="F98">
        <v>3</v>
      </c>
      <c r="G98">
        <v>20.89</v>
      </c>
      <c r="H98">
        <v>5</v>
      </c>
      <c r="I98">
        <f>CLIENTS_CHURN345[[#This Row],[Anciennete_Mois]]/12</f>
        <v>3.0833333333333335</v>
      </c>
      <c r="J98">
        <f>CLIENTS_CHURN345[[#This Row],[Duree_Cumulee_Panne_Min]]/60</f>
        <v>0.05</v>
      </c>
      <c r="K98" t="str">
        <f>IF(CLIENTS_CHURN345[[#This Row],[Type_Forfait]]="Pro Monde","B2B","B2C")</f>
        <v>B2C</v>
      </c>
      <c r="L98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98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98" s="1">
        <f>CLIENTS_CHURN345[[#This Row],[Facture_Mensuelle]]*CLIENTS_CHURN345[[#This Row],[Colonne12]]</f>
        <v>0</v>
      </c>
    </row>
    <row r="99" spans="1:14">
      <c r="A99" s="1" t="s">
        <v>447</v>
      </c>
      <c r="B99" t="s">
        <v>478</v>
      </c>
      <c r="C99" t="s">
        <v>38</v>
      </c>
      <c r="D99">
        <v>71</v>
      </c>
      <c r="E99" t="s">
        <v>21</v>
      </c>
      <c r="F99">
        <v>68</v>
      </c>
      <c r="G99">
        <v>53.11</v>
      </c>
      <c r="H99">
        <v>2</v>
      </c>
      <c r="I99">
        <f>CLIENTS_CHURN345[[#This Row],[Anciennete_Mois]]/12</f>
        <v>5.916666666666667</v>
      </c>
      <c r="J99">
        <f>CLIENTS_CHURN345[[#This Row],[Duree_Cumulee_Panne_Min]]/60</f>
        <v>1.1333333333333333</v>
      </c>
      <c r="K99" t="str">
        <f>IF(CLIENTS_CHURN345[[#This Row],[Type_Forfait]]="Pro Monde","B2B","B2C")</f>
        <v>B2C</v>
      </c>
      <c r="L99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99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99" s="1">
        <f>CLIENTS_CHURN345[[#This Row],[Facture_Mensuelle]]*CLIENTS_CHURN345[[#This Row],[Colonne12]]</f>
        <v>0</v>
      </c>
    </row>
    <row r="100" spans="1:14">
      <c r="A100" s="1" t="s">
        <v>8</v>
      </c>
      <c r="B100" t="s">
        <v>54</v>
      </c>
      <c r="C100" t="s">
        <v>18</v>
      </c>
      <c r="D100">
        <v>119</v>
      </c>
      <c r="E100" t="s">
        <v>21</v>
      </c>
      <c r="F100">
        <v>228</v>
      </c>
      <c r="G100">
        <v>94.72</v>
      </c>
      <c r="H100">
        <v>3</v>
      </c>
      <c r="I100">
        <f>CLIENTS_CHURN345[[#This Row],[Anciennete_Mois]]/12</f>
        <v>9.9166666666666661</v>
      </c>
      <c r="J100">
        <f>CLIENTS_CHURN345[[#This Row],[Duree_Cumulee_Panne_Min]]/60</f>
        <v>3.8</v>
      </c>
      <c r="K100" t="str">
        <f>IF(CLIENTS_CHURN345[[#This Row],[Type_Forfait]]="Pro Monde","B2B","B2C")</f>
        <v>B2C</v>
      </c>
      <c r="L100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00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00" s="1">
        <f>CLIENTS_CHURN345[[#This Row],[Facture_Mensuelle]]*CLIENTS_CHURN345[[#This Row],[Colonne12]]</f>
        <v>0</v>
      </c>
    </row>
    <row r="101" spans="1:14">
      <c r="A101" s="1" t="s">
        <v>756</v>
      </c>
      <c r="B101" t="s">
        <v>778</v>
      </c>
      <c r="C101" t="s">
        <v>13</v>
      </c>
      <c r="D101">
        <v>109</v>
      </c>
      <c r="E101" t="s">
        <v>21</v>
      </c>
      <c r="F101">
        <v>104</v>
      </c>
      <c r="G101">
        <v>12.37</v>
      </c>
      <c r="H101">
        <v>5</v>
      </c>
      <c r="I101">
        <f>CLIENTS_CHURN345[[#This Row],[Anciennete_Mois]]/12</f>
        <v>9.0833333333333339</v>
      </c>
      <c r="J101">
        <f>CLIENTS_CHURN345[[#This Row],[Duree_Cumulee_Panne_Min]]/60</f>
        <v>1.7333333333333334</v>
      </c>
      <c r="K101" t="str">
        <f>IF(CLIENTS_CHURN345[[#This Row],[Type_Forfait]]="Pro Monde","B2B","B2C")</f>
        <v>B2C</v>
      </c>
      <c r="L101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01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01" s="1">
        <f>CLIENTS_CHURN345[[#This Row],[Facture_Mensuelle]]*CLIENTS_CHURN345[[#This Row],[Colonne12]]</f>
        <v>0</v>
      </c>
    </row>
    <row r="102" spans="1:14">
      <c r="A102" s="1" t="s">
        <v>85</v>
      </c>
      <c r="B102" t="s">
        <v>110</v>
      </c>
      <c r="C102" t="s">
        <v>111</v>
      </c>
      <c r="D102">
        <v>80</v>
      </c>
      <c r="E102" t="s">
        <v>21</v>
      </c>
      <c r="F102">
        <v>155</v>
      </c>
      <c r="G102">
        <v>28.96</v>
      </c>
      <c r="H102">
        <v>2</v>
      </c>
      <c r="I102">
        <f>CLIENTS_CHURN345[[#This Row],[Anciennete_Mois]]/12</f>
        <v>6.666666666666667</v>
      </c>
      <c r="J102">
        <f>CLIENTS_CHURN345[[#This Row],[Duree_Cumulee_Panne_Min]]/60</f>
        <v>2.5833333333333335</v>
      </c>
      <c r="K102" t="str">
        <f>IF(CLIENTS_CHURN345[[#This Row],[Type_Forfait]]="Pro Monde","B2B","B2C")</f>
        <v>B2C</v>
      </c>
      <c r="L102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02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02" s="1">
        <f>CLIENTS_CHURN345[[#This Row],[Facture_Mensuelle]]*CLIENTS_CHURN345[[#This Row],[Colonne12]]</f>
        <v>0</v>
      </c>
    </row>
    <row r="103" spans="1:14">
      <c r="A103" s="1" t="s">
        <v>551</v>
      </c>
      <c r="B103" t="s">
        <v>581</v>
      </c>
      <c r="C103" t="s">
        <v>92</v>
      </c>
      <c r="D103">
        <v>110</v>
      </c>
      <c r="E103" t="s">
        <v>21</v>
      </c>
      <c r="F103">
        <v>47</v>
      </c>
      <c r="G103">
        <v>29.68</v>
      </c>
      <c r="H103">
        <v>0</v>
      </c>
      <c r="I103">
        <f>CLIENTS_CHURN345[[#This Row],[Anciennete_Mois]]/12</f>
        <v>9.1666666666666661</v>
      </c>
      <c r="J103">
        <f>CLIENTS_CHURN345[[#This Row],[Duree_Cumulee_Panne_Min]]/60</f>
        <v>0.78333333333333333</v>
      </c>
      <c r="K103" t="str">
        <f>IF(CLIENTS_CHURN345[[#This Row],[Type_Forfait]]="Pro Monde","B2B","B2C")</f>
        <v>B2C</v>
      </c>
      <c r="L103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03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03" s="1">
        <f>CLIENTS_CHURN345[[#This Row],[Facture_Mensuelle]]*CLIENTS_CHURN345[[#This Row],[Colonne12]]</f>
        <v>0</v>
      </c>
    </row>
    <row r="104" spans="1:14">
      <c r="A104" s="1" t="s">
        <v>191</v>
      </c>
      <c r="B104" t="s">
        <v>214</v>
      </c>
      <c r="C104" t="s">
        <v>71</v>
      </c>
      <c r="D104">
        <v>5</v>
      </c>
      <c r="E104" t="s">
        <v>14</v>
      </c>
      <c r="F104">
        <v>239</v>
      </c>
      <c r="G104">
        <v>26.95</v>
      </c>
      <c r="H104">
        <v>2</v>
      </c>
      <c r="I104">
        <f>CLIENTS_CHURN345[[#This Row],[Anciennete_Mois]]/12</f>
        <v>0.41666666666666669</v>
      </c>
      <c r="J104">
        <f>CLIENTS_CHURN345[[#This Row],[Duree_Cumulee_Panne_Min]]/60</f>
        <v>3.9833333333333334</v>
      </c>
      <c r="K104" t="str">
        <f>IF(CLIENTS_CHURN345[[#This Row],[Type_Forfait]]="Pro Monde","B2B","B2C")</f>
        <v>B2C</v>
      </c>
      <c r="L104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04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04" s="1">
        <f>CLIENTS_CHURN345[[#This Row],[Facture_Mensuelle]]*CLIENTS_CHURN345[[#This Row],[Colonne12]]</f>
        <v>0</v>
      </c>
    </row>
    <row r="105" spans="1:14">
      <c r="A105" s="1" t="s">
        <v>395</v>
      </c>
      <c r="B105" t="s">
        <v>421</v>
      </c>
      <c r="C105" t="s">
        <v>76</v>
      </c>
      <c r="D105">
        <v>90</v>
      </c>
      <c r="E105" t="s">
        <v>14</v>
      </c>
      <c r="F105">
        <v>216</v>
      </c>
      <c r="G105">
        <v>45.58</v>
      </c>
      <c r="H105">
        <v>0</v>
      </c>
      <c r="I105">
        <f>CLIENTS_CHURN345[[#This Row],[Anciennete_Mois]]/12</f>
        <v>7.5</v>
      </c>
      <c r="J105">
        <f>CLIENTS_CHURN345[[#This Row],[Duree_Cumulee_Panne_Min]]/60</f>
        <v>3.6</v>
      </c>
      <c r="K105" t="str">
        <f>IF(CLIENTS_CHURN345[[#This Row],[Type_Forfait]]="Pro Monde","B2B","B2C")</f>
        <v>B2C</v>
      </c>
      <c r="L105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05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05" s="1">
        <f>CLIENTS_CHURN345[[#This Row],[Facture_Mensuelle]]*CLIENTS_CHURN345[[#This Row],[Colonne12]]</f>
        <v>0</v>
      </c>
    </row>
    <row r="106" spans="1:14">
      <c r="A106" s="1" t="s">
        <v>293</v>
      </c>
      <c r="B106" t="s">
        <v>323</v>
      </c>
      <c r="C106" t="s">
        <v>36</v>
      </c>
      <c r="D106">
        <v>105</v>
      </c>
      <c r="E106" t="s">
        <v>21</v>
      </c>
      <c r="F106">
        <v>3</v>
      </c>
      <c r="G106">
        <v>71.010000000000005</v>
      </c>
      <c r="H106">
        <v>1</v>
      </c>
      <c r="I106">
        <f>CLIENTS_CHURN345[[#This Row],[Anciennete_Mois]]/12</f>
        <v>8.75</v>
      </c>
      <c r="J106">
        <f>CLIENTS_CHURN345[[#This Row],[Duree_Cumulee_Panne_Min]]/60</f>
        <v>0.05</v>
      </c>
      <c r="K106" t="str">
        <f>IF(CLIENTS_CHURN345[[#This Row],[Type_Forfait]]="Pro Monde","B2B","B2C")</f>
        <v>B2C</v>
      </c>
      <c r="L106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06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06" s="1">
        <f>CLIENTS_CHURN345[[#This Row],[Facture_Mensuelle]]*CLIENTS_CHURN345[[#This Row],[Colonne12]]</f>
        <v>0</v>
      </c>
    </row>
    <row r="107" spans="1:14">
      <c r="A107" s="1" t="s">
        <v>756</v>
      </c>
      <c r="B107" t="s">
        <v>780</v>
      </c>
      <c r="C107" t="s">
        <v>57</v>
      </c>
      <c r="D107">
        <v>9</v>
      </c>
      <c r="E107" t="s">
        <v>21</v>
      </c>
      <c r="F107">
        <v>102</v>
      </c>
      <c r="G107">
        <v>41.52</v>
      </c>
      <c r="H107">
        <v>0</v>
      </c>
      <c r="I107">
        <f>CLIENTS_CHURN345[[#This Row],[Anciennete_Mois]]/12</f>
        <v>0.75</v>
      </c>
      <c r="J107">
        <f>CLIENTS_CHURN345[[#This Row],[Duree_Cumulee_Panne_Min]]/60</f>
        <v>1.7</v>
      </c>
      <c r="K107" t="str">
        <f>IF(CLIENTS_CHURN345[[#This Row],[Type_Forfait]]="Pro Monde","B2B","B2C")</f>
        <v>B2C</v>
      </c>
      <c r="L107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07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07" s="1">
        <f>CLIENTS_CHURN345[[#This Row],[Facture_Mensuelle]]*CLIENTS_CHURN345[[#This Row],[Colonne12]]</f>
        <v>0</v>
      </c>
    </row>
    <row r="108" spans="1:14">
      <c r="A108" s="1" t="s">
        <v>395</v>
      </c>
      <c r="B108" t="s">
        <v>423</v>
      </c>
      <c r="C108" t="s">
        <v>71</v>
      </c>
      <c r="D108">
        <v>45</v>
      </c>
      <c r="E108" t="s">
        <v>21</v>
      </c>
      <c r="F108">
        <v>26</v>
      </c>
      <c r="G108">
        <v>30.35</v>
      </c>
      <c r="H108">
        <v>1</v>
      </c>
      <c r="I108">
        <f>CLIENTS_CHURN345[[#This Row],[Anciennete_Mois]]/12</f>
        <v>3.75</v>
      </c>
      <c r="J108">
        <f>CLIENTS_CHURN345[[#This Row],[Duree_Cumulee_Panne_Min]]/60</f>
        <v>0.43333333333333335</v>
      </c>
      <c r="K108" t="str">
        <f>IF(CLIENTS_CHURN345[[#This Row],[Type_Forfait]]="Pro Monde","B2B","B2C")</f>
        <v>B2C</v>
      </c>
      <c r="L108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08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08" s="1">
        <f>CLIENTS_CHURN345[[#This Row],[Facture_Mensuelle]]*CLIENTS_CHURN345[[#This Row],[Colonne12]]</f>
        <v>0</v>
      </c>
    </row>
    <row r="109" spans="1:14">
      <c r="A109" s="1" t="s">
        <v>191</v>
      </c>
      <c r="B109" t="s">
        <v>215</v>
      </c>
      <c r="C109" t="s">
        <v>43</v>
      </c>
      <c r="D109">
        <v>21</v>
      </c>
      <c r="E109" t="s">
        <v>21</v>
      </c>
      <c r="F109">
        <v>107</v>
      </c>
      <c r="G109">
        <v>30.97</v>
      </c>
      <c r="H109">
        <v>4</v>
      </c>
      <c r="I109">
        <f>CLIENTS_CHURN345[[#This Row],[Anciennete_Mois]]/12</f>
        <v>1.75</v>
      </c>
      <c r="J109">
        <f>CLIENTS_CHURN345[[#This Row],[Duree_Cumulee_Panne_Min]]/60</f>
        <v>1.7833333333333334</v>
      </c>
      <c r="K109" t="str">
        <f>IF(CLIENTS_CHURN345[[#This Row],[Type_Forfait]]="Pro Monde","B2B","B2C")</f>
        <v>B2C</v>
      </c>
      <c r="L109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09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09" s="1">
        <f>CLIENTS_CHURN345[[#This Row],[Facture_Mensuelle]]*CLIENTS_CHURN345[[#This Row],[Colonne12]]</f>
        <v>0</v>
      </c>
    </row>
    <row r="110" spans="1:14">
      <c r="A110" s="1" t="s">
        <v>602</v>
      </c>
      <c r="B110" t="s">
        <v>627</v>
      </c>
      <c r="C110" t="s">
        <v>52</v>
      </c>
      <c r="D110">
        <v>82</v>
      </c>
      <c r="E110" t="s">
        <v>21</v>
      </c>
      <c r="F110">
        <v>175</v>
      </c>
      <c r="G110">
        <v>86.14</v>
      </c>
      <c r="H110">
        <v>1</v>
      </c>
      <c r="I110">
        <f>CLIENTS_CHURN345[[#This Row],[Anciennete_Mois]]/12</f>
        <v>6.833333333333333</v>
      </c>
      <c r="J110">
        <f>CLIENTS_CHURN345[[#This Row],[Duree_Cumulee_Panne_Min]]/60</f>
        <v>2.9166666666666665</v>
      </c>
      <c r="K110" t="str">
        <f>IF(CLIENTS_CHURN345[[#This Row],[Type_Forfait]]="Pro Monde","B2B","B2C")</f>
        <v>B2C</v>
      </c>
      <c r="L110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10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10" s="1">
        <f>CLIENTS_CHURN345[[#This Row],[Facture_Mensuelle]]*CLIENTS_CHURN345[[#This Row],[Colonne12]]</f>
        <v>0</v>
      </c>
    </row>
    <row r="111" spans="1:14">
      <c r="A111" s="1" t="s">
        <v>242</v>
      </c>
      <c r="B111" t="s">
        <v>267</v>
      </c>
      <c r="C111" t="s">
        <v>29</v>
      </c>
      <c r="D111">
        <v>86</v>
      </c>
      <c r="E111" t="s">
        <v>32</v>
      </c>
      <c r="F111">
        <v>111</v>
      </c>
      <c r="G111">
        <v>23.65</v>
      </c>
      <c r="H111">
        <v>0</v>
      </c>
      <c r="I111">
        <f>CLIENTS_CHURN345[[#This Row],[Anciennete_Mois]]/12</f>
        <v>7.166666666666667</v>
      </c>
      <c r="J111">
        <f>CLIENTS_CHURN345[[#This Row],[Duree_Cumulee_Panne_Min]]/60</f>
        <v>1.85</v>
      </c>
      <c r="K111" t="str">
        <f>IF(CLIENTS_CHURN345[[#This Row],[Type_Forfait]]="Pro Monde","B2B","B2C")</f>
        <v>B2C</v>
      </c>
      <c r="L111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11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11" s="1">
        <f>CLIENTS_CHURN345[[#This Row],[Facture_Mensuelle]]*CLIENTS_CHURN345[[#This Row],[Colonne12]]</f>
        <v>0</v>
      </c>
    </row>
    <row r="112" spans="1:14">
      <c r="A112" s="1" t="s">
        <v>85</v>
      </c>
      <c r="B112" t="s">
        <v>114</v>
      </c>
      <c r="C112" t="s">
        <v>18</v>
      </c>
      <c r="D112">
        <v>111</v>
      </c>
      <c r="E112" t="s">
        <v>32</v>
      </c>
      <c r="F112">
        <v>103</v>
      </c>
      <c r="G112">
        <v>32.06</v>
      </c>
      <c r="H112">
        <v>0</v>
      </c>
      <c r="I112">
        <f>CLIENTS_CHURN345[[#This Row],[Anciennete_Mois]]/12</f>
        <v>9.25</v>
      </c>
      <c r="J112">
        <f>CLIENTS_CHURN345[[#This Row],[Duree_Cumulee_Panne_Min]]/60</f>
        <v>1.7166666666666666</v>
      </c>
      <c r="K112" t="str">
        <f>IF(CLIENTS_CHURN345[[#This Row],[Type_Forfait]]="Pro Monde","B2B","B2C")</f>
        <v>B2C</v>
      </c>
      <c r="L112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12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12" s="1">
        <f>CLIENTS_CHURN345[[#This Row],[Facture_Mensuelle]]*CLIENTS_CHURN345[[#This Row],[Colonne12]]</f>
        <v>0</v>
      </c>
    </row>
    <row r="113" spans="1:14">
      <c r="A113" s="1" t="s">
        <v>602</v>
      </c>
      <c r="B113" t="s">
        <v>629</v>
      </c>
      <c r="C113" t="s">
        <v>79</v>
      </c>
      <c r="D113">
        <v>91</v>
      </c>
      <c r="E113" t="s">
        <v>14</v>
      </c>
      <c r="F113">
        <v>62</v>
      </c>
      <c r="G113">
        <v>34.450000000000003</v>
      </c>
      <c r="H113">
        <v>5</v>
      </c>
      <c r="I113">
        <f>CLIENTS_CHURN345[[#This Row],[Anciennete_Mois]]/12</f>
        <v>7.583333333333333</v>
      </c>
      <c r="J113">
        <f>CLIENTS_CHURN345[[#This Row],[Duree_Cumulee_Panne_Min]]/60</f>
        <v>1.0333333333333334</v>
      </c>
      <c r="K113" t="str">
        <f>IF(CLIENTS_CHURN345[[#This Row],[Type_Forfait]]="Pro Monde","B2B","B2C")</f>
        <v>B2C</v>
      </c>
      <c r="L113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13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13" s="1">
        <f>CLIENTS_CHURN345[[#This Row],[Facture_Mensuelle]]*CLIENTS_CHURN345[[#This Row],[Colonne12]]</f>
        <v>0</v>
      </c>
    </row>
    <row r="114" spans="1:14">
      <c r="A114" s="1" t="s">
        <v>293</v>
      </c>
      <c r="B114" t="s">
        <v>324</v>
      </c>
      <c r="C114" t="s">
        <v>71</v>
      </c>
      <c r="D114">
        <v>95</v>
      </c>
      <c r="E114" t="s">
        <v>32</v>
      </c>
      <c r="F114">
        <v>51</v>
      </c>
      <c r="G114">
        <v>94.77</v>
      </c>
      <c r="H114">
        <v>5</v>
      </c>
      <c r="I114">
        <f>CLIENTS_CHURN345[[#This Row],[Anciennete_Mois]]/12</f>
        <v>7.916666666666667</v>
      </c>
      <c r="J114">
        <f>CLIENTS_CHURN345[[#This Row],[Duree_Cumulee_Panne_Min]]/60</f>
        <v>0.85</v>
      </c>
      <c r="K114" t="str">
        <f>IF(CLIENTS_CHURN345[[#This Row],[Type_Forfait]]="Pro Monde","B2B","B2C")</f>
        <v>B2C</v>
      </c>
      <c r="L114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14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14" s="1">
        <f>CLIENTS_CHURN345[[#This Row],[Facture_Mensuelle]]*CLIENTS_CHURN345[[#This Row],[Colonne12]]</f>
        <v>0</v>
      </c>
    </row>
    <row r="115" spans="1:14">
      <c r="A115" s="1" t="s">
        <v>653</v>
      </c>
      <c r="B115" t="s">
        <v>677</v>
      </c>
      <c r="C115" t="s">
        <v>29</v>
      </c>
      <c r="D115">
        <v>49</v>
      </c>
      <c r="E115" t="s">
        <v>21</v>
      </c>
      <c r="F115">
        <v>25</v>
      </c>
      <c r="G115">
        <v>22.77</v>
      </c>
      <c r="H115">
        <v>3</v>
      </c>
      <c r="I115">
        <f>CLIENTS_CHURN345[[#This Row],[Anciennete_Mois]]/12</f>
        <v>4.083333333333333</v>
      </c>
      <c r="J115">
        <f>CLIENTS_CHURN345[[#This Row],[Duree_Cumulee_Panne_Min]]/60</f>
        <v>0.41666666666666669</v>
      </c>
      <c r="K115" t="str">
        <f>IF(CLIENTS_CHURN345[[#This Row],[Type_Forfait]]="Pro Monde","B2B","B2C")</f>
        <v>B2C</v>
      </c>
      <c r="L115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15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15" s="1">
        <f>CLIENTS_CHURN345[[#This Row],[Facture_Mensuelle]]*CLIENTS_CHURN345[[#This Row],[Colonne12]]</f>
        <v>0</v>
      </c>
    </row>
    <row r="116" spans="1:14">
      <c r="A116" s="1" t="s">
        <v>140</v>
      </c>
      <c r="B116" t="s">
        <v>163</v>
      </c>
      <c r="C116" t="s">
        <v>36</v>
      </c>
      <c r="D116">
        <v>11</v>
      </c>
      <c r="E116" t="s">
        <v>14</v>
      </c>
      <c r="F116">
        <v>215</v>
      </c>
      <c r="G116">
        <v>51.99</v>
      </c>
      <c r="H116">
        <v>1</v>
      </c>
      <c r="I116">
        <f>CLIENTS_CHURN345[[#This Row],[Anciennete_Mois]]/12</f>
        <v>0.91666666666666663</v>
      </c>
      <c r="J116">
        <f>CLIENTS_CHURN345[[#This Row],[Duree_Cumulee_Panne_Min]]/60</f>
        <v>3.5833333333333335</v>
      </c>
      <c r="K116" t="str">
        <f>IF(CLIENTS_CHURN345[[#This Row],[Type_Forfait]]="Pro Monde","B2B","B2C")</f>
        <v>B2C</v>
      </c>
      <c r="L116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16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16" s="1">
        <f>CLIENTS_CHURN345[[#This Row],[Facture_Mensuelle]]*CLIENTS_CHURN345[[#This Row],[Colonne12]]</f>
        <v>0</v>
      </c>
    </row>
    <row r="117" spans="1:14">
      <c r="A117" s="1" t="s">
        <v>551</v>
      </c>
      <c r="B117" t="s">
        <v>583</v>
      </c>
      <c r="C117" t="s">
        <v>111</v>
      </c>
      <c r="D117">
        <v>91</v>
      </c>
      <c r="E117" t="s">
        <v>21</v>
      </c>
      <c r="F117">
        <v>90</v>
      </c>
      <c r="G117">
        <v>39.14</v>
      </c>
      <c r="H117">
        <v>3</v>
      </c>
      <c r="I117">
        <f>CLIENTS_CHURN345[[#This Row],[Anciennete_Mois]]/12</f>
        <v>7.583333333333333</v>
      </c>
      <c r="J117">
        <f>CLIENTS_CHURN345[[#This Row],[Duree_Cumulee_Panne_Min]]/60</f>
        <v>1.5</v>
      </c>
      <c r="K117" t="str">
        <f>IF(CLIENTS_CHURN345[[#This Row],[Type_Forfait]]="Pro Monde","B2B","B2C")</f>
        <v>B2C</v>
      </c>
      <c r="L117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17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17" s="1">
        <f>CLIENTS_CHURN345[[#This Row],[Facture_Mensuelle]]*CLIENTS_CHURN345[[#This Row],[Colonne12]]</f>
        <v>0</v>
      </c>
    </row>
    <row r="118" spans="1:14">
      <c r="A118" s="1" t="s">
        <v>602</v>
      </c>
      <c r="B118" t="s">
        <v>631</v>
      </c>
      <c r="C118" t="s">
        <v>10</v>
      </c>
      <c r="D118">
        <v>27</v>
      </c>
      <c r="E118" t="s">
        <v>14</v>
      </c>
      <c r="F118">
        <v>70</v>
      </c>
      <c r="G118">
        <v>20.32</v>
      </c>
      <c r="H118">
        <v>3</v>
      </c>
      <c r="I118">
        <f>CLIENTS_CHURN345[[#This Row],[Anciennete_Mois]]/12</f>
        <v>2.25</v>
      </c>
      <c r="J118">
        <f>CLIENTS_CHURN345[[#This Row],[Duree_Cumulee_Panne_Min]]/60</f>
        <v>1.1666666666666667</v>
      </c>
      <c r="K118" t="str">
        <f>IF(CLIENTS_CHURN345[[#This Row],[Type_Forfait]]="Pro Monde","B2B","B2C")</f>
        <v>B2C</v>
      </c>
      <c r="L118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18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18" s="1">
        <f>CLIENTS_CHURN345[[#This Row],[Facture_Mensuelle]]*CLIENTS_CHURN345[[#This Row],[Colonne12]]</f>
        <v>0</v>
      </c>
    </row>
    <row r="119" spans="1:14">
      <c r="A119" s="1" t="s">
        <v>395</v>
      </c>
      <c r="B119" t="s">
        <v>427</v>
      </c>
      <c r="C119" t="s">
        <v>16</v>
      </c>
      <c r="D119">
        <v>76</v>
      </c>
      <c r="E119" t="s">
        <v>32</v>
      </c>
      <c r="F119">
        <v>187</v>
      </c>
      <c r="G119">
        <v>56.29</v>
      </c>
      <c r="H119">
        <v>1</v>
      </c>
      <c r="I119">
        <f>CLIENTS_CHURN345[[#This Row],[Anciennete_Mois]]/12</f>
        <v>6.333333333333333</v>
      </c>
      <c r="J119">
        <f>CLIENTS_CHURN345[[#This Row],[Duree_Cumulee_Panne_Min]]/60</f>
        <v>3.1166666666666667</v>
      </c>
      <c r="K119" t="str">
        <f>IF(CLIENTS_CHURN345[[#This Row],[Type_Forfait]]="Pro Monde","B2B","B2C")</f>
        <v>B2C</v>
      </c>
      <c r="L119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19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19" s="1">
        <f>CLIENTS_CHURN345[[#This Row],[Facture_Mensuelle]]*CLIENTS_CHURN345[[#This Row],[Colonne12]]</f>
        <v>0</v>
      </c>
    </row>
    <row r="120" spans="1:14">
      <c r="A120" s="1" t="s">
        <v>602</v>
      </c>
      <c r="B120" t="s">
        <v>632</v>
      </c>
      <c r="C120" t="s">
        <v>61</v>
      </c>
      <c r="D120">
        <v>21</v>
      </c>
      <c r="E120" t="s">
        <v>14</v>
      </c>
      <c r="F120">
        <v>15</v>
      </c>
      <c r="G120">
        <v>57.74</v>
      </c>
      <c r="H120">
        <v>0</v>
      </c>
      <c r="I120">
        <f>CLIENTS_CHURN345[[#This Row],[Anciennete_Mois]]/12</f>
        <v>1.75</v>
      </c>
      <c r="J120">
        <f>CLIENTS_CHURN345[[#This Row],[Duree_Cumulee_Panne_Min]]/60</f>
        <v>0.25</v>
      </c>
      <c r="K120" t="str">
        <f>IF(CLIENTS_CHURN345[[#This Row],[Type_Forfait]]="Pro Monde","B2B","B2C")</f>
        <v>B2C</v>
      </c>
      <c r="L120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20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20" s="1">
        <f>CLIENTS_CHURN345[[#This Row],[Facture_Mensuelle]]*CLIENTS_CHURN345[[#This Row],[Colonne12]]</f>
        <v>0</v>
      </c>
    </row>
    <row r="121" spans="1:14">
      <c r="A121" s="1" t="s">
        <v>756</v>
      </c>
      <c r="B121" t="s">
        <v>786</v>
      </c>
      <c r="C121" t="s">
        <v>43</v>
      </c>
      <c r="D121">
        <v>8</v>
      </c>
      <c r="E121" t="s">
        <v>14</v>
      </c>
      <c r="F121">
        <v>171</v>
      </c>
      <c r="G121">
        <v>52.98</v>
      </c>
      <c r="H121">
        <v>0</v>
      </c>
      <c r="I121">
        <f>CLIENTS_CHURN345[[#This Row],[Anciennete_Mois]]/12</f>
        <v>0.66666666666666663</v>
      </c>
      <c r="J121">
        <f>CLIENTS_CHURN345[[#This Row],[Duree_Cumulee_Panne_Min]]/60</f>
        <v>2.85</v>
      </c>
      <c r="K121" t="str">
        <f>IF(CLIENTS_CHURN345[[#This Row],[Type_Forfait]]="Pro Monde","B2B","B2C")</f>
        <v>B2C</v>
      </c>
      <c r="L121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21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21" s="1">
        <f>CLIENTS_CHURN345[[#This Row],[Facture_Mensuelle]]*CLIENTS_CHURN345[[#This Row],[Colonne12]]</f>
        <v>0</v>
      </c>
    </row>
    <row r="122" spans="1:14">
      <c r="A122" s="1" t="s">
        <v>85</v>
      </c>
      <c r="B122" t="s">
        <v>119</v>
      </c>
      <c r="C122" t="s">
        <v>36</v>
      </c>
      <c r="D122">
        <v>95</v>
      </c>
      <c r="E122" t="s">
        <v>14</v>
      </c>
      <c r="F122">
        <v>33</v>
      </c>
      <c r="G122">
        <v>35.32</v>
      </c>
      <c r="H122">
        <v>0</v>
      </c>
      <c r="I122">
        <f>CLIENTS_CHURN345[[#This Row],[Anciennete_Mois]]/12</f>
        <v>7.916666666666667</v>
      </c>
      <c r="J122">
        <f>CLIENTS_CHURN345[[#This Row],[Duree_Cumulee_Panne_Min]]/60</f>
        <v>0.55000000000000004</v>
      </c>
      <c r="K122" t="str">
        <f>IF(CLIENTS_CHURN345[[#This Row],[Type_Forfait]]="Pro Monde","B2B","B2C")</f>
        <v>B2C</v>
      </c>
      <c r="L122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22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22" s="1">
        <f>CLIENTS_CHURN345[[#This Row],[Facture_Mensuelle]]*CLIENTS_CHURN345[[#This Row],[Colonne12]]</f>
        <v>0</v>
      </c>
    </row>
    <row r="123" spans="1:14">
      <c r="A123" s="1" t="s">
        <v>653</v>
      </c>
      <c r="B123" t="s">
        <v>678</v>
      </c>
      <c r="C123" t="s">
        <v>36</v>
      </c>
      <c r="D123">
        <v>7</v>
      </c>
      <c r="E123" t="s">
        <v>14</v>
      </c>
      <c r="F123">
        <v>43</v>
      </c>
      <c r="G123">
        <v>41.29</v>
      </c>
      <c r="H123">
        <v>4</v>
      </c>
      <c r="I123">
        <f>CLIENTS_CHURN345[[#This Row],[Anciennete_Mois]]/12</f>
        <v>0.58333333333333337</v>
      </c>
      <c r="J123">
        <f>CLIENTS_CHURN345[[#This Row],[Duree_Cumulee_Panne_Min]]/60</f>
        <v>0.71666666666666667</v>
      </c>
      <c r="K123" t="str">
        <f>IF(CLIENTS_CHURN345[[#This Row],[Type_Forfait]]="Pro Monde","B2B","B2C")</f>
        <v>B2C</v>
      </c>
      <c r="L123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23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23" s="1">
        <f>CLIENTS_CHURN345[[#This Row],[Facture_Mensuelle]]*CLIENTS_CHURN345[[#This Row],[Colonne12]]</f>
        <v>0</v>
      </c>
    </row>
    <row r="124" spans="1:14">
      <c r="A124" s="1" t="s">
        <v>499</v>
      </c>
      <c r="B124" t="s">
        <v>526</v>
      </c>
      <c r="C124" t="s">
        <v>38</v>
      </c>
      <c r="D124">
        <v>1</v>
      </c>
      <c r="E124" t="s">
        <v>21</v>
      </c>
      <c r="F124">
        <v>213</v>
      </c>
      <c r="G124">
        <v>52.16</v>
      </c>
      <c r="H124">
        <v>3</v>
      </c>
      <c r="I124">
        <f>CLIENTS_CHURN345[[#This Row],[Anciennete_Mois]]/12</f>
        <v>8.3333333333333329E-2</v>
      </c>
      <c r="J124">
        <f>CLIENTS_CHURN345[[#This Row],[Duree_Cumulee_Panne_Min]]/60</f>
        <v>3.55</v>
      </c>
      <c r="K124" t="str">
        <f>IF(CLIENTS_CHURN345[[#This Row],[Type_Forfait]]="Pro Monde","B2B","B2C")</f>
        <v>B2C</v>
      </c>
      <c r="L124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24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24" s="1">
        <f>CLIENTS_CHURN345[[#This Row],[Facture_Mensuelle]]*CLIENTS_CHURN345[[#This Row],[Colonne12]]</f>
        <v>0</v>
      </c>
    </row>
    <row r="125" spans="1:14">
      <c r="A125" s="1" t="s">
        <v>140</v>
      </c>
      <c r="B125" t="s">
        <v>166</v>
      </c>
      <c r="C125" t="s">
        <v>43</v>
      </c>
      <c r="D125">
        <v>88</v>
      </c>
      <c r="E125" t="s">
        <v>32</v>
      </c>
      <c r="F125">
        <v>232</v>
      </c>
      <c r="G125">
        <v>40.94</v>
      </c>
      <c r="H125">
        <v>2</v>
      </c>
      <c r="I125">
        <f>CLIENTS_CHURN345[[#This Row],[Anciennete_Mois]]/12</f>
        <v>7.333333333333333</v>
      </c>
      <c r="J125">
        <f>CLIENTS_CHURN345[[#This Row],[Duree_Cumulee_Panne_Min]]/60</f>
        <v>3.8666666666666667</v>
      </c>
      <c r="K125" t="str">
        <f>IF(CLIENTS_CHURN345[[#This Row],[Type_Forfait]]="Pro Monde","B2B","B2C")</f>
        <v>B2C</v>
      </c>
      <c r="L125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25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25" s="1">
        <f>CLIENTS_CHURN345[[#This Row],[Facture_Mensuelle]]*CLIENTS_CHURN345[[#This Row],[Colonne12]]</f>
        <v>0</v>
      </c>
    </row>
    <row r="126" spans="1:14">
      <c r="A126" s="1" t="s">
        <v>293</v>
      </c>
      <c r="B126" t="s">
        <v>329</v>
      </c>
      <c r="C126" t="s">
        <v>29</v>
      </c>
      <c r="D126">
        <v>73</v>
      </c>
      <c r="E126" t="s">
        <v>21</v>
      </c>
      <c r="F126">
        <v>225</v>
      </c>
      <c r="G126">
        <v>45.86</v>
      </c>
      <c r="H126">
        <v>0</v>
      </c>
      <c r="I126">
        <f>CLIENTS_CHURN345[[#This Row],[Anciennete_Mois]]/12</f>
        <v>6.083333333333333</v>
      </c>
      <c r="J126">
        <f>CLIENTS_CHURN345[[#This Row],[Duree_Cumulee_Panne_Min]]/60</f>
        <v>3.75</v>
      </c>
      <c r="K126" t="str">
        <f>IF(CLIENTS_CHURN345[[#This Row],[Type_Forfait]]="Pro Monde","B2B","B2C")</f>
        <v>B2C</v>
      </c>
      <c r="L126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26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26" s="1">
        <f>CLIENTS_CHURN345[[#This Row],[Facture_Mensuelle]]*CLIENTS_CHURN345[[#This Row],[Colonne12]]</f>
        <v>0</v>
      </c>
    </row>
    <row r="127" spans="1:14">
      <c r="A127" s="1" t="s">
        <v>705</v>
      </c>
      <c r="B127" t="s">
        <v>736</v>
      </c>
      <c r="C127" t="s">
        <v>20</v>
      </c>
      <c r="D127">
        <v>80</v>
      </c>
      <c r="E127" t="s">
        <v>14</v>
      </c>
      <c r="F127">
        <v>65</v>
      </c>
      <c r="G127">
        <v>76.64</v>
      </c>
      <c r="H127">
        <v>3</v>
      </c>
      <c r="I127">
        <f>CLIENTS_CHURN345[[#This Row],[Anciennete_Mois]]/12</f>
        <v>6.666666666666667</v>
      </c>
      <c r="J127">
        <f>CLIENTS_CHURN345[[#This Row],[Duree_Cumulee_Panne_Min]]/60</f>
        <v>1.0833333333333333</v>
      </c>
      <c r="K127" t="str">
        <f>IF(CLIENTS_CHURN345[[#This Row],[Type_Forfait]]="Pro Monde","B2B","B2C")</f>
        <v>B2C</v>
      </c>
      <c r="L127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27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27" s="1">
        <f>CLIENTS_CHURN345[[#This Row],[Facture_Mensuelle]]*CLIENTS_CHURN345[[#This Row],[Colonne12]]</f>
        <v>0</v>
      </c>
    </row>
    <row r="128" spans="1:14">
      <c r="A128" s="1" t="s">
        <v>293</v>
      </c>
      <c r="B128" t="s">
        <v>330</v>
      </c>
      <c r="C128" t="s">
        <v>95</v>
      </c>
      <c r="D128">
        <v>66</v>
      </c>
      <c r="E128" t="s">
        <v>32</v>
      </c>
      <c r="F128">
        <v>193</v>
      </c>
      <c r="G128">
        <v>21.06</v>
      </c>
      <c r="H128">
        <v>3</v>
      </c>
      <c r="I128">
        <f>CLIENTS_CHURN345[[#This Row],[Anciennete_Mois]]/12</f>
        <v>5.5</v>
      </c>
      <c r="J128">
        <f>CLIENTS_CHURN345[[#This Row],[Duree_Cumulee_Panne_Min]]/60</f>
        <v>3.2166666666666668</v>
      </c>
      <c r="K128" t="str">
        <f>IF(CLIENTS_CHURN345[[#This Row],[Type_Forfait]]="Pro Monde","B2B","B2C")</f>
        <v>B2C</v>
      </c>
      <c r="L128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28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28" s="1">
        <f>CLIENTS_CHURN345[[#This Row],[Facture_Mensuelle]]*CLIENTS_CHURN345[[#This Row],[Colonne12]]</f>
        <v>0</v>
      </c>
    </row>
    <row r="129" spans="1:14">
      <c r="A129" s="1" t="s">
        <v>705</v>
      </c>
      <c r="B129" t="s">
        <v>737</v>
      </c>
      <c r="C129" t="s">
        <v>52</v>
      </c>
      <c r="D129">
        <v>38</v>
      </c>
      <c r="E129" t="s">
        <v>21</v>
      </c>
      <c r="F129">
        <v>191</v>
      </c>
      <c r="G129">
        <v>22.97</v>
      </c>
      <c r="H129">
        <v>3</v>
      </c>
      <c r="I129">
        <f>CLIENTS_CHURN345[[#This Row],[Anciennete_Mois]]/12</f>
        <v>3.1666666666666665</v>
      </c>
      <c r="J129">
        <f>CLIENTS_CHURN345[[#This Row],[Duree_Cumulee_Panne_Min]]/60</f>
        <v>3.1833333333333331</v>
      </c>
      <c r="K129" t="str">
        <f>IF(CLIENTS_CHURN345[[#This Row],[Type_Forfait]]="Pro Monde","B2B","B2C")</f>
        <v>B2C</v>
      </c>
      <c r="L129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29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29" s="1">
        <f>CLIENTS_CHURN345[[#This Row],[Facture_Mensuelle]]*CLIENTS_CHURN345[[#This Row],[Colonne12]]</f>
        <v>0</v>
      </c>
    </row>
    <row r="130" spans="1:14">
      <c r="A130" s="1" t="s">
        <v>653</v>
      </c>
      <c r="B130" t="s">
        <v>680</v>
      </c>
      <c r="C130" t="s">
        <v>111</v>
      </c>
      <c r="D130">
        <v>6</v>
      </c>
      <c r="E130" t="s">
        <v>21</v>
      </c>
      <c r="F130">
        <v>77</v>
      </c>
      <c r="G130">
        <v>18.48</v>
      </c>
      <c r="H130">
        <v>2</v>
      </c>
      <c r="I130">
        <f>CLIENTS_CHURN345[[#This Row],[Anciennete_Mois]]/12</f>
        <v>0.5</v>
      </c>
      <c r="J130">
        <f>CLIENTS_CHURN345[[#This Row],[Duree_Cumulee_Panne_Min]]/60</f>
        <v>1.2833333333333334</v>
      </c>
      <c r="K130" t="str">
        <f>IF(CLIENTS_CHURN345[[#This Row],[Type_Forfait]]="Pro Monde","B2B","B2C")</f>
        <v>B2C</v>
      </c>
      <c r="L130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30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30" s="1">
        <f>CLIENTS_CHURN345[[#This Row],[Facture_Mensuelle]]*CLIENTS_CHURN345[[#This Row],[Colonne12]]</f>
        <v>0</v>
      </c>
    </row>
    <row r="131" spans="1:14">
      <c r="A131" s="1" t="s">
        <v>602</v>
      </c>
      <c r="B131" t="s">
        <v>634</v>
      </c>
      <c r="C131" t="s">
        <v>61</v>
      </c>
      <c r="D131">
        <v>30</v>
      </c>
      <c r="E131" t="s">
        <v>14</v>
      </c>
      <c r="F131">
        <v>130</v>
      </c>
      <c r="G131">
        <v>50.15</v>
      </c>
      <c r="H131">
        <v>4</v>
      </c>
      <c r="I131">
        <f>CLIENTS_CHURN345[[#This Row],[Anciennete_Mois]]/12</f>
        <v>2.5</v>
      </c>
      <c r="J131">
        <f>CLIENTS_CHURN345[[#This Row],[Duree_Cumulee_Panne_Min]]/60</f>
        <v>2.1666666666666665</v>
      </c>
      <c r="K131" t="str">
        <f>IF(CLIENTS_CHURN345[[#This Row],[Type_Forfait]]="Pro Monde","B2B","B2C")</f>
        <v>B2C</v>
      </c>
      <c r="L131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31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31" s="1">
        <f>CLIENTS_CHURN345[[#This Row],[Facture_Mensuelle]]*CLIENTS_CHURN345[[#This Row],[Colonne12]]</f>
        <v>0</v>
      </c>
    </row>
    <row r="132" spans="1:14">
      <c r="A132" s="1" t="s">
        <v>242</v>
      </c>
      <c r="B132" t="s">
        <v>272</v>
      </c>
      <c r="C132" t="s">
        <v>52</v>
      </c>
      <c r="D132">
        <v>60</v>
      </c>
      <c r="E132" t="s">
        <v>21</v>
      </c>
      <c r="F132">
        <v>161</v>
      </c>
      <c r="G132">
        <v>62.65</v>
      </c>
      <c r="H132">
        <v>0</v>
      </c>
      <c r="I132">
        <f>CLIENTS_CHURN345[[#This Row],[Anciennete_Mois]]/12</f>
        <v>5</v>
      </c>
      <c r="J132">
        <f>CLIENTS_CHURN345[[#This Row],[Duree_Cumulee_Panne_Min]]/60</f>
        <v>2.6833333333333331</v>
      </c>
      <c r="K132" t="str">
        <f>IF(CLIENTS_CHURN345[[#This Row],[Type_Forfait]]="Pro Monde","B2B","B2C")</f>
        <v>B2C</v>
      </c>
      <c r="L132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32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32" s="1">
        <f>CLIENTS_CHURN345[[#This Row],[Facture_Mensuelle]]*CLIENTS_CHURN345[[#This Row],[Colonne12]]</f>
        <v>0</v>
      </c>
    </row>
    <row r="133" spans="1:14">
      <c r="A133" s="1" t="s">
        <v>447</v>
      </c>
      <c r="B133" t="s">
        <v>484</v>
      </c>
      <c r="C133" t="s">
        <v>92</v>
      </c>
      <c r="D133">
        <v>85</v>
      </c>
      <c r="E133" t="s">
        <v>21</v>
      </c>
      <c r="F133">
        <v>132</v>
      </c>
      <c r="G133">
        <v>11.41</v>
      </c>
      <c r="H133">
        <v>0</v>
      </c>
      <c r="I133">
        <f>CLIENTS_CHURN345[[#This Row],[Anciennete_Mois]]/12</f>
        <v>7.083333333333333</v>
      </c>
      <c r="J133">
        <f>CLIENTS_CHURN345[[#This Row],[Duree_Cumulee_Panne_Min]]/60</f>
        <v>2.2000000000000002</v>
      </c>
      <c r="K133" t="str">
        <f>IF(CLIENTS_CHURN345[[#This Row],[Type_Forfait]]="Pro Monde","B2B","B2C")</f>
        <v>B2C</v>
      </c>
      <c r="L133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33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33" s="1">
        <f>CLIENTS_CHURN345[[#This Row],[Facture_Mensuelle]]*CLIENTS_CHURN345[[#This Row],[Colonne12]]</f>
        <v>0</v>
      </c>
    </row>
    <row r="134" spans="1:14">
      <c r="A134" s="1" t="s">
        <v>242</v>
      </c>
      <c r="B134" t="s">
        <v>273</v>
      </c>
      <c r="C134" t="s">
        <v>16</v>
      </c>
      <c r="D134">
        <v>96</v>
      </c>
      <c r="E134" t="s">
        <v>21</v>
      </c>
      <c r="F134">
        <v>108</v>
      </c>
      <c r="G134">
        <v>30.92</v>
      </c>
      <c r="H134">
        <v>1</v>
      </c>
      <c r="I134">
        <f>CLIENTS_CHURN345[[#This Row],[Anciennete_Mois]]/12</f>
        <v>8</v>
      </c>
      <c r="J134">
        <f>CLIENTS_CHURN345[[#This Row],[Duree_Cumulee_Panne_Min]]/60</f>
        <v>1.8</v>
      </c>
      <c r="K134" t="str">
        <f>IF(CLIENTS_CHURN345[[#This Row],[Type_Forfait]]="Pro Monde","B2B","B2C")</f>
        <v>B2C</v>
      </c>
      <c r="L134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34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34" s="1">
        <f>CLIENTS_CHURN345[[#This Row],[Facture_Mensuelle]]*CLIENTS_CHURN345[[#This Row],[Colonne12]]</f>
        <v>0</v>
      </c>
    </row>
    <row r="135" spans="1:14">
      <c r="A135" s="1" t="s">
        <v>242</v>
      </c>
      <c r="B135" t="s">
        <v>274</v>
      </c>
      <c r="C135" t="s">
        <v>13</v>
      </c>
      <c r="D135">
        <v>89</v>
      </c>
      <c r="E135" t="s">
        <v>21</v>
      </c>
      <c r="F135">
        <v>7</v>
      </c>
      <c r="G135">
        <v>53.39</v>
      </c>
      <c r="H135">
        <v>3</v>
      </c>
      <c r="I135">
        <f>CLIENTS_CHURN345[[#This Row],[Anciennete_Mois]]/12</f>
        <v>7.416666666666667</v>
      </c>
      <c r="J135">
        <f>CLIENTS_CHURN345[[#This Row],[Duree_Cumulee_Panne_Min]]/60</f>
        <v>0.11666666666666667</v>
      </c>
      <c r="K135" t="str">
        <f>IF(CLIENTS_CHURN345[[#This Row],[Type_Forfait]]="Pro Monde","B2B","B2C")</f>
        <v>B2C</v>
      </c>
      <c r="L135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35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35" s="1">
        <f>CLIENTS_CHURN345[[#This Row],[Facture_Mensuelle]]*CLIENTS_CHURN345[[#This Row],[Colonne12]]</f>
        <v>0</v>
      </c>
    </row>
    <row r="136" spans="1:14">
      <c r="A136" s="1" t="s">
        <v>705</v>
      </c>
      <c r="B136" t="s">
        <v>739</v>
      </c>
      <c r="C136" t="s">
        <v>79</v>
      </c>
      <c r="D136">
        <v>106</v>
      </c>
      <c r="E136" t="s">
        <v>21</v>
      </c>
      <c r="F136">
        <v>236</v>
      </c>
      <c r="G136">
        <v>18.72</v>
      </c>
      <c r="H136">
        <v>4</v>
      </c>
      <c r="I136">
        <f>CLIENTS_CHURN345[[#This Row],[Anciennete_Mois]]/12</f>
        <v>8.8333333333333339</v>
      </c>
      <c r="J136">
        <f>CLIENTS_CHURN345[[#This Row],[Duree_Cumulee_Panne_Min]]/60</f>
        <v>3.9333333333333331</v>
      </c>
      <c r="K136" t="str">
        <f>IF(CLIENTS_CHURN345[[#This Row],[Type_Forfait]]="Pro Monde","B2B","B2C")</f>
        <v>B2C</v>
      </c>
      <c r="L136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36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36" s="1">
        <f>CLIENTS_CHURN345[[#This Row],[Facture_Mensuelle]]*CLIENTS_CHURN345[[#This Row],[Colonne12]]</f>
        <v>0</v>
      </c>
    </row>
    <row r="137" spans="1:14">
      <c r="A137" s="1" t="s">
        <v>551</v>
      </c>
      <c r="B137" t="s">
        <v>587</v>
      </c>
      <c r="C137" t="s">
        <v>10</v>
      </c>
      <c r="D137">
        <v>110</v>
      </c>
      <c r="E137" t="s">
        <v>14</v>
      </c>
      <c r="F137">
        <v>132</v>
      </c>
      <c r="G137">
        <v>21.31</v>
      </c>
      <c r="H137">
        <v>5</v>
      </c>
      <c r="I137">
        <f>CLIENTS_CHURN345[[#This Row],[Anciennete_Mois]]/12</f>
        <v>9.1666666666666661</v>
      </c>
      <c r="J137">
        <f>CLIENTS_CHURN345[[#This Row],[Duree_Cumulee_Panne_Min]]/60</f>
        <v>2.2000000000000002</v>
      </c>
      <c r="K137" t="str">
        <f>IF(CLIENTS_CHURN345[[#This Row],[Type_Forfait]]="Pro Monde","B2B","B2C")</f>
        <v>B2C</v>
      </c>
      <c r="L137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37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37" s="1">
        <f>CLIENTS_CHURN345[[#This Row],[Facture_Mensuelle]]*CLIENTS_CHURN345[[#This Row],[Colonne12]]</f>
        <v>0</v>
      </c>
    </row>
    <row r="138" spans="1:14">
      <c r="A138" s="1" t="s">
        <v>8</v>
      </c>
      <c r="B138" t="s">
        <v>46</v>
      </c>
      <c r="C138" t="s">
        <v>16</v>
      </c>
      <c r="D138">
        <v>89</v>
      </c>
      <c r="E138" t="s">
        <v>32</v>
      </c>
      <c r="F138">
        <v>143</v>
      </c>
      <c r="G138">
        <v>48.05</v>
      </c>
      <c r="H138">
        <v>4</v>
      </c>
      <c r="I138">
        <f>CLIENTS_CHURN345[[#This Row],[Anciennete_Mois]]/12</f>
        <v>7.416666666666667</v>
      </c>
      <c r="J138">
        <f>CLIENTS_CHURN345[[#This Row],[Duree_Cumulee_Panne_Min]]/60</f>
        <v>2.3833333333333333</v>
      </c>
      <c r="K138" t="str">
        <f>IF(CLIENTS_CHURN345[[#This Row],[Type_Forfait]]="Pro Monde","B2B","B2C")</f>
        <v>B2C</v>
      </c>
      <c r="L138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38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38" s="1">
        <f>CLIENTS_CHURN345[[#This Row],[Facture_Mensuelle]]*CLIENTS_CHURN345[[#This Row],[Colonne12]]</f>
        <v>0</v>
      </c>
    </row>
    <row r="139" spans="1:14">
      <c r="A139" s="1" t="s">
        <v>653</v>
      </c>
      <c r="B139" t="s">
        <v>682</v>
      </c>
      <c r="C139" t="s">
        <v>61</v>
      </c>
      <c r="D139">
        <v>116</v>
      </c>
      <c r="E139" t="s">
        <v>32</v>
      </c>
      <c r="F139">
        <v>14</v>
      </c>
      <c r="G139">
        <v>30.38</v>
      </c>
      <c r="H139">
        <v>1</v>
      </c>
      <c r="I139">
        <f>CLIENTS_CHURN345[[#This Row],[Anciennete_Mois]]/12</f>
        <v>9.6666666666666661</v>
      </c>
      <c r="J139">
        <f>CLIENTS_CHURN345[[#This Row],[Duree_Cumulee_Panne_Min]]/60</f>
        <v>0.23333333333333334</v>
      </c>
      <c r="K139" t="str">
        <f>IF(CLIENTS_CHURN345[[#This Row],[Type_Forfait]]="Pro Monde","B2B","B2C")</f>
        <v>B2C</v>
      </c>
      <c r="L139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39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39" s="1">
        <f>CLIENTS_CHURN345[[#This Row],[Facture_Mensuelle]]*CLIENTS_CHURN345[[#This Row],[Colonne12]]</f>
        <v>0</v>
      </c>
    </row>
    <row r="140" spans="1:14">
      <c r="A140" s="1" t="s">
        <v>140</v>
      </c>
      <c r="B140" t="s">
        <v>169</v>
      </c>
      <c r="C140" t="s">
        <v>16</v>
      </c>
      <c r="D140">
        <v>47</v>
      </c>
      <c r="E140" t="s">
        <v>14</v>
      </c>
      <c r="F140">
        <v>98</v>
      </c>
      <c r="G140">
        <v>16.16</v>
      </c>
      <c r="H140">
        <v>5</v>
      </c>
      <c r="I140">
        <f>CLIENTS_CHURN345[[#This Row],[Anciennete_Mois]]/12</f>
        <v>3.9166666666666665</v>
      </c>
      <c r="J140">
        <f>CLIENTS_CHURN345[[#This Row],[Duree_Cumulee_Panne_Min]]/60</f>
        <v>1.6333333333333333</v>
      </c>
      <c r="K140" t="str">
        <f>IF(CLIENTS_CHURN345[[#This Row],[Type_Forfait]]="Pro Monde","B2B","B2C")</f>
        <v>B2C</v>
      </c>
      <c r="L140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40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40" s="1">
        <f>CLIENTS_CHURN345[[#This Row],[Facture_Mensuelle]]*CLIENTS_CHURN345[[#This Row],[Colonne12]]</f>
        <v>0</v>
      </c>
    </row>
    <row r="141" spans="1:14">
      <c r="A141" s="1" t="s">
        <v>499</v>
      </c>
      <c r="B141" t="s">
        <v>532</v>
      </c>
      <c r="C141" t="s">
        <v>45</v>
      </c>
      <c r="D141">
        <v>86</v>
      </c>
      <c r="E141" t="s">
        <v>32</v>
      </c>
      <c r="F141">
        <v>27</v>
      </c>
      <c r="G141">
        <v>84.94</v>
      </c>
      <c r="H141">
        <v>4</v>
      </c>
      <c r="I141">
        <f>CLIENTS_CHURN345[[#This Row],[Anciennete_Mois]]/12</f>
        <v>7.166666666666667</v>
      </c>
      <c r="J141">
        <f>CLIENTS_CHURN345[[#This Row],[Duree_Cumulee_Panne_Min]]/60</f>
        <v>0.45</v>
      </c>
      <c r="K141" t="str">
        <f>IF(CLIENTS_CHURN345[[#This Row],[Type_Forfait]]="Pro Monde","B2B","B2C")</f>
        <v>B2C</v>
      </c>
      <c r="L141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41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41" s="1">
        <f>CLIENTS_CHURN345[[#This Row],[Facture_Mensuelle]]*CLIENTS_CHURN345[[#This Row],[Colonne12]]</f>
        <v>0</v>
      </c>
    </row>
    <row r="142" spans="1:14">
      <c r="A142" s="1" t="s">
        <v>85</v>
      </c>
      <c r="B142" t="s">
        <v>122</v>
      </c>
      <c r="C142" t="s">
        <v>20</v>
      </c>
      <c r="D142">
        <v>94</v>
      </c>
      <c r="E142" t="s">
        <v>21</v>
      </c>
      <c r="F142">
        <v>122</v>
      </c>
      <c r="G142">
        <v>95.74</v>
      </c>
      <c r="H142">
        <v>5</v>
      </c>
      <c r="I142">
        <f>CLIENTS_CHURN345[[#This Row],[Anciennete_Mois]]/12</f>
        <v>7.833333333333333</v>
      </c>
      <c r="J142">
        <f>CLIENTS_CHURN345[[#This Row],[Duree_Cumulee_Panne_Min]]/60</f>
        <v>2.0333333333333332</v>
      </c>
      <c r="K142" t="str">
        <f>IF(CLIENTS_CHURN345[[#This Row],[Type_Forfait]]="Pro Monde","B2B","B2C")</f>
        <v>B2C</v>
      </c>
      <c r="L142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42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42" s="1">
        <f>CLIENTS_CHURN345[[#This Row],[Facture_Mensuelle]]*CLIENTS_CHURN345[[#This Row],[Colonne12]]</f>
        <v>0</v>
      </c>
    </row>
    <row r="143" spans="1:14">
      <c r="A143" s="1" t="s">
        <v>395</v>
      </c>
      <c r="B143" t="s">
        <v>432</v>
      </c>
      <c r="C143" t="s">
        <v>38</v>
      </c>
      <c r="D143">
        <v>94</v>
      </c>
      <c r="E143" t="s">
        <v>21</v>
      </c>
      <c r="F143">
        <v>115</v>
      </c>
      <c r="G143">
        <v>19.12</v>
      </c>
      <c r="H143">
        <v>0</v>
      </c>
      <c r="I143">
        <f>CLIENTS_CHURN345[[#This Row],[Anciennete_Mois]]/12</f>
        <v>7.833333333333333</v>
      </c>
      <c r="J143">
        <f>CLIENTS_CHURN345[[#This Row],[Duree_Cumulee_Panne_Min]]/60</f>
        <v>1.9166666666666667</v>
      </c>
      <c r="K143" t="str">
        <f>IF(CLIENTS_CHURN345[[#This Row],[Type_Forfait]]="Pro Monde","B2B","B2C")</f>
        <v>B2C</v>
      </c>
      <c r="L143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43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43" s="1">
        <f>CLIENTS_CHURN345[[#This Row],[Facture_Mensuelle]]*CLIENTS_CHURN345[[#This Row],[Colonne12]]</f>
        <v>0</v>
      </c>
    </row>
    <row r="144" spans="1:14">
      <c r="A144" s="1" t="s">
        <v>499</v>
      </c>
      <c r="B144" t="s">
        <v>533</v>
      </c>
      <c r="C144" t="s">
        <v>24</v>
      </c>
      <c r="D144">
        <v>92</v>
      </c>
      <c r="E144" t="s">
        <v>14</v>
      </c>
      <c r="F144">
        <v>6</v>
      </c>
      <c r="G144">
        <v>77.14</v>
      </c>
      <c r="H144">
        <v>5</v>
      </c>
      <c r="I144">
        <f>CLIENTS_CHURN345[[#This Row],[Anciennete_Mois]]/12</f>
        <v>7.666666666666667</v>
      </c>
      <c r="J144">
        <f>CLIENTS_CHURN345[[#This Row],[Duree_Cumulee_Panne_Min]]/60</f>
        <v>0.1</v>
      </c>
      <c r="K144" t="str">
        <f>IF(CLIENTS_CHURN345[[#This Row],[Type_Forfait]]="Pro Monde","B2B","B2C")</f>
        <v>B2C</v>
      </c>
      <c r="L144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44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44" s="1">
        <f>CLIENTS_CHURN345[[#This Row],[Facture_Mensuelle]]*CLIENTS_CHURN345[[#This Row],[Colonne12]]</f>
        <v>0</v>
      </c>
    </row>
    <row r="145" spans="1:14">
      <c r="A145" s="1" t="s">
        <v>499</v>
      </c>
      <c r="B145" t="s">
        <v>534</v>
      </c>
      <c r="C145" t="s">
        <v>29</v>
      </c>
      <c r="D145">
        <v>117</v>
      </c>
      <c r="E145" t="s">
        <v>21</v>
      </c>
      <c r="F145">
        <v>39</v>
      </c>
      <c r="G145">
        <v>26.53</v>
      </c>
      <c r="H145">
        <v>1</v>
      </c>
      <c r="I145">
        <f>CLIENTS_CHURN345[[#This Row],[Anciennete_Mois]]/12</f>
        <v>9.75</v>
      </c>
      <c r="J145">
        <f>CLIENTS_CHURN345[[#This Row],[Duree_Cumulee_Panne_Min]]/60</f>
        <v>0.65</v>
      </c>
      <c r="K145" t="str">
        <f>IF(CLIENTS_CHURN345[[#This Row],[Type_Forfait]]="Pro Monde","B2B","B2C")</f>
        <v>B2C</v>
      </c>
      <c r="L145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45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45" s="1">
        <f>CLIENTS_CHURN345[[#This Row],[Facture_Mensuelle]]*CLIENTS_CHURN345[[#This Row],[Colonne12]]</f>
        <v>0</v>
      </c>
    </row>
    <row r="146" spans="1:14">
      <c r="A146" s="1" t="s">
        <v>551</v>
      </c>
      <c r="B146" t="s">
        <v>589</v>
      </c>
      <c r="C146" t="s">
        <v>18</v>
      </c>
      <c r="D146">
        <v>88</v>
      </c>
      <c r="E146" t="s">
        <v>32</v>
      </c>
      <c r="F146">
        <v>219</v>
      </c>
      <c r="G146">
        <v>59.15</v>
      </c>
      <c r="H146">
        <v>0</v>
      </c>
      <c r="I146">
        <f>CLIENTS_CHURN345[[#This Row],[Anciennete_Mois]]/12</f>
        <v>7.333333333333333</v>
      </c>
      <c r="J146">
        <f>CLIENTS_CHURN345[[#This Row],[Duree_Cumulee_Panne_Min]]/60</f>
        <v>3.65</v>
      </c>
      <c r="K146" t="str">
        <f>IF(CLIENTS_CHURN345[[#This Row],[Type_Forfait]]="Pro Monde","B2B","B2C")</f>
        <v>B2C</v>
      </c>
      <c r="L146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46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46" s="1">
        <f>CLIENTS_CHURN345[[#This Row],[Facture_Mensuelle]]*CLIENTS_CHURN345[[#This Row],[Colonne12]]</f>
        <v>0</v>
      </c>
    </row>
    <row r="147" spans="1:14">
      <c r="A147" s="1" t="s">
        <v>140</v>
      </c>
      <c r="B147" t="s">
        <v>171</v>
      </c>
      <c r="C147" t="s">
        <v>24</v>
      </c>
      <c r="D147">
        <v>25</v>
      </c>
      <c r="E147" t="s">
        <v>14</v>
      </c>
      <c r="F147">
        <v>131</v>
      </c>
      <c r="G147">
        <v>67.489999999999995</v>
      </c>
      <c r="H147">
        <v>0</v>
      </c>
      <c r="I147">
        <f>CLIENTS_CHURN345[[#This Row],[Anciennete_Mois]]/12</f>
        <v>2.0833333333333335</v>
      </c>
      <c r="J147">
        <f>CLIENTS_CHURN345[[#This Row],[Duree_Cumulee_Panne_Min]]/60</f>
        <v>2.1833333333333331</v>
      </c>
      <c r="K147" t="str">
        <f>IF(CLIENTS_CHURN345[[#This Row],[Type_Forfait]]="Pro Monde","B2B","B2C")</f>
        <v>B2C</v>
      </c>
      <c r="L147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47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47" s="1">
        <f>CLIENTS_CHURN345[[#This Row],[Facture_Mensuelle]]*CLIENTS_CHURN345[[#This Row],[Colonne12]]</f>
        <v>0</v>
      </c>
    </row>
    <row r="148" spans="1:14">
      <c r="A148" s="1" t="s">
        <v>602</v>
      </c>
      <c r="B148" t="s">
        <v>638</v>
      </c>
      <c r="C148" t="s">
        <v>65</v>
      </c>
      <c r="D148">
        <v>41</v>
      </c>
      <c r="E148" t="s">
        <v>14</v>
      </c>
      <c r="F148">
        <v>2</v>
      </c>
      <c r="G148">
        <v>24.91</v>
      </c>
      <c r="H148">
        <v>1</v>
      </c>
      <c r="I148">
        <f>CLIENTS_CHURN345[[#This Row],[Anciennete_Mois]]/12</f>
        <v>3.4166666666666665</v>
      </c>
      <c r="J148">
        <f>CLIENTS_CHURN345[[#This Row],[Duree_Cumulee_Panne_Min]]/60</f>
        <v>3.3333333333333333E-2</v>
      </c>
      <c r="K148" t="str">
        <f>IF(CLIENTS_CHURN345[[#This Row],[Type_Forfait]]="Pro Monde","B2B","B2C")</f>
        <v>B2C</v>
      </c>
      <c r="L148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48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48" s="1">
        <f>CLIENTS_CHURN345[[#This Row],[Facture_Mensuelle]]*CLIENTS_CHURN345[[#This Row],[Colonne12]]</f>
        <v>0</v>
      </c>
    </row>
    <row r="149" spans="1:14">
      <c r="A149" s="1" t="s">
        <v>140</v>
      </c>
      <c r="B149" t="s">
        <v>172</v>
      </c>
      <c r="C149" t="s">
        <v>16</v>
      </c>
      <c r="D149">
        <v>6</v>
      </c>
      <c r="E149" t="s">
        <v>14</v>
      </c>
      <c r="F149">
        <v>6</v>
      </c>
      <c r="G149">
        <v>72.27</v>
      </c>
      <c r="H149">
        <v>4</v>
      </c>
      <c r="I149">
        <f>CLIENTS_CHURN345[[#This Row],[Anciennete_Mois]]/12</f>
        <v>0.5</v>
      </c>
      <c r="J149">
        <f>CLIENTS_CHURN345[[#This Row],[Duree_Cumulee_Panne_Min]]/60</f>
        <v>0.1</v>
      </c>
      <c r="K149" t="str">
        <f>IF(CLIENTS_CHURN345[[#This Row],[Type_Forfait]]="Pro Monde","B2B","B2C")</f>
        <v>B2C</v>
      </c>
      <c r="L149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49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49" s="1">
        <f>CLIENTS_CHURN345[[#This Row],[Facture_Mensuelle]]*CLIENTS_CHURN345[[#This Row],[Colonne12]]</f>
        <v>0</v>
      </c>
    </row>
    <row r="150" spans="1:14">
      <c r="A150" s="1" t="s">
        <v>242</v>
      </c>
      <c r="B150" t="s">
        <v>278</v>
      </c>
      <c r="C150" t="s">
        <v>40</v>
      </c>
      <c r="D150">
        <v>60</v>
      </c>
      <c r="E150" t="s">
        <v>21</v>
      </c>
      <c r="F150">
        <v>54</v>
      </c>
      <c r="G150">
        <v>67.180000000000007</v>
      </c>
      <c r="H150">
        <v>3</v>
      </c>
      <c r="I150">
        <f>CLIENTS_CHURN345[[#This Row],[Anciennete_Mois]]/12</f>
        <v>5</v>
      </c>
      <c r="J150">
        <f>CLIENTS_CHURN345[[#This Row],[Duree_Cumulee_Panne_Min]]/60</f>
        <v>0.9</v>
      </c>
      <c r="K150" t="str">
        <f>IF(CLIENTS_CHURN345[[#This Row],[Type_Forfait]]="Pro Monde","B2B","B2C")</f>
        <v>B2C</v>
      </c>
      <c r="L150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50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50" s="1">
        <f>CLIENTS_CHURN345[[#This Row],[Facture_Mensuelle]]*CLIENTS_CHURN345[[#This Row],[Colonne12]]</f>
        <v>0</v>
      </c>
    </row>
    <row r="151" spans="1:14">
      <c r="A151" s="1" t="s">
        <v>653</v>
      </c>
      <c r="B151" t="s">
        <v>685</v>
      </c>
      <c r="C151" t="s">
        <v>26</v>
      </c>
      <c r="D151">
        <v>69</v>
      </c>
      <c r="E151" t="s">
        <v>14</v>
      </c>
      <c r="F151">
        <v>180</v>
      </c>
      <c r="G151">
        <v>76.05</v>
      </c>
      <c r="H151">
        <v>2</v>
      </c>
      <c r="I151">
        <f>CLIENTS_CHURN345[[#This Row],[Anciennete_Mois]]/12</f>
        <v>5.75</v>
      </c>
      <c r="J151">
        <f>CLIENTS_CHURN345[[#This Row],[Duree_Cumulee_Panne_Min]]/60</f>
        <v>3</v>
      </c>
      <c r="K151" t="str">
        <f>IF(CLIENTS_CHURN345[[#This Row],[Type_Forfait]]="Pro Monde","B2B","B2C")</f>
        <v>B2C</v>
      </c>
      <c r="L151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51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51" s="1">
        <f>CLIENTS_CHURN345[[#This Row],[Facture_Mensuelle]]*CLIENTS_CHURN345[[#This Row],[Colonne12]]</f>
        <v>0</v>
      </c>
    </row>
    <row r="152" spans="1:14">
      <c r="A152" s="1" t="s">
        <v>293</v>
      </c>
      <c r="B152" t="s">
        <v>334</v>
      </c>
      <c r="C152" t="s">
        <v>79</v>
      </c>
      <c r="D152">
        <v>117</v>
      </c>
      <c r="E152" t="s">
        <v>14</v>
      </c>
      <c r="F152">
        <v>85</v>
      </c>
      <c r="G152">
        <v>46.16</v>
      </c>
      <c r="H152">
        <v>3</v>
      </c>
      <c r="I152">
        <f>CLIENTS_CHURN345[[#This Row],[Anciennete_Mois]]/12</f>
        <v>9.75</v>
      </c>
      <c r="J152">
        <f>CLIENTS_CHURN345[[#This Row],[Duree_Cumulee_Panne_Min]]/60</f>
        <v>1.4166666666666667</v>
      </c>
      <c r="K152" t="str">
        <f>IF(CLIENTS_CHURN345[[#This Row],[Type_Forfait]]="Pro Monde","B2B","B2C")</f>
        <v>B2C</v>
      </c>
      <c r="L152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52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52" s="1">
        <f>CLIENTS_CHURN345[[#This Row],[Facture_Mensuelle]]*CLIENTS_CHURN345[[#This Row],[Colonne12]]</f>
        <v>0</v>
      </c>
    </row>
    <row r="153" spans="1:14">
      <c r="A153" s="1" t="s">
        <v>756</v>
      </c>
      <c r="B153" t="s">
        <v>791</v>
      </c>
      <c r="C153" t="s">
        <v>29</v>
      </c>
      <c r="D153">
        <v>97</v>
      </c>
      <c r="E153" t="s">
        <v>14</v>
      </c>
      <c r="F153">
        <v>173</v>
      </c>
      <c r="G153">
        <v>19.37</v>
      </c>
      <c r="H153">
        <v>5</v>
      </c>
      <c r="I153">
        <f>CLIENTS_CHURN345[[#This Row],[Anciennete_Mois]]/12</f>
        <v>8.0833333333333339</v>
      </c>
      <c r="J153">
        <f>CLIENTS_CHURN345[[#This Row],[Duree_Cumulee_Panne_Min]]/60</f>
        <v>2.8833333333333333</v>
      </c>
      <c r="K153" t="str">
        <f>IF(CLIENTS_CHURN345[[#This Row],[Type_Forfait]]="Pro Monde","B2B","B2C")</f>
        <v>B2C</v>
      </c>
      <c r="L153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53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53" s="1">
        <f>CLIENTS_CHURN345[[#This Row],[Facture_Mensuelle]]*CLIENTS_CHURN345[[#This Row],[Colonne12]]</f>
        <v>0</v>
      </c>
    </row>
    <row r="154" spans="1:14">
      <c r="A154" s="1" t="s">
        <v>344</v>
      </c>
      <c r="B154" t="s">
        <v>377</v>
      </c>
      <c r="C154" t="s">
        <v>92</v>
      </c>
      <c r="D154">
        <v>77</v>
      </c>
      <c r="E154" t="s">
        <v>21</v>
      </c>
      <c r="F154">
        <v>45</v>
      </c>
      <c r="G154">
        <v>21.59</v>
      </c>
      <c r="H154">
        <v>2</v>
      </c>
      <c r="I154">
        <f>CLIENTS_CHURN345[[#This Row],[Anciennete_Mois]]/12</f>
        <v>6.416666666666667</v>
      </c>
      <c r="J154">
        <f>CLIENTS_CHURN345[[#This Row],[Duree_Cumulee_Panne_Min]]/60</f>
        <v>0.75</v>
      </c>
      <c r="K154" t="str">
        <f>IF(CLIENTS_CHURN345[[#This Row],[Type_Forfait]]="Pro Monde","B2B","B2C")</f>
        <v>B2C</v>
      </c>
      <c r="L154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54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54" s="1">
        <f>CLIENTS_CHURN345[[#This Row],[Facture_Mensuelle]]*CLIENTS_CHURN345[[#This Row],[Colonne12]]</f>
        <v>0</v>
      </c>
    </row>
    <row r="155" spans="1:14">
      <c r="A155" s="1" t="s">
        <v>447</v>
      </c>
      <c r="B155" t="s">
        <v>486</v>
      </c>
      <c r="C155" t="s">
        <v>61</v>
      </c>
      <c r="D155">
        <v>2</v>
      </c>
      <c r="E155" t="s">
        <v>14</v>
      </c>
      <c r="F155">
        <v>142</v>
      </c>
      <c r="G155">
        <v>49.05</v>
      </c>
      <c r="H155">
        <v>4</v>
      </c>
      <c r="I155">
        <f>CLIENTS_CHURN345[[#This Row],[Anciennete_Mois]]/12</f>
        <v>0.16666666666666666</v>
      </c>
      <c r="J155">
        <f>CLIENTS_CHURN345[[#This Row],[Duree_Cumulee_Panne_Min]]/60</f>
        <v>2.3666666666666667</v>
      </c>
      <c r="K155" t="str">
        <f>IF(CLIENTS_CHURN345[[#This Row],[Type_Forfait]]="Pro Monde","B2B","B2C")</f>
        <v>B2C</v>
      </c>
      <c r="L155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55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55" s="1">
        <f>CLIENTS_CHURN345[[#This Row],[Facture_Mensuelle]]*CLIENTS_CHURN345[[#This Row],[Colonne12]]</f>
        <v>0</v>
      </c>
    </row>
    <row r="156" spans="1:14">
      <c r="A156" s="1" t="s">
        <v>395</v>
      </c>
      <c r="B156" t="s">
        <v>434</v>
      </c>
      <c r="C156" t="s">
        <v>24</v>
      </c>
      <c r="D156">
        <v>78</v>
      </c>
      <c r="E156" t="s">
        <v>14</v>
      </c>
      <c r="F156">
        <v>57</v>
      </c>
      <c r="G156">
        <v>49.47</v>
      </c>
      <c r="H156">
        <v>0</v>
      </c>
      <c r="I156">
        <f>CLIENTS_CHURN345[[#This Row],[Anciennete_Mois]]/12</f>
        <v>6.5</v>
      </c>
      <c r="J156">
        <f>CLIENTS_CHURN345[[#This Row],[Duree_Cumulee_Panne_Min]]/60</f>
        <v>0.95</v>
      </c>
      <c r="K156" t="str">
        <f>IF(CLIENTS_CHURN345[[#This Row],[Type_Forfait]]="Pro Monde","B2B","B2C")</f>
        <v>B2C</v>
      </c>
      <c r="L156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56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56" s="1">
        <f>CLIENTS_CHURN345[[#This Row],[Facture_Mensuelle]]*CLIENTS_CHURN345[[#This Row],[Colonne12]]</f>
        <v>0</v>
      </c>
    </row>
    <row r="157" spans="1:14">
      <c r="A157" s="1" t="s">
        <v>242</v>
      </c>
      <c r="B157" t="s">
        <v>279</v>
      </c>
      <c r="C157" t="s">
        <v>16</v>
      </c>
      <c r="D157">
        <v>96</v>
      </c>
      <c r="E157" t="s">
        <v>21</v>
      </c>
      <c r="F157">
        <v>210</v>
      </c>
      <c r="G157">
        <v>28.39</v>
      </c>
      <c r="H157">
        <v>3</v>
      </c>
      <c r="I157">
        <f>CLIENTS_CHURN345[[#This Row],[Anciennete_Mois]]/12</f>
        <v>8</v>
      </c>
      <c r="J157">
        <f>CLIENTS_CHURN345[[#This Row],[Duree_Cumulee_Panne_Min]]/60</f>
        <v>3.5</v>
      </c>
      <c r="K157" t="str">
        <f>IF(CLIENTS_CHURN345[[#This Row],[Type_Forfait]]="Pro Monde","B2B","B2C")</f>
        <v>B2C</v>
      </c>
      <c r="L157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57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57" s="1">
        <f>CLIENTS_CHURN345[[#This Row],[Facture_Mensuelle]]*CLIENTS_CHURN345[[#This Row],[Colonne12]]</f>
        <v>0</v>
      </c>
    </row>
    <row r="158" spans="1:14">
      <c r="A158" s="1" t="s">
        <v>140</v>
      </c>
      <c r="B158" t="s">
        <v>175</v>
      </c>
      <c r="C158" t="s">
        <v>31</v>
      </c>
      <c r="D158">
        <v>110</v>
      </c>
      <c r="E158" t="s">
        <v>32</v>
      </c>
      <c r="F158">
        <v>51</v>
      </c>
      <c r="G158">
        <v>56.59</v>
      </c>
      <c r="H158">
        <v>5</v>
      </c>
      <c r="I158">
        <f>CLIENTS_CHURN345[[#This Row],[Anciennete_Mois]]/12</f>
        <v>9.1666666666666661</v>
      </c>
      <c r="J158">
        <f>CLIENTS_CHURN345[[#This Row],[Duree_Cumulee_Panne_Min]]/60</f>
        <v>0.85</v>
      </c>
      <c r="K158" t="str">
        <f>IF(CLIENTS_CHURN345[[#This Row],[Type_Forfait]]="Pro Monde","B2B","B2C")</f>
        <v>B2C</v>
      </c>
      <c r="L158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58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58" s="1">
        <f>CLIENTS_CHURN345[[#This Row],[Facture_Mensuelle]]*CLIENTS_CHURN345[[#This Row],[Colonne12]]</f>
        <v>0</v>
      </c>
    </row>
    <row r="159" spans="1:14">
      <c r="A159" s="1" t="s">
        <v>191</v>
      </c>
      <c r="B159" t="s">
        <v>220</v>
      </c>
      <c r="C159" t="s">
        <v>79</v>
      </c>
      <c r="D159">
        <v>111</v>
      </c>
      <c r="E159" t="s">
        <v>32</v>
      </c>
      <c r="F159">
        <v>43</v>
      </c>
      <c r="G159">
        <v>19.39</v>
      </c>
      <c r="H159">
        <v>3</v>
      </c>
      <c r="I159">
        <f>CLIENTS_CHURN345[[#This Row],[Anciennete_Mois]]/12</f>
        <v>9.25</v>
      </c>
      <c r="J159">
        <f>CLIENTS_CHURN345[[#This Row],[Duree_Cumulee_Panne_Min]]/60</f>
        <v>0.71666666666666667</v>
      </c>
      <c r="K159" t="str">
        <f>IF(CLIENTS_CHURN345[[#This Row],[Type_Forfait]]="Pro Monde","B2B","B2C")</f>
        <v>B2C</v>
      </c>
      <c r="L159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59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59" s="1">
        <f>CLIENTS_CHURN345[[#This Row],[Facture_Mensuelle]]*CLIENTS_CHURN345[[#This Row],[Colonne12]]</f>
        <v>0</v>
      </c>
    </row>
    <row r="160" spans="1:14">
      <c r="A160" s="1" t="s">
        <v>447</v>
      </c>
      <c r="B160" t="s">
        <v>487</v>
      </c>
      <c r="C160" t="s">
        <v>76</v>
      </c>
      <c r="D160">
        <v>43</v>
      </c>
      <c r="E160" t="s">
        <v>21</v>
      </c>
      <c r="F160">
        <v>26</v>
      </c>
      <c r="G160">
        <v>25.85</v>
      </c>
      <c r="H160">
        <v>1</v>
      </c>
      <c r="I160">
        <f>CLIENTS_CHURN345[[#This Row],[Anciennete_Mois]]/12</f>
        <v>3.5833333333333335</v>
      </c>
      <c r="J160">
        <f>CLIENTS_CHURN345[[#This Row],[Duree_Cumulee_Panne_Min]]/60</f>
        <v>0.43333333333333335</v>
      </c>
      <c r="K160" t="str">
        <f>IF(CLIENTS_CHURN345[[#This Row],[Type_Forfait]]="Pro Monde","B2B","B2C")</f>
        <v>B2C</v>
      </c>
      <c r="L160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60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60" s="1">
        <f>CLIENTS_CHURN345[[#This Row],[Facture_Mensuelle]]*CLIENTS_CHURN345[[#This Row],[Colonne12]]</f>
        <v>0</v>
      </c>
    </row>
    <row r="161" spans="1:14">
      <c r="A161" s="1" t="s">
        <v>756</v>
      </c>
      <c r="B161" t="s">
        <v>793</v>
      </c>
      <c r="C161" t="s">
        <v>16</v>
      </c>
      <c r="D161">
        <v>63</v>
      </c>
      <c r="E161" t="s">
        <v>32</v>
      </c>
      <c r="F161">
        <v>177</v>
      </c>
      <c r="G161">
        <v>77.73</v>
      </c>
      <c r="H161">
        <v>3</v>
      </c>
      <c r="I161">
        <f>CLIENTS_CHURN345[[#This Row],[Anciennete_Mois]]/12</f>
        <v>5.25</v>
      </c>
      <c r="J161">
        <f>CLIENTS_CHURN345[[#This Row],[Duree_Cumulee_Panne_Min]]/60</f>
        <v>2.95</v>
      </c>
      <c r="K161" t="str">
        <f>IF(CLIENTS_CHURN345[[#This Row],[Type_Forfait]]="Pro Monde","B2B","B2C")</f>
        <v>B2C</v>
      </c>
      <c r="L161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61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61" s="1">
        <f>CLIENTS_CHURN345[[#This Row],[Facture_Mensuelle]]*CLIENTS_CHURN345[[#This Row],[Colonne12]]</f>
        <v>0</v>
      </c>
    </row>
    <row r="162" spans="1:14">
      <c r="A162" s="1" t="s">
        <v>8</v>
      </c>
      <c r="B162" t="s">
        <v>41</v>
      </c>
      <c r="C162" t="s">
        <v>24</v>
      </c>
      <c r="D162">
        <v>117</v>
      </c>
      <c r="E162" t="s">
        <v>21</v>
      </c>
      <c r="F162">
        <v>171</v>
      </c>
      <c r="G162">
        <v>50.89</v>
      </c>
      <c r="H162">
        <v>4</v>
      </c>
      <c r="I162">
        <f>CLIENTS_CHURN345[[#This Row],[Anciennete_Mois]]/12</f>
        <v>9.75</v>
      </c>
      <c r="J162">
        <f>CLIENTS_CHURN345[[#This Row],[Duree_Cumulee_Panne_Min]]/60</f>
        <v>2.85</v>
      </c>
      <c r="K162" t="str">
        <f>IF(CLIENTS_CHURN345[[#This Row],[Type_Forfait]]="Pro Monde","B2B","B2C")</f>
        <v>B2C</v>
      </c>
      <c r="L162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62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62" s="1">
        <f>CLIENTS_CHURN345[[#This Row],[Facture_Mensuelle]]*CLIENTS_CHURN345[[#This Row],[Colonne12]]</f>
        <v>0</v>
      </c>
    </row>
    <row r="163" spans="1:14">
      <c r="A163" s="1" t="s">
        <v>191</v>
      </c>
      <c r="B163" t="s">
        <v>221</v>
      </c>
      <c r="C163" t="s">
        <v>13</v>
      </c>
      <c r="D163">
        <v>71</v>
      </c>
      <c r="E163" t="s">
        <v>32</v>
      </c>
      <c r="F163">
        <v>15</v>
      </c>
      <c r="G163">
        <v>25.46</v>
      </c>
      <c r="H163">
        <v>5</v>
      </c>
      <c r="I163">
        <f>CLIENTS_CHURN345[[#This Row],[Anciennete_Mois]]/12</f>
        <v>5.916666666666667</v>
      </c>
      <c r="J163">
        <f>CLIENTS_CHURN345[[#This Row],[Duree_Cumulee_Panne_Min]]/60</f>
        <v>0.25</v>
      </c>
      <c r="K163" t="str">
        <f>IF(CLIENTS_CHURN345[[#This Row],[Type_Forfait]]="Pro Monde","B2B","B2C")</f>
        <v>B2C</v>
      </c>
      <c r="L163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63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63" s="1">
        <f>CLIENTS_CHURN345[[#This Row],[Facture_Mensuelle]]*CLIENTS_CHURN345[[#This Row],[Colonne12]]</f>
        <v>0</v>
      </c>
    </row>
    <row r="164" spans="1:14">
      <c r="A164" s="1" t="s">
        <v>653</v>
      </c>
      <c r="B164" t="s">
        <v>687</v>
      </c>
      <c r="C164" t="s">
        <v>10</v>
      </c>
      <c r="D164">
        <v>59</v>
      </c>
      <c r="E164" t="s">
        <v>14</v>
      </c>
      <c r="F164">
        <v>150</v>
      </c>
      <c r="G164">
        <v>71.13</v>
      </c>
      <c r="H164">
        <v>0</v>
      </c>
      <c r="I164">
        <f>CLIENTS_CHURN345[[#This Row],[Anciennete_Mois]]/12</f>
        <v>4.916666666666667</v>
      </c>
      <c r="J164">
        <f>CLIENTS_CHURN345[[#This Row],[Duree_Cumulee_Panne_Min]]/60</f>
        <v>2.5</v>
      </c>
      <c r="K164" t="str">
        <f>IF(CLIENTS_CHURN345[[#This Row],[Type_Forfait]]="Pro Monde","B2B","B2C")</f>
        <v>B2C</v>
      </c>
      <c r="L164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64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64" s="1">
        <f>CLIENTS_CHURN345[[#This Row],[Facture_Mensuelle]]*CLIENTS_CHURN345[[#This Row],[Colonne12]]</f>
        <v>0</v>
      </c>
    </row>
    <row r="165" spans="1:14">
      <c r="A165" s="1" t="s">
        <v>653</v>
      </c>
      <c r="B165" t="s">
        <v>689</v>
      </c>
      <c r="C165" t="s">
        <v>45</v>
      </c>
      <c r="D165">
        <v>102</v>
      </c>
      <c r="E165" t="s">
        <v>14</v>
      </c>
      <c r="F165">
        <v>189</v>
      </c>
      <c r="G165">
        <v>26.86</v>
      </c>
      <c r="H165">
        <v>5</v>
      </c>
      <c r="I165">
        <f>CLIENTS_CHURN345[[#This Row],[Anciennete_Mois]]/12</f>
        <v>8.5</v>
      </c>
      <c r="J165">
        <f>CLIENTS_CHURN345[[#This Row],[Duree_Cumulee_Panne_Min]]/60</f>
        <v>3.15</v>
      </c>
      <c r="K165" t="str">
        <f>IF(CLIENTS_CHURN345[[#This Row],[Type_Forfait]]="Pro Monde","B2B","B2C")</f>
        <v>B2C</v>
      </c>
      <c r="L165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65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65" s="1">
        <f>CLIENTS_CHURN345[[#This Row],[Facture_Mensuelle]]*CLIENTS_CHURN345[[#This Row],[Colonne12]]</f>
        <v>0</v>
      </c>
    </row>
    <row r="166" spans="1:14">
      <c r="A166" s="1" t="s">
        <v>85</v>
      </c>
      <c r="B166" t="s">
        <v>125</v>
      </c>
      <c r="C166" t="s">
        <v>20</v>
      </c>
      <c r="D166">
        <v>22</v>
      </c>
      <c r="E166" t="s">
        <v>21</v>
      </c>
      <c r="F166">
        <v>119</v>
      </c>
      <c r="G166">
        <v>72.86</v>
      </c>
      <c r="H166">
        <v>3</v>
      </c>
      <c r="I166">
        <f>CLIENTS_CHURN345[[#This Row],[Anciennete_Mois]]/12</f>
        <v>1.8333333333333333</v>
      </c>
      <c r="J166">
        <f>CLIENTS_CHURN345[[#This Row],[Duree_Cumulee_Panne_Min]]/60</f>
        <v>1.9833333333333334</v>
      </c>
      <c r="K166" t="str">
        <f>IF(CLIENTS_CHURN345[[#This Row],[Type_Forfait]]="Pro Monde","B2B","B2C")</f>
        <v>B2C</v>
      </c>
      <c r="L166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66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66" s="1">
        <f>CLIENTS_CHURN345[[#This Row],[Facture_Mensuelle]]*CLIENTS_CHURN345[[#This Row],[Colonne12]]</f>
        <v>0</v>
      </c>
    </row>
    <row r="167" spans="1:14">
      <c r="A167" s="1" t="s">
        <v>705</v>
      </c>
      <c r="B167" t="s">
        <v>743</v>
      </c>
      <c r="C167" t="s">
        <v>76</v>
      </c>
      <c r="D167">
        <v>18</v>
      </c>
      <c r="E167" t="s">
        <v>21</v>
      </c>
      <c r="F167">
        <v>170</v>
      </c>
      <c r="G167">
        <v>87.34</v>
      </c>
      <c r="H167">
        <v>1</v>
      </c>
      <c r="I167">
        <f>CLIENTS_CHURN345[[#This Row],[Anciennete_Mois]]/12</f>
        <v>1.5</v>
      </c>
      <c r="J167">
        <f>CLIENTS_CHURN345[[#This Row],[Duree_Cumulee_Panne_Min]]/60</f>
        <v>2.8333333333333335</v>
      </c>
      <c r="K167" t="str">
        <f>IF(CLIENTS_CHURN345[[#This Row],[Type_Forfait]]="Pro Monde","B2B","B2C")</f>
        <v>B2C</v>
      </c>
      <c r="L167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67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67" s="1">
        <f>CLIENTS_CHURN345[[#This Row],[Facture_Mensuelle]]*CLIENTS_CHURN345[[#This Row],[Colonne12]]</f>
        <v>0</v>
      </c>
    </row>
    <row r="168" spans="1:14">
      <c r="A168" s="1" t="s">
        <v>705</v>
      </c>
      <c r="B168" t="s">
        <v>744</v>
      </c>
      <c r="C168" t="s">
        <v>45</v>
      </c>
      <c r="D168">
        <v>107</v>
      </c>
      <c r="E168" t="s">
        <v>21</v>
      </c>
      <c r="F168">
        <v>138</v>
      </c>
      <c r="G168">
        <v>85.75</v>
      </c>
      <c r="H168">
        <v>1</v>
      </c>
      <c r="I168">
        <f>CLIENTS_CHURN345[[#This Row],[Anciennete_Mois]]/12</f>
        <v>8.9166666666666661</v>
      </c>
      <c r="J168">
        <f>CLIENTS_CHURN345[[#This Row],[Duree_Cumulee_Panne_Min]]/60</f>
        <v>2.2999999999999998</v>
      </c>
      <c r="K168" t="str">
        <f>IF(CLIENTS_CHURN345[[#This Row],[Type_Forfait]]="Pro Monde","B2B","B2C")</f>
        <v>B2C</v>
      </c>
      <c r="L168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68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68" s="1">
        <f>CLIENTS_CHURN345[[#This Row],[Facture_Mensuelle]]*CLIENTS_CHURN345[[#This Row],[Colonne12]]</f>
        <v>0</v>
      </c>
    </row>
    <row r="169" spans="1:14">
      <c r="A169" s="1" t="s">
        <v>447</v>
      </c>
      <c r="B169" t="s">
        <v>488</v>
      </c>
      <c r="C169" t="s">
        <v>52</v>
      </c>
      <c r="D169">
        <v>47</v>
      </c>
      <c r="E169" t="s">
        <v>14</v>
      </c>
      <c r="F169">
        <v>111</v>
      </c>
      <c r="G169">
        <v>95.18</v>
      </c>
      <c r="H169">
        <v>0</v>
      </c>
      <c r="I169">
        <f>CLIENTS_CHURN345[[#This Row],[Anciennete_Mois]]/12</f>
        <v>3.9166666666666665</v>
      </c>
      <c r="J169">
        <f>CLIENTS_CHURN345[[#This Row],[Duree_Cumulee_Panne_Min]]/60</f>
        <v>1.85</v>
      </c>
      <c r="K169" t="str">
        <f>IF(CLIENTS_CHURN345[[#This Row],[Type_Forfait]]="Pro Monde","B2B","B2C")</f>
        <v>B2C</v>
      </c>
      <c r="L169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69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69" s="1">
        <f>CLIENTS_CHURN345[[#This Row],[Facture_Mensuelle]]*CLIENTS_CHURN345[[#This Row],[Colonne12]]</f>
        <v>0</v>
      </c>
    </row>
    <row r="170" spans="1:14">
      <c r="A170" s="1" t="s">
        <v>242</v>
      </c>
      <c r="B170" t="s">
        <v>282</v>
      </c>
      <c r="C170" t="s">
        <v>52</v>
      </c>
      <c r="D170">
        <v>10</v>
      </c>
      <c r="E170" t="s">
        <v>14</v>
      </c>
      <c r="F170">
        <v>165</v>
      </c>
      <c r="G170">
        <v>38.619999999999997</v>
      </c>
      <c r="H170">
        <v>2</v>
      </c>
      <c r="I170">
        <f>CLIENTS_CHURN345[[#This Row],[Anciennete_Mois]]/12</f>
        <v>0.83333333333333337</v>
      </c>
      <c r="J170">
        <f>CLIENTS_CHURN345[[#This Row],[Duree_Cumulee_Panne_Min]]/60</f>
        <v>2.75</v>
      </c>
      <c r="K170" t="str">
        <f>IF(CLIENTS_CHURN345[[#This Row],[Type_Forfait]]="Pro Monde","B2B","B2C")</f>
        <v>B2C</v>
      </c>
      <c r="L170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70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70" s="1">
        <f>CLIENTS_CHURN345[[#This Row],[Facture_Mensuelle]]*CLIENTS_CHURN345[[#This Row],[Colonne12]]</f>
        <v>0</v>
      </c>
    </row>
    <row r="171" spans="1:14">
      <c r="A171" s="1" t="s">
        <v>756</v>
      </c>
      <c r="B171" t="s">
        <v>796</v>
      </c>
      <c r="C171" t="s">
        <v>18</v>
      </c>
      <c r="D171">
        <v>33</v>
      </c>
      <c r="E171" t="s">
        <v>21</v>
      </c>
      <c r="F171">
        <v>18</v>
      </c>
      <c r="G171">
        <v>47.18</v>
      </c>
      <c r="H171">
        <v>4</v>
      </c>
      <c r="I171">
        <f>CLIENTS_CHURN345[[#This Row],[Anciennete_Mois]]/12</f>
        <v>2.75</v>
      </c>
      <c r="J171">
        <f>CLIENTS_CHURN345[[#This Row],[Duree_Cumulee_Panne_Min]]/60</f>
        <v>0.3</v>
      </c>
      <c r="K171" t="str">
        <f>IF(CLIENTS_CHURN345[[#This Row],[Type_Forfait]]="Pro Monde","B2B","B2C")</f>
        <v>B2C</v>
      </c>
      <c r="L171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71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71" s="1">
        <f>CLIENTS_CHURN345[[#This Row],[Facture_Mensuelle]]*CLIENTS_CHURN345[[#This Row],[Colonne12]]</f>
        <v>0</v>
      </c>
    </row>
    <row r="172" spans="1:14">
      <c r="A172" s="1" t="s">
        <v>242</v>
      </c>
      <c r="B172" t="s">
        <v>284</v>
      </c>
      <c r="C172" t="s">
        <v>26</v>
      </c>
      <c r="D172">
        <v>60</v>
      </c>
      <c r="E172" t="s">
        <v>21</v>
      </c>
      <c r="F172">
        <v>154</v>
      </c>
      <c r="G172">
        <v>13.41</v>
      </c>
      <c r="H172">
        <v>5</v>
      </c>
      <c r="I172">
        <f>CLIENTS_CHURN345[[#This Row],[Anciennete_Mois]]/12</f>
        <v>5</v>
      </c>
      <c r="J172">
        <f>CLIENTS_CHURN345[[#This Row],[Duree_Cumulee_Panne_Min]]/60</f>
        <v>2.5666666666666669</v>
      </c>
      <c r="K172" t="str">
        <f>IF(CLIENTS_CHURN345[[#This Row],[Type_Forfait]]="Pro Monde","B2B","B2C")</f>
        <v>B2C</v>
      </c>
      <c r="L172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72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72" s="1">
        <f>CLIENTS_CHURN345[[#This Row],[Facture_Mensuelle]]*CLIENTS_CHURN345[[#This Row],[Colonne12]]</f>
        <v>0</v>
      </c>
    </row>
    <row r="173" spans="1:14">
      <c r="A173" s="1" t="s">
        <v>602</v>
      </c>
      <c r="B173" t="s">
        <v>643</v>
      </c>
      <c r="C173" t="s">
        <v>52</v>
      </c>
      <c r="D173">
        <v>108</v>
      </c>
      <c r="E173" t="s">
        <v>32</v>
      </c>
      <c r="F173">
        <v>78</v>
      </c>
      <c r="G173">
        <v>90.05</v>
      </c>
      <c r="H173">
        <v>2</v>
      </c>
      <c r="I173">
        <f>CLIENTS_CHURN345[[#This Row],[Anciennete_Mois]]/12</f>
        <v>9</v>
      </c>
      <c r="J173">
        <f>CLIENTS_CHURN345[[#This Row],[Duree_Cumulee_Panne_Min]]/60</f>
        <v>1.3</v>
      </c>
      <c r="K173" t="str">
        <f>IF(CLIENTS_CHURN345[[#This Row],[Type_Forfait]]="Pro Monde","B2B","B2C")</f>
        <v>B2C</v>
      </c>
      <c r="L173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73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73" s="1">
        <f>CLIENTS_CHURN345[[#This Row],[Facture_Mensuelle]]*CLIENTS_CHURN345[[#This Row],[Colonne12]]</f>
        <v>0</v>
      </c>
    </row>
    <row r="174" spans="1:14">
      <c r="A174" s="1" t="s">
        <v>447</v>
      </c>
      <c r="B174" t="s">
        <v>490</v>
      </c>
      <c r="C174" t="s">
        <v>38</v>
      </c>
      <c r="D174">
        <v>92</v>
      </c>
      <c r="E174" t="s">
        <v>14</v>
      </c>
      <c r="F174">
        <v>4</v>
      </c>
      <c r="G174">
        <v>22.03</v>
      </c>
      <c r="H174">
        <v>3</v>
      </c>
      <c r="I174">
        <f>CLIENTS_CHURN345[[#This Row],[Anciennete_Mois]]/12</f>
        <v>7.666666666666667</v>
      </c>
      <c r="J174">
        <f>CLIENTS_CHURN345[[#This Row],[Duree_Cumulee_Panne_Min]]/60</f>
        <v>6.6666666666666666E-2</v>
      </c>
      <c r="K174" t="str">
        <f>IF(CLIENTS_CHURN345[[#This Row],[Type_Forfait]]="Pro Monde","B2B","B2C")</f>
        <v>B2C</v>
      </c>
      <c r="L174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74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74" s="1">
        <f>CLIENTS_CHURN345[[#This Row],[Facture_Mensuelle]]*CLIENTS_CHURN345[[#This Row],[Colonne12]]</f>
        <v>0</v>
      </c>
    </row>
    <row r="175" spans="1:14">
      <c r="A175" s="1" t="s">
        <v>8</v>
      </c>
      <c r="B175" t="s">
        <v>37</v>
      </c>
      <c r="C175" t="s">
        <v>38</v>
      </c>
      <c r="D175">
        <v>115</v>
      </c>
      <c r="E175" t="s">
        <v>14</v>
      </c>
      <c r="F175">
        <v>176</v>
      </c>
      <c r="G175">
        <v>33.28</v>
      </c>
      <c r="H175">
        <v>4</v>
      </c>
      <c r="I175">
        <f>CLIENTS_CHURN345[[#This Row],[Anciennete_Mois]]/12</f>
        <v>9.5833333333333339</v>
      </c>
      <c r="J175">
        <f>CLIENTS_CHURN345[[#This Row],[Duree_Cumulee_Panne_Min]]/60</f>
        <v>2.9333333333333331</v>
      </c>
      <c r="K175" t="str">
        <f>IF(CLIENTS_CHURN345[[#This Row],[Type_Forfait]]="Pro Monde","B2B","B2C")</f>
        <v>B2C</v>
      </c>
      <c r="L175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75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75" s="1">
        <f>CLIENTS_CHURN345[[#This Row],[Facture_Mensuelle]]*CLIENTS_CHURN345[[#This Row],[Colonne12]]</f>
        <v>0</v>
      </c>
    </row>
    <row r="176" spans="1:14">
      <c r="A176" s="1" t="s">
        <v>653</v>
      </c>
      <c r="B176" t="s">
        <v>693</v>
      </c>
      <c r="C176" t="s">
        <v>107</v>
      </c>
      <c r="D176">
        <v>12</v>
      </c>
      <c r="E176" t="s">
        <v>21</v>
      </c>
      <c r="F176">
        <v>235</v>
      </c>
      <c r="G176">
        <v>33.96</v>
      </c>
      <c r="H176">
        <v>4</v>
      </c>
      <c r="I176">
        <f>CLIENTS_CHURN345[[#This Row],[Anciennete_Mois]]/12</f>
        <v>1</v>
      </c>
      <c r="J176">
        <f>CLIENTS_CHURN345[[#This Row],[Duree_Cumulee_Panne_Min]]/60</f>
        <v>3.9166666666666665</v>
      </c>
      <c r="K176" t="str">
        <f>IF(CLIENTS_CHURN345[[#This Row],[Type_Forfait]]="Pro Monde","B2B","B2C")</f>
        <v>B2C</v>
      </c>
      <c r="L176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76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76" s="1">
        <f>CLIENTS_CHURN345[[#This Row],[Facture_Mensuelle]]*CLIENTS_CHURN345[[#This Row],[Colonne12]]</f>
        <v>0</v>
      </c>
    </row>
    <row r="177" spans="1:14">
      <c r="A177" s="1" t="s">
        <v>242</v>
      </c>
      <c r="B177" t="s">
        <v>285</v>
      </c>
      <c r="C177" t="s">
        <v>107</v>
      </c>
      <c r="D177">
        <v>44</v>
      </c>
      <c r="E177" t="s">
        <v>14</v>
      </c>
      <c r="F177">
        <v>199</v>
      </c>
      <c r="G177">
        <v>67.650000000000006</v>
      </c>
      <c r="H177">
        <v>0</v>
      </c>
      <c r="I177">
        <f>CLIENTS_CHURN345[[#This Row],[Anciennete_Mois]]/12</f>
        <v>3.6666666666666665</v>
      </c>
      <c r="J177">
        <f>CLIENTS_CHURN345[[#This Row],[Duree_Cumulee_Panne_Min]]/60</f>
        <v>3.3166666666666669</v>
      </c>
      <c r="K177" t="str">
        <f>IF(CLIENTS_CHURN345[[#This Row],[Type_Forfait]]="Pro Monde","B2B","B2C")</f>
        <v>B2C</v>
      </c>
      <c r="L177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77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77" s="1">
        <f>CLIENTS_CHURN345[[#This Row],[Facture_Mensuelle]]*CLIENTS_CHURN345[[#This Row],[Colonne12]]</f>
        <v>0</v>
      </c>
    </row>
    <row r="178" spans="1:14">
      <c r="A178" s="1" t="s">
        <v>602</v>
      </c>
      <c r="B178" t="s">
        <v>644</v>
      </c>
      <c r="C178" t="s">
        <v>111</v>
      </c>
      <c r="D178">
        <v>25</v>
      </c>
      <c r="E178" t="s">
        <v>14</v>
      </c>
      <c r="F178">
        <v>5</v>
      </c>
      <c r="G178">
        <v>27.93</v>
      </c>
      <c r="H178">
        <v>0</v>
      </c>
      <c r="I178">
        <f>CLIENTS_CHURN345[[#This Row],[Anciennete_Mois]]/12</f>
        <v>2.0833333333333335</v>
      </c>
      <c r="J178">
        <f>CLIENTS_CHURN345[[#This Row],[Duree_Cumulee_Panne_Min]]/60</f>
        <v>8.3333333333333329E-2</v>
      </c>
      <c r="K178" t="str">
        <f>IF(CLIENTS_CHURN345[[#This Row],[Type_Forfait]]="Pro Monde","B2B","B2C")</f>
        <v>B2C</v>
      </c>
      <c r="L178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78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78" s="1">
        <f>CLIENTS_CHURN345[[#This Row],[Facture_Mensuelle]]*CLIENTS_CHURN345[[#This Row],[Colonne12]]</f>
        <v>0</v>
      </c>
    </row>
    <row r="179" spans="1:14">
      <c r="A179" s="1" t="s">
        <v>602</v>
      </c>
      <c r="B179" t="s">
        <v>645</v>
      </c>
      <c r="C179" t="s">
        <v>45</v>
      </c>
      <c r="D179">
        <v>98</v>
      </c>
      <c r="E179" t="s">
        <v>21</v>
      </c>
      <c r="F179">
        <v>110</v>
      </c>
      <c r="G179">
        <v>96.23</v>
      </c>
      <c r="H179">
        <v>2</v>
      </c>
      <c r="I179">
        <f>CLIENTS_CHURN345[[#This Row],[Anciennete_Mois]]/12</f>
        <v>8.1666666666666661</v>
      </c>
      <c r="J179">
        <f>CLIENTS_CHURN345[[#This Row],[Duree_Cumulee_Panne_Min]]/60</f>
        <v>1.8333333333333333</v>
      </c>
      <c r="K179" t="str">
        <f>IF(CLIENTS_CHURN345[[#This Row],[Type_Forfait]]="Pro Monde","B2B","B2C")</f>
        <v>B2C</v>
      </c>
      <c r="L179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79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79" s="1">
        <f>CLIENTS_CHURN345[[#This Row],[Facture_Mensuelle]]*CLIENTS_CHURN345[[#This Row],[Colonne12]]</f>
        <v>0</v>
      </c>
    </row>
    <row r="180" spans="1:14">
      <c r="A180" s="1" t="s">
        <v>344</v>
      </c>
      <c r="B180" t="s">
        <v>384</v>
      </c>
      <c r="C180" t="s">
        <v>57</v>
      </c>
      <c r="D180">
        <v>102</v>
      </c>
      <c r="E180" t="s">
        <v>14</v>
      </c>
      <c r="F180">
        <v>91</v>
      </c>
      <c r="G180">
        <v>34.64</v>
      </c>
      <c r="H180">
        <v>2</v>
      </c>
      <c r="I180">
        <f>CLIENTS_CHURN345[[#This Row],[Anciennete_Mois]]/12</f>
        <v>8.5</v>
      </c>
      <c r="J180">
        <f>CLIENTS_CHURN345[[#This Row],[Duree_Cumulee_Panne_Min]]/60</f>
        <v>1.5166666666666666</v>
      </c>
      <c r="K180" t="str">
        <f>IF(CLIENTS_CHURN345[[#This Row],[Type_Forfait]]="Pro Monde","B2B","B2C")</f>
        <v>B2C</v>
      </c>
      <c r="L180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80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80" s="1">
        <f>CLIENTS_CHURN345[[#This Row],[Facture_Mensuelle]]*CLIENTS_CHURN345[[#This Row],[Colonne12]]</f>
        <v>0</v>
      </c>
    </row>
    <row r="181" spans="1:14">
      <c r="A181" s="1" t="s">
        <v>242</v>
      </c>
      <c r="B181" t="s">
        <v>288</v>
      </c>
      <c r="C181" t="s">
        <v>95</v>
      </c>
      <c r="D181">
        <v>78</v>
      </c>
      <c r="E181" t="s">
        <v>21</v>
      </c>
      <c r="F181">
        <v>198</v>
      </c>
      <c r="G181">
        <v>69.849999999999994</v>
      </c>
      <c r="H181">
        <v>0</v>
      </c>
      <c r="I181">
        <f>CLIENTS_CHURN345[[#This Row],[Anciennete_Mois]]/12</f>
        <v>6.5</v>
      </c>
      <c r="J181">
        <f>CLIENTS_CHURN345[[#This Row],[Duree_Cumulee_Panne_Min]]/60</f>
        <v>3.3</v>
      </c>
      <c r="K181" t="str">
        <f>IF(CLIENTS_CHURN345[[#This Row],[Type_Forfait]]="Pro Monde","B2B","B2C")</f>
        <v>B2C</v>
      </c>
      <c r="L181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81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81" s="1">
        <f>CLIENTS_CHURN345[[#This Row],[Facture_Mensuelle]]*CLIENTS_CHURN345[[#This Row],[Colonne12]]</f>
        <v>0</v>
      </c>
    </row>
    <row r="182" spans="1:14">
      <c r="A182" s="1" t="s">
        <v>85</v>
      </c>
      <c r="B182" t="s">
        <v>132</v>
      </c>
      <c r="C182" t="s">
        <v>13</v>
      </c>
      <c r="D182">
        <v>57</v>
      </c>
      <c r="E182" t="s">
        <v>14</v>
      </c>
      <c r="F182">
        <v>208</v>
      </c>
      <c r="G182">
        <v>85.66</v>
      </c>
      <c r="H182">
        <v>5</v>
      </c>
      <c r="I182">
        <f>CLIENTS_CHURN345[[#This Row],[Anciennete_Mois]]/12</f>
        <v>4.75</v>
      </c>
      <c r="J182">
        <f>CLIENTS_CHURN345[[#This Row],[Duree_Cumulee_Panne_Min]]/60</f>
        <v>3.4666666666666668</v>
      </c>
      <c r="K182" t="str">
        <f>IF(CLIENTS_CHURN345[[#This Row],[Type_Forfait]]="Pro Monde","B2B","B2C")</f>
        <v>B2C</v>
      </c>
      <c r="L182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82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82" s="1">
        <f>CLIENTS_CHURN345[[#This Row],[Facture_Mensuelle]]*CLIENTS_CHURN345[[#This Row],[Colonne12]]</f>
        <v>0</v>
      </c>
    </row>
    <row r="183" spans="1:14">
      <c r="A183" s="1" t="s">
        <v>705</v>
      </c>
      <c r="B183" t="s">
        <v>750</v>
      </c>
      <c r="C183" t="s">
        <v>18</v>
      </c>
      <c r="D183">
        <v>9</v>
      </c>
      <c r="E183" t="s">
        <v>14</v>
      </c>
      <c r="F183">
        <v>27</v>
      </c>
      <c r="G183">
        <v>99.02</v>
      </c>
      <c r="H183">
        <v>3</v>
      </c>
      <c r="I183">
        <f>CLIENTS_CHURN345[[#This Row],[Anciennete_Mois]]/12</f>
        <v>0.75</v>
      </c>
      <c r="J183">
        <f>CLIENTS_CHURN345[[#This Row],[Duree_Cumulee_Panne_Min]]/60</f>
        <v>0.45</v>
      </c>
      <c r="K183" t="str">
        <f>IF(CLIENTS_CHURN345[[#This Row],[Type_Forfait]]="Pro Monde","B2B","B2C")</f>
        <v>B2C</v>
      </c>
      <c r="L183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83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83" s="1">
        <f>CLIENTS_CHURN345[[#This Row],[Facture_Mensuelle]]*CLIENTS_CHURN345[[#This Row],[Colonne12]]</f>
        <v>0</v>
      </c>
    </row>
    <row r="184" spans="1:14">
      <c r="A184" s="1" t="s">
        <v>447</v>
      </c>
      <c r="B184" t="s">
        <v>492</v>
      </c>
      <c r="C184" t="s">
        <v>31</v>
      </c>
      <c r="D184">
        <v>56</v>
      </c>
      <c r="E184" t="s">
        <v>14</v>
      </c>
      <c r="F184">
        <v>114</v>
      </c>
      <c r="G184">
        <v>64.39</v>
      </c>
      <c r="H184">
        <v>1</v>
      </c>
      <c r="I184">
        <f>CLIENTS_CHURN345[[#This Row],[Anciennete_Mois]]/12</f>
        <v>4.666666666666667</v>
      </c>
      <c r="J184">
        <f>CLIENTS_CHURN345[[#This Row],[Duree_Cumulee_Panne_Min]]/60</f>
        <v>1.9</v>
      </c>
      <c r="K184" t="str">
        <f>IF(CLIENTS_CHURN345[[#This Row],[Type_Forfait]]="Pro Monde","B2B","B2C")</f>
        <v>B2C</v>
      </c>
      <c r="L184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84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84" s="1">
        <f>CLIENTS_CHURN345[[#This Row],[Facture_Mensuelle]]*CLIENTS_CHURN345[[#This Row],[Colonne12]]</f>
        <v>0</v>
      </c>
    </row>
    <row r="185" spans="1:14">
      <c r="A185" s="1" t="s">
        <v>602</v>
      </c>
      <c r="B185" t="s">
        <v>647</v>
      </c>
      <c r="C185" t="s">
        <v>24</v>
      </c>
      <c r="D185">
        <v>51</v>
      </c>
      <c r="E185" t="s">
        <v>21</v>
      </c>
      <c r="F185">
        <v>152</v>
      </c>
      <c r="G185">
        <v>34.630000000000003</v>
      </c>
      <c r="H185">
        <v>2</v>
      </c>
      <c r="I185">
        <f>CLIENTS_CHURN345[[#This Row],[Anciennete_Mois]]/12</f>
        <v>4.25</v>
      </c>
      <c r="J185">
        <f>CLIENTS_CHURN345[[#This Row],[Duree_Cumulee_Panne_Min]]/60</f>
        <v>2.5333333333333332</v>
      </c>
      <c r="K185" t="str">
        <f>IF(CLIENTS_CHURN345[[#This Row],[Type_Forfait]]="Pro Monde","B2B","B2C")</f>
        <v>B2C</v>
      </c>
      <c r="L185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85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85" s="1">
        <f>CLIENTS_CHURN345[[#This Row],[Facture_Mensuelle]]*CLIENTS_CHURN345[[#This Row],[Colonne12]]</f>
        <v>0</v>
      </c>
    </row>
    <row r="186" spans="1:14">
      <c r="A186" s="1" t="s">
        <v>191</v>
      </c>
      <c r="B186" t="s">
        <v>231</v>
      </c>
      <c r="C186" t="s">
        <v>57</v>
      </c>
      <c r="D186">
        <v>26</v>
      </c>
      <c r="E186" t="s">
        <v>14</v>
      </c>
      <c r="F186">
        <v>174</v>
      </c>
      <c r="G186">
        <v>90.53</v>
      </c>
      <c r="H186">
        <v>3</v>
      </c>
      <c r="I186">
        <f>CLIENTS_CHURN345[[#This Row],[Anciennete_Mois]]/12</f>
        <v>2.1666666666666665</v>
      </c>
      <c r="J186">
        <f>CLIENTS_CHURN345[[#This Row],[Duree_Cumulee_Panne_Min]]/60</f>
        <v>2.9</v>
      </c>
      <c r="K186" t="str">
        <f>IF(CLIENTS_CHURN345[[#This Row],[Type_Forfait]]="Pro Monde","B2B","B2C")</f>
        <v>B2C</v>
      </c>
      <c r="L186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86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86" s="1">
        <f>CLIENTS_CHURN345[[#This Row],[Facture_Mensuelle]]*CLIENTS_CHURN345[[#This Row],[Colonne12]]</f>
        <v>0</v>
      </c>
    </row>
    <row r="187" spans="1:14">
      <c r="A187" s="1" t="s">
        <v>140</v>
      </c>
      <c r="B187" t="s">
        <v>182</v>
      </c>
      <c r="C187" t="s">
        <v>63</v>
      </c>
      <c r="D187">
        <v>60</v>
      </c>
      <c r="E187" t="s">
        <v>14</v>
      </c>
      <c r="F187">
        <v>168</v>
      </c>
      <c r="G187">
        <v>67.650000000000006</v>
      </c>
      <c r="H187">
        <v>1</v>
      </c>
      <c r="I187">
        <f>CLIENTS_CHURN345[[#This Row],[Anciennete_Mois]]/12</f>
        <v>5</v>
      </c>
      <c r="J187">
        <f>CLIENTS_CHURN345[[#This Row],[Duree_Cumulee_Panne_Min]]/60</f>
        <v>2.8</v>
      </c>
      <c r="K187" t="str">
        <f>IF(CLIENTS_CHURN345[[#This Row],[Type_Forfait]]="Pro Monde","B2B","B2C")</f>
        <v>B2C</v>
      </c>
      <c r="L187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87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87" s="1">
        <f>CLIENTS_CHURN345[[#This Row],[Facture_Mensuelle]]*CLIENTS_CHURN345[[#This Row],[Colonne12]]</f>
        <v>0</v>
      </c>
    </row>
    <row r="188" spans="1:14">
      <c r="A188" s="1" t="s">
        <v>8</v>
      </c>
      <c r="B188" t="s">
        <v>33</v>
      </c>
      <c r="C188" t="s">
        <v>18</v>
      </c>
      <c r="D188">
        <v>47</v>
      </c>
      <c r="E188" t="s">
        <v>14</v>
      </c>
      <c r="F188">
        <v>199</v>
      </c>
      <c r="G188">
        <v>23.19</v>
      </c>
      <c r="H188">
        <v>2</v>
      </c>
      <c r="I188">
        <f>CLIENTS_CHURN345[[#This Row],[Anciennete_Mois]]/12</f>
        <v>3.9166666666666665</v>
      </c>
      <c r="J188">
        <f>CLIENTS_CHURN345[[#This Row],[Duree_Cumulee_Panne_Min]]/60</f>
        <v>3.3166666666666669</v>
      </c>
      <c r="K188" t="str">
        <f>IF(CLIENTS_CHURN345[[#This Row],[Type_Forfait]]="Pro Monde","B2B","B2C")</f>
        <v>B2C</v>
      </c>
      <c r="L188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88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88" s="1">
        <f>CLIENTS_CHURN345[[#This Row],[Facture_Mensuelle]]*CLIENTS_CHURN345[[#This Row],[Colonne12]]</f>
        <v>0</v>
      </c>
    </row>
    <row r="189" spans="1:14">
      <c r="A189" s="1" t="s">
        <v>293</v>
      </c>
      <c r="B189" t="s">
        <v>338</v>
      </c>
      <c r="C189" t="s">
        <v>43</v>
      </c>
      <c r="D189">
        <v>48</v>
      </c>
      <c r="E189" t="s">
        <v>21</v>
      </c>
      <c r="F189">
        <v>15</v>
      </c>
      <c r="G189">
        <v>50.67</v>
      </c>
      <c r="H189">
        <v>1</v>
      </c>
      <c r="I189">
        <f>CLIENTS_CHURN345[[#This Row],[Anciennete_Mois]]/12</f>
        <v>4</v>
      </c>
      <c r="J189">
        <f>CLIENTS_CHURN345[[#This Row],[Duree_Cumulee_Panne_Min]]/60</f>
        <v>0.25</v>
      </c>
      <c r="K189" t="str">
        <f>IF(CLIENTS_CHURN345[[#This Row],[Type_Forfait]]="Pro Monde","B2B","B2C")</f>
        <v>B2C</v>
      </c>
      <c r="L189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89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89" s="1">
        <f>CLIENTS_CHURN345[[#This Row],[Facture_Mensuelle]]*CLIENTS_CHURN345[[#This Row],[Colonne12]]</f>
        <v>0</v>
      </c>
    </row>
    <row r="190" spans="1:14">
      <c r="A190" s="1" t="s">
        <v>344</v>
      </c>
      <c r="B190" t="s">
        <v>387</v>
      </c>
      <c r="C190" t="s">
        <v>18</v>
      </c>
      <c r="D190">
        <v>88</v>
      </c>
      <c r="E190" t="s">
        <v>21</v>
      </c>
      <c r="F190">
        <v>154</v>
      </c>
      <c r="G190">
        <v>62.62</v>
      </c>
      <c r="H190">
        <v>5</v>
      </c>
      <c r="I190">
        <f>CLIENTS_CHURN345[[#This Row],[Anciennete_Mois]]/12</f>
        <v>7.333333333333333</v>
      </c>
      <c r="J190">
        <f>CLIENTS_CHURN345[[#This Row],[Duree_Cumulee_Panne_Min]]/60</f>
        <v>2.5666666666666669</v>
      </c>
      <c r="K190" t="str">
        <f>IF(CLIENTS_CHURN345[[#This Row],[Type_Forfait]]="Pro Monde","B2B","B2C")</f>
        <v>B2C</v>
      </c>
      <c r="L190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90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90" s="1">
        <f>CLIENTS_CHURN345[[#This Row],[Facture_Mensuelle]]*CLIENTS_CHURN345[[#This Row],[Colonne12]]</f>
        <v>0</v>
      </c>
    </row>
    <row r="191" spans="1:14">
      <c r="A191" s="1" t="s">
        <v>551</v>
      </c>
      <c r="B191" t="s">
        <v>596</v>
      </c>
      <c r="C191" t="s">
        <v>45</v>
      </c>
      <c r="D191">
        <v>119</v>
      </c>
      <c r="E191" t="s">
        <v>21</v>
      </c>
      <c r="F191">
        <v>231</v>
      </c>
      <c r="G191">
        <v>20.22</v>
      </c>
      <c r="H191">
        <v>2</v>
      </c>
      <c r="I191">
        <f>CLIENTS_CHURN345[[#This Row],[Anciennete_Mois]]/12</f>
        <v>9.9166666666666661</v>
      </c>
      <c r="J191">
        <f>CLIENTS_CHURN345[[#This Row],[Duree_Cumulee_Panne_Min]]/60</f>
        <v>3.85</v>
      </c>
      <c r="K191" t="str">
        <f>IF(CLIENTS_CHURN345[[#This Row],[Type_Forfait]]="Pro Monde","B2B","B2C")</f>
        <v>B2C</v>
      </c>
      <c r="L191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91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91" s="1">
        <f>CLIENTS_CHURN345[[#This Row],[Facture_Mensuelle]]*CLIENTS_CHURN345[[#This Row],[Colonne12]]</f>
        <v>0</v>
      </c>
    </row>
    <row r="192" spans="1:14">
      <c r="A192" s="1" t="s">
        <v>602</v>
      </c>
      <c r="B192" t="s">
        <v>649</v>
      </c>
      <c r="C192" t="s">
        <v>63</v>
      </c>
      <c r="D192">
        <v>99</v>
      </c>
      <c r="E192" t="s">
        <v>21</v>
      </c>
      <c r="F192">
        <v>137</v>
      </c>
      <c r="G192">
        <v>23.05</v>
      </c>
      <c r="H192">
        <v>4</v>
      </c>
      <c r="I192">
        <f>CLIENTS_CHURN345[[#This Row],[Anciennete_Mois]]/12</f>
        <v>8.25</v>
      </c>
      <c r="J192">
        <f>CLIENTS_CHURN345[[#This Row],[Duree_Cumulee_Panne_Min]]/60</f>
        <v>2.2833333333333332</v>
      </c>
      <c r="K192" t="str">
        <f>IF(CLIENTS_CHURN345[[#This Row],[Type_Forfait]]="Pro Monde","B2B","B2C")</f>
        <v>B2C</v>
      </c>
      <c r="L192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92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92" s="1">
        <f>CLIENTS_CHURN345[[#This Row],[Facture_Mensuelle]]*CLIENTS_CHURN345[[#This Row],[Colonne12]]</f>
        <v>0</v>
      </c>
    </row>
    <row r="193" spans="1:14">
      <c r="A193" s="1" t="s">
        <v>447</v>
      </c>
      <c r="B193" t="s">
        <v>494</v>
      </c>
      <c r="C193" t="s">
        <v>36</v>
      </c>
      <c r="D193">
        <v>7</v>
      </c>
      <c r="E193" t="s">
        <v>14</v>
      </c>
      <c r="F193">
        <v>233</v>
      </c>
      <c r="G193">
        <v>10.94</v>
      </c>
      <c r="H193">
        <v>0</v>
      </c>
      <c r="I193">
        <f>CLIENTS_CHURN345[[#This Row],[Anciennete_Mois]]/12</f>
        <v>0.58333333333333337</v>
      </c>
      <c r="J193">
        <f>CLIENTS_CHURN345[[#This Row],[Duree_Cumulee_Panne_Min]]/60</f>
        <v>3.8833333333333333</v>
      </c>
      <c r="K193" t="str">
        <f>IF(CLIENTS_CHURN345[[#This Row],[Type_Forfait]]="Pro Monde","B2B","B2C")</f>
        <v>B2C</v>
      </c>
      <c r="L193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93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93" s="1">
        <f>CLIENTS_CHURN345[[#This Row],[Facture_Mensuelle]]*CLIENTS_CHURN345[[#This Row],[Colonne12]]</f>
        <v>0</v>
      </c>
    </row>
    <row r="194" spans="1:14">
      <c r="A194" s="1" t="s">
        <v>344</v>
      </c>
      <c r="B194" t="s">
        <v>388</v>
      </c>
      <c r="C194" t="s">
        <v>57</v>
      </c>
      <c r="D194">
        <v>76</v>
      </c>
      <c r="E194" t="s">
        <v>14</v>
      </c>
      <c r="F194">
        <v>192</v>
      </c>
      <c r="G194">
        <v>68.53</v>
      </c>
      <c r="H194">
        <v>0</v>
      </c>
      <c r="I194">
        <f>CLIENTS_CHURN345[[#This Row],[Anciennete_Mois]]/12</f>
        <v>6.333333333333333</v>
      </c>
      <c r="J194">
        <f>CLIENTS_CHURN345[[#This Row],[Duree_Cumulee_Panne_Min]]/60</f>
        <v>3.2</v>
      </c>
      <c r="K194" t="str">
        <f>IF(CLIENTS_CHURN345[[#This Row],[Type_Forfait]]="Pro Monde","B2B","B2C")</f>
        <v>B2C</v>
      </c>
      <c r="L194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94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94" s="1">
        <f>CLIENTS_CHURN345[[#This Row],[Facture_Mensuelle]]*CLIENTS_CHURN345[[#This Row],[Colonne12]]</f>
        <v>0</v>
      </c>
    </row>
    <row r="195" spans="1:14">
      <c r="A195" s="1" t="s">
        <v>140</v>
      </c>
      <c r="B195" t="s">
        <v>186</v>
      </c>
      <c r="C195" t="s">
        <v>61</v>
      </c>
      <c r="D195">
        <v>16</v>
      </c>
      <c r="E195" t="s">
        <v>14</v>
      </c>
      <c r="F195">
        <v>13</v>
      </c>
      <c r="G195">
        <v>14.91</v>
      </c>
      <c r="H195">
        <v>1</v>
      </c>
      <c r="I195">
        <f>CLIENTS_CHURN345[[#This Row],[Anciennete_Mois]]/12</f>
        <v>1.3333333333333333</v>
      </c>
      <c r="J195">
        <f>CLIENTS_CHURN345[[#This Row],[Duree_Cumulee_Panne_Min]]/60</f>
        <v>0.21666666666666667</v>
      </c>
      <c r="K195" t="str">
        <f>IF(CLIENTS_CHURN345[[#This Row],[Type_Forfait]]="Pro Monde","B2B","B2C")</f>
        <v>B2C</v>
      </c>
      <c r="L195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95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95" s="1">
        <f>CLIENTS_CHURN345[[#This Row],[Facture_Mensuelle]]*CLIENTS_CHURN345[[#This Row],[Colonne12]]</f>
        <v>0</v>
      </c>
    </row>
    <row r="196" spans="1:14">
      <c r="A196" s="1" t="s">
        <v>191</v>
      </c>
      <c r="B196" t="s">
        <v>236</v>
      </c>
      <c r="C196" t="s">
        <v>52</v>
      </c>
      <c r="D196">
        <v>92</v>
      </c>
      <c r="E196" t="s">
        <v>32</v>
      </c>
      <c r="F196">
        <v>116</v>
      </c>
      <c r="G196">
        <v>23.83</v>
      </c>
      <c r="H196">
        <v>3</v>
      </c>
      <c r="I196">
        <f>CLIENTS_CHURN345[[#This Row],[Anciennete_Mois]]/12</f>
        <v>7.666666666666667</v>
      </c>
      <c r="J196">
        <f>CLIENTS_CHURN345[[#This Row],[Duree_Cumulee_Panne_Min]]/60</f>
        <v>1.9333333333333333</v>
      </c>
      <c r="K196" t="str">
        <f>IF(CLIENTS_CHURN345[[#This Row],[Type_Forfait]]="Pro Monde","B2B","B2C")</f>
        <v>B2C</v>
      </c>
      <c r="L196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96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96" s="1">
        <f>CLIENTS_CHURN345[[#This Row],[Facture_Mensuelle]]*CLIENTS_CHURN345[[#This Row],[Colonne12]]</f>
        <v>0</v>
      </c>
    </row>
    <row r="197" spans="1:14">
      <c r="A197" s="1" t="s">
        <v>653</v>
      </c>
      <c r="B197" t="s">
        <v>701</v>
      </c>
      <c r="C197" t="s">
        <v>65</v>
      </c>
      <c r="D197">
        <v>116</v>
      </c>
      <c r="E197" t="s">
        <v>21</v>
      </c>
      <c r="F197">
        <v>231</v>
      </c>
      <c r="G197">
        <v>19.12</v>
      </c>
      <c r="H197">
        <v>5</v>
      </c>
      <c r="I197">
        <f>CLIENTS_CHURN345[[#This Row],[Anciennete_Mois]]/12</f>
        <v>9.6666666666666661</v>
      </c>
      <c r="J197">
        <f>CLIENTS_CHURN345[[#This Row],[Duree_Cumulee_Panne_Min]]/60</f>
        <v>3.85</v>
      </c>
      <c r="K197" t="str">
        <f>IF(CLIENTS_CHURN345[[#This Row],[Type_Forfait]]="Pro Monde","B2B","B2C")</f>
        <v>B2C</v>
      </c>
      <c r="L197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97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97" s="1">
        <f>CLIENTS_CHURN345[[#This Row],[Facture_Mensuelle]]*CLIENTS_CHURN345[[#This Row],[Colonne12]]</f>
        <v>0</v>
      </c>
    </row>
    <row r="198" spans="1:14">
      <c r="A198" s="1" t="s">
        <v>602</v>
      </c>
      <c r="B198" t="s">
        <v>651</v>
      </c>
      <c r="C198" t="s">
        <v>29</v>
      </c>
      <c r="D198">
        <v>65</v>
      </c>
      <c r="E198" t="s">
        <v>32</v>
      </c>
      <c r="F198">
        <v>15</v>
      </c>
      <c r="G198">
        <v>44.47</v>
      </c>
      <c r="H198">
        <v>0</v>
      </c>
      <c r="I198">
        <f>CLIENTS_CHURN345[[#This Row],[Anciennete_Mois]]/12</f>
        <v>5.416666666666667</v>
      </c>
      <c r="J198">
        <f>CLIENTS_CHURN345[[#This Row],[Duree_Cumulee_Panne_Min]]/60</f>
        <v>0.25</v>
      </c>
      <c r="K198" t="str">
        <f>IF(CLIENTS_CHURN345[[#This Row],[Type_Forfait]]="Pro Monde","B2B","B2C")</f>
        <v>B2C</v>
      </c>
      <c r="L198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98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98" s="1">
        <f>CLIENTS_CHURN345[[#This Row],[Facture_Mensuelle]]*CLIENTS_CHURN345[[#This Row],[Colonne12]]</f>
        <v>0</v>
      </c>
    </row>
    <row r="199" spans="1:14">
      <c r="A199" s="1" t="s">
        <v>344</v>
      </c>
      <c r="B199" t="s">
        <v>390</v>
      </c>
      <c r="C199" t="s">
        <v>24</v>
      </c>
      <c r="D199">
        <v>19</v>
      </c>
      <c r="E199" t="s">
        <v>14</v>
      </c>
      <c r="F199">
        <v>125</v>
      </c>
      <c r="G199">
        <v>11.78</v>
      </c>
      <c r="H199">
        <v>4</v>
      </c>
      <c r="I199">
        <f>CLIENTS_CHURN345[[#This Row],[Anciennete_Mois]]/12</f>
        <v>1.5833333333333333</v>
      </c>
      <c r="J199">
        <f>CLIENTS_CHURN345[[#This Row],[Duree_Cumulee_Panne_Min]]/60</f>
        <v>2.0833333333333335</v>
      </c>
      <c r="K199" t="str">
        <f>IF(CLIENTS_CHURN345[[#This Row],[Type_Forfait]]="Pro Monde","B2B","B2C")</f>
        <v>B2C</v>
      </c>
      <c r="L199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199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199" s="1">
        <f>CLIENTS_CHURN345[[#This Row],[Facture_Mensuelle]]*CLIENTS_CHURN345[[#This Row],[Colonne12]]</f>
        <v>0</v>
      </c>
    </row>
    <row r="200" spans="1:14">
      <c r="A200" s="1" t="s">
        <v>395</v>
      </c>
      <c r="B200" t="s">
        <v>443</v>
      </c>
      <c r="C200" t="s">
        <v>13</v>
      </c>
      <c r="D200">
        <v>13</v>
      </c>
      <c r="E200" t="s">
        <v>14</v>
      </c>
      <c r="F200">
        <v>180</v>
      </c>
      <c r="G200">
        <v>24.01</v>
      </c>
      <c r="H200">
        <v>0</v>
      </c>
      <c r="I200">
        <f>CLIENTS_CHURN345[[#This Row],[Anciennete_Mois]]/12</f>
        <v>1.0833333333333333</v>
      </c>
      <c r="J200">
        <f>CLIENTS_CHURN345[[#This Row],[Duree_Cumulee_Panne_Min]]/60</f>
        <v>3</v>
      </c>
      <c r="K200" t="str">
        <f>IF(CLIENTS_CHURN345[[#This Row],[Type_Forfait]]="Pro Monde","B2B","B2C")</f>
        <v>B2C</v>
      </c>
      <c r="L200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200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200" s="1">
        <f>CLIENTS_CHURN345[[#This Row],[Facture_Mensuelle]]*CLIENTS_CHURN345[[#This Row],[Colonne12]]</f>
        <v>0</v>
      </c>
    </row>
    <row r="201" spans="1:14">
      <c r="A201" s="1" t="s">
        <v>191</v>
      </c>
      <c r="B201" t="s">
        <v>237</v>
      </c>
      <c r="C201" t="s">
        <v>10</v>
      </c>
      <c r="D201">
        <v>62</v>
      </c>
      <c r="E201" t="s">
        <v>32</v>
      </c>
      <c r="F201">
        <v>116</v>
      </c>
      <c r="G201">
        <v>92.99</v>
      </c>
      <c r="H201">
        <v>5</v>
      </c>
      <c r="I201">
        <f>CLIENTS_CHURN345[[#This Row],[Anciennete_Mois]]/12</f>
        <v>5.166666666666667</v>
      </c>
      <c r="J201">
        <f>CLIENTS_CHURN345[[#This Row],[Duree_Cumulee_Panne_Min]]/60</f>
        <v>1.9333333333333333</v>
      </c>
      <c r="K201" t="str">
        <f>IF(CLIENTS_CHURN345[[#This Row],[Type_Forfait]]="Pro Monde","B2B","B2C")</f>
        <v>B2C</v>
      </c>
      <c r="L201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201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201" s="1">
        <f>CLIENTS_CHURN345[[#This Row],[Facture_Mensuelle]]*CLIENTS_CHURN345[[#This Row],[Colonne12]]</f>
        <v>0</v>
      </c>
    </row>
    <row r="202" spans="1:14">
      <c r="A202" s="1" t="s">
        <v>344</v>
      </c>
      <c r="B202" t="s">
        <v>391</v>
      </c>
      <c r="C202" t="s">
        <v>24</v>
      </c>
      <c r="D202">
        <v>99</v>
      </c>
      <c r="E202" t="s">
        <v>14</v>
      </c>
      <c r="F202">
        <v>28</v>
      </c>
      <c r="G202">
        <v>70.19</v>
      </c>
      <c r="H202">
        <v>1</v>
      </c>
      <c r="I202">
        <f>CLIENTS_CHURN345[[#This Row],[Anciennete_Mois]]/12</f>
        <v>8.25</v>
      </c>
      <c r="J202">
        <f>CLIENTS_CHURN345[[#This Row],[Duree_Cumulee_Panne_Min]]/60</f>
        <v>0.46666666666666667</v>
      </c>
      <c r="K202" t="str">
        <f>IF(CLIENTS_CHURN345[[#This Row],[Type_Forfait]]="Pro Monde","B2B","B2C")</f>
        <v>B2C</v>
      </c>
      <c r="L202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202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202" s="1">
        <f>CLIENTS_CHURN345[[#This Row],[Facture_Mensuelle]]*CLIENTS_CHURN345[[#This Row],[Colonne12]]</f>
        <v>0</v>
      </c>
    </row>
    <row r="203" spans="1:14">
      <c r="A203" s="1" t="s">
        <v>85</v>
      </c>
      <c r="B203" t="s">
        <v>135</v>
      </c>
      <c r="C203" t="s">
        <v>29</v>
      </c>
      <c r="D203">
        <v>80</v>
      </c>
      <c r="E203" t="s">
        <v>32</v>
      </c>
      <c r="F203">
        <v>121</v>
      </c>
      <c r="G203">
        <v>83.14</v>
      </c>
      <c r="H203">
        <v>5</v>
      </c>
      <c r="I203">
        <f>CLIENTS_CHURN345[[#This Row],[Anciennete_Mois]]/12</f>
        <v>6.666666666666667</v>
      </c>
      <c r="J203">
        <f>CLIENTS_CHURN345[[#This Row],[Duree_Cumulee_Panne_Min]]/60</f>
        <v>2.0166666666666666</v>
      </c>
      <c r="K203" t="str">
        <f>IF(CLIENTS_CHURN345[[#This Row],[Type_Forfait]]="Pro Monde","B2B","B2C")</f>
        <v>B2C</v>
      </c>
      <c r="L203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203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203" s="1">
        <f>CLIENTS_CHURN345[[#This Row],[Facture_Mensuelle]]*CLIENTS_CHURN345[[#This Row],[Colonne12]]</f>
        <v>0</v>
      </c>
    </row>
    <row r="204" spans="1:14">
      <c r="A204" s="1" t="s">
        <v>85</v>
      </c>
      <c r="B204" t="s">
        <v>136</v>
      </c>
      <c r="C204" t="s">
        <v>61</v>
      </c>
      <c r="D204">
        <v>58</v>
      </c>
      <c r="E204" t="s">
        <v>21</v>
      </c>
      <c r="F204">
        <v>61</v>
      </c>
      <c r="G204">
        <v>58.64</v>
      </c>
      <c r="H204">
        <v>3</v>
      </c>
      <c r="I204">
        <f>CLIENTS_CHURN345[[#This Row],[Anciennete_Mois]]/12</f>
        <v>4.833333333333333</v>
      </c>
      <c r="J204">
        <f>CLIENTS_CHURN345[[#This Row],[Duree_Cumulee_Panne_Min]]/60</f>
        <v>1.0166666666666666</v>
      </c>
      <c r="K204" t="str">
        <f>IF(CLIENTS_CHURN345[[#This Row],[Type_Forfait]]="Pro Monde","B2B","B2C")</f>
        <v>B2C</v>
      </c>
      <c r="L204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204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204" s="1">
        <f>CLIENTS_CHURN345[[#This Row],[Facture_Mensuelle]]*CLIENTS_CHURN345[[#This Row],[Colonne12]]</f>
        <v>0</v>
      </c>
    </row>
    <row r="205" spans="1:14">
      <c r="A205" s="1" t="s">
        <v>499</v>
      </c>
      <c r="B205" t="s">
        <v>548</v>
      </c>
      <c r="C205" t="s">
        <v>10</v>
      </c>
      <c r="D205">
        <v>9</v>
      </c>
      <c r="E205" t="s">
        <v>21</v>
      </c>
      <c r="F205">
        <v>227</v>
      </c>
      <c r="G205">
        <v>63.74</v>
      </c>
      <c r="H205">
        <v>3</v>
      </c>
      <c r="I205">
        <f>CLIENTS_CHURN345[[#This Row],[Anciennete_Mois]]/12</f>
        <v>0.75</v>
      </c>
      <c r="J205">
        <f>CLIENTS_CHURN345[[#This Row],[Duree_Cumulee_Panne_Min]]/60</f>
        <v>3.7833333333333332</v>
      </c>
      <c r="K205" t="str">
        <f>IF(CLIENTS_CHURN345[[#This Row],[Type_Forfait]]="Pro Monde","B2B","B2C")</f>
        <v>B2C</v>
      </c>
      <c r="L205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205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205" s="1">
        <f>CLIENTS_CHURN345[[#This Row],[Facture_Mensuelle]]*CLIENTS_CHURN345[[#This Row],[Colonne12]]</f>
        <v>0</v>
      </c>
    </row>
    <row r="206" spans="1:14">
      <c r="A206" s="1" t="s">
        <v>293</v>
      </c>
      <c r="B206" t="s">
        <v>343</v>
      </c>
      <c r="C206" t="s">
        <v>65</v>
      </c>
      <c r="D206">
        <v>32</v>
      </c>
      <c r="E206" t="s">
        <v>21</v>
      </c>
      <c r="F206">
        <v>31</v>
      </c>
      <c r="G206">
        <v>67.040000000000006</v>
      </c>
      <c r="H206">
        <v>1</v>
      </c>
      <c r="I206">
        <f>CLIENTS_CHURN345[[#This Row],[Anciennete_Mois]]/12</f>
        <v>2.6666666666666665</v>
      </c>
      <c r="J206">
        <f>CLIENTS_CHURN345[[#This Row],[Duree_Cumulee_Panne_Min]]/60</f>
        <v>0.51666666666666672</v>
      </c>
      <c r="K206" t="str">
        <f>IF(CLIENTS_CHURN345[[#This Row],[Type_Forfait]]="Pro Monde","B2B","B2C")</f>
        <v>B2C</v>
      </c>
      <c r="L206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206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206" s="1">
        <f>CLIENTS_CHURN345[[#This Row],[Facture_Mensuelle]]*CLIENTS_CHURN345[[#This Row],[Colonne12]]</f>
        <v>0</v>
      </c>
    </row>
    <row r="207" spans="1:14">
      <c r="A207" s="1" t="s">
        <v>395</v>
      </c>
      <c r="B207" t="s">
        <v>446</v>
      </c>
      <c r="C207" t="s">
        <v>61</v>
      </c>
      <c r="D207">
        <v>104</v>
      </c>
      <c r="E207" t="s">
        <v>32</v>
      </c>
      <c r="F207">
        <v>68</v>
      </c>
      <c r="G207">
        <v>21.15</v>
      </c>
      <c r="H207">
        <v>2</v>
      </c>
      <c r="I207">
        <f>CLIENTS_CHURN345[[#This Row],[Anciennete_Mois]]/12</f>
        <v>8.6666666666666661</v>
      </c>
      <c r="J207">
        <f>CLIENTS_CHURN345[[#This Row],[Duree_Cumulee_Panne_Min]]/60</f>
        <v>1.1333333333333333</v>
      </c>
      <c r="K207" t="str">
        <f>IF(CLIENTS_CHURN345[[#This Row],[Type_Forfait]]="Pro Monde","B2B","B2C")</f>
        <v>B2C</v>
      </c>
      <c r="L207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207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207" s="1">
        <f>CLIENTS_CHURN345[[#This Row],[Facture_Mensuelle]]*CLIENTS_CHURN345[[#This Row],[Colonne12]]</f>
        <v>0</v>
      </c>
    </row>
    <row r="208" spans="1:14">
      <c r="A208" s="1" t="s">
        <v>653</v>
      </c>
      <c r="B208" t="s">
        <v>704</v>
      </c>
      <c r="C208" t="s">
        <v>65</v>
      </c>
      <c r="D208">
        <v>19</v>
      </c>
      <c r="E208" t="s">
        <v>14</v>
      </c>
      <c r="F208">
        <v>141</v>
      </c>
      <c r="G208">
        <v>53.95</v>
      </c>
      <c r="H208">
        <v>1</v>
      </c>
      <c r="I208">
        <f>CLIENTS_CHURN345[[#This Row],[Anciennete_Mois]]/12</f>
        <v>1.5833333333333333</v>
      </c>
      <c r="J208">
        <f>CLIENTS_CHURN345[[#This Row],[Duree_Cumulee_Panne_Min]]/60</f>
        <v>2.35</v>
      </c>
      <c r="K208" t="str">
        <f>IF(CLIENTS_CHURN345[[#This Row],[Type_Forfait]]="Pro Monde","B2B","B2C")</f>
        <v>B2C</v>
      </c>
      <c r="L208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208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208" s="1">
        <f>CLIENTS_CHURN345[[#This Row],[Facture_Mensuelle]]*CLIENTS_CHURN345[[#This Row],[Colonne12]]</f>
        <v>0</v>
      </c>
    </row>
    <row r="209" spans="1:14">
      <c r="A209" s="1" t="s">
        <v>602</v>
      </c>
      <c r="B209" t="s">
        <v>652</v>
      </c>
      <c r="C209" t="s">
        <v>16</v>
      </c>
      <c r="D209">
        <v>103</v>
      </c>
      <c r="E209" t="s">
        <v>14</v>
      </c>
      <c r="F209">
        <v>98</v>
      </c>
      <c r="G209">
        <v>38.69</v>
      </c>
      <c r="H209">
        <v>4</v>
      </c>
      <c r="I209">
        <f>CLIENTS_CHURN345[[#This Row],[Anciennete_Mois]]/12</f>
        <v>8.5833333333333339</v>
      </c>
      <c r="J209">
        <f>CLIENTS_CHURN345[[#This Row],[Duree_Cumulee_Panne_Min]]/60</f>
        <v>1.6333333333333333</v>
      </c>
      <c r="K209" t="str">
        <f>IF(CLIENTS_CHURN345[[#This Row],[Type_Forfait]]="Pro Monde","B2B","B2C")</f>
        <v>B2C</v>
      </c>
      <c r="L209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209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209" s="1">
        <f>CLIENTS_CHURN345[[#This Row],[Facture_Mensuelle]]*CLIENTS_CHURN345[[#This Row],[Colonne12]]</f>
        <v>0</v>
      </c>
    </row>
    <row r="210" spans="1:14">
      <c r="A210" s="1" t="s">
        <v>551</v>
      </c>
      <c r="B210" t="s">
        <v>601</v>
      </c>
      <c r="C210" t="s">
        <v>63</v>
      </c>
      <c r="D210">
        <v>80</v>
      </c>
      <c r="E210" t="s">
        <v>21</v>
      </c>
      <c r="F210">
        <v>101</v>
      </c>
      <c r="G210">
        <v>61.92</v>
      </c>
      <c r="H210">
        <v>4</v>
      </c>
      <c r="I210">
        <f>CLIENTS_CHURN345[[#This Row],[Anciennete_Mois]]/12</f>
        <v>6.666666666666667</v>
      </c>
      <c r="J210">
        <f>CLIENTS_CHURN345[[#This Row],[Duree_Cumulee_Panne_Min]]/60</f>
        <v>1.6833333333333333</v>
      </c>
      <c r="K210" t="str">
        <f>IF(CLIENTS_CHURN345[[#This Row],[Type_Forfait]]="Pro Monde","B2B","B2C")</f>
        <v>B2C</v>
      </c>
      <c r="L210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0%</v>
      </c>
      <c r="M210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</v>
      </c>
      <c r="N210" s="1">
        <f>CLIENTS_CHURN345[[#This Row],[Facture_Mensuelle]]*CLIENTS_CHURN345[[#This Row],[Colonne12]]</f>
        <v>0</v>
      </c>
    </row>
    <row r="211" spans="1:14">
      <c r="A211" s="1" t="s">
        <v>499</v>
      </c>
      <c r="B211" t="s">
        <v>523</v>
      </c>
      <c r="C211" t="s">
        <v>65</v>
      </c>
      <c r="D211">
        <v>115</v>
      </c>
      <c r="E211" t="s">
        <v>11</v>
      </c>
      <c r="F211">
        <v>190</v>
      </c>
      <c r="G211">
        <v>10.98</v>
      </c>
      <c r="H211">
        <v>0</v>
      </c>
      <c r="I211">
        <f>CLIENTS_CHURN345[[#This Row],[Anciennete_Mois]]/12</f>
        <v>9.5833333333333339</v>
      </c>
      <c r="J211">
        <f>CLIENTS_CHURN345[[#This Row],[Duree_Cumulee_Panne_Min]]/60</f>
        <v>3.1666666666666665</v>
      </c>
      <c r="K211" t="str">
        <f>IF(CLIENTS_CHURN345[[#This Row],[Type_Forfait]]="Pro Monde","B2B","B2C")</f>
        <v>B2B</v>
      </c>
      <c r="L211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10%</v>
      </c>
      <c r="M211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0.1</v>
      </c>
      <c r="N211" s="1">
        <f>CLIENTS_CHURN345[[#This Row],[Facture_Mensuelle]]*CLIENTS_CHURN345[[#This Row],[Colonne12]]</f>
        <v>1.0980000000000001</v>
      </c>
    </row>
    <row r="212" spans="1:14">
      <c r="A212" s="1" t="s">
        <v>551</v>
      </c>
      <c r="B212" t="s">
        <v>580</v>
      </c>
      <c r="C212" t="s">
        <v>26</v>
      </c>
      <c r="D212">
        <v>11</v>
      </c>
      <c r="E212" t="s">
        <v>11</v>
      </c>
      <c r="F212">
        <v>214</v>
      </c>
      <c r="G212">
        <v>11.46</v>
      </c>
      <c r="H212">
        <v>5</v>
      </c>
      <c r="I212">
        <f>CLIENTS_CHURN345[[#This Row],[Anciennete_Mois]]/12</f>
        <v>0.91666666666666663</v>
      </c>
      <c r="J212">
        <f>CLIENTS_CHURN345[[#This Row],[Duree_Cumulee_Panne_Min]]/60</f>
        <v>3.5666666666666669</v>
      </c>
      <c r="K212" t="str">
        <f>IF(CLIENTS_CHURN345[[#This Row],[Type_Forfait]]="Pro Monde","B2B","B2C")</f>
        <v>B2B</v>
      </c>
      <c r="L212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10%</v>
      </c>
      <c r="M212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0.1</v>
      </c>
      <c r="N212" s="1">
        <f>CLIENTS_CHURN345[[#This Row],[Facture_Mensuelle]]*CLIENTS_CHURN345[[#This Row],[Colonne12]]</f>
        <v>1.1460000000000001</v>
      </c>
    </row>
    <row r="213" spans="1:14">
      <c r="A213" s="1" t="s">
        <v>242</v>
      </c>
      <c r="B213" t="s">
        <v>247</v>
      </c>
      <c r="C213" t="s">
        <v>79</v>
      </c>
      <c r="D213">
        <v>118</v>
      </c>
      <c r="E213" t="s">
        <v>11</v>
      </c>
      <c r="F213">
        <v>22</v>
      </c>
      <c r="G213">
        <v>15.39</v>
      </c>
      <c r="H213">
        <v>1</v>
      </c>
      <c r="I213">
        <f>CLIENTS_CHURN345[[#This Row],[Anciennete_Mois]]/12</f>
        <v>9.8333333333333339</v>
      </c>
      <c r="J213">
        <f>CLIENTS_CHURN345[[#This Row],[Duree_Cumulee_Panne_Min]]/60</f>
        <v>0.36666666666666664</v>
      </c>
      <c r="K213" t="str">
        <f>IF(CLIENTS_CHURN345[[#This Row],[Type_Forfait]]="Pro Monde","B2B","B2C")</f>
        <v>B2B</v>
      </c>
      <c r="L213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10%</v>
      </c>
      <c r="M213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0.1</v>
      </c>
      <c r="N213" s="1">
        <f>CLIENTS_CHURN345[[#This Row],[Facture_Mensuelle]]*CLIENTS_CHURN345[[#This Row],[Colonne12]]</f>
        <v>1.5390000000000001</v>
      </c>
    </row>
    <row r="214" spans="1:14">
      <c r="A214" s="1" t="s">
        <v>551</v>
      </c>
      <c r="B214" t="s">
        <v>568</v>
      </c>
      <c r="C214" t="s">
        <v>71</v>
      </c>
      <c r="D214">
        <v>53</v>
      </c>
      <c r="E214" t="s">
        <v>11</v>
      </c>
      <c r="F214">
        <v>27</v>
      </c>
      <c r="G214">
        <v>18.77</v>
      </c>
      <c r="H214">
        <v>0</v>
      </c>
      <c r="I214">
        <f>CLIENTS_CHURN345[[#This Row],[Anciennete_Mois]]/12</f>
        <v>4.416666666666667</v>
      </c>
      <c r="J214">
        <f>CLIENTS_CHURN345[[#This Row],[Duree_Cumulee_Panne_Min]]/60</f>
        <v>0.45</v>
      </c>
      <c r="K214" t="str">
        <f>IF(CLIENTS_CHURN345[[#This Row],[Type_Forfait]]="Pro Monde","B2B","B2C")</f>
        <v>B2B</v>
      </c>
      <c r="L214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10%</v>
      </c>
      <c r="M214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0.1</v>
      </c>
      <c r="N214" s="1">
        <f>CLIENTS_CHURN345[[#This Row],[Facture_Mensuelle]]*CLIENTS_CHURN345[[#This Row],[Colonne12]]</f>
        <v>1.877</v>
      </c>
    </row>
    <row r="215" spans="1:14">
      <c r="A215" s="1" t="s">
        <v>8</v>
      </c>
      <c r="B215" t="s">
        <v>75</v>
      </c>
      <c r="C215" t="s">
        <v>76</v>
      </c>
      <c r="D215">
        <v>81</v>
      </c>
      <c r="E215" t="s">
        <v>11</v>
      </c>
      <c r="F215">
        <v>154</v>
      </c>
      <c r="G215">
        <v>19.47</v>
      </c>
      <c r="H215">
        <v>3</v>
      </c>
      <c r="I215">
        <f>CLIENTS_CHURN345[[#This Row],[Anciennete_Mois]]/12</f>
        <v>6.75</v>
      </c>
      <c r="J215">
        <f>CLIENTS_CHURN345[[#This Row],[Duree_Cumulee_Panne_Min]]/60</f>
        <v>2.5666666666666669</v>
      </c>
      <c r="K215" t="str">
        <f>IF(CLIENTS_CHURN345[[#This Row],[Type_Forfait]]="Pro Monde","B2B","B2C")</f>
        <v>B2B</v>
      </c>
      <c r="L215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10%</v>
      </c>
      <c r="M215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0.1</v>
      </c>
      <c r="N215" s="1">
        <f>CLIENTS_CHURN345[[#This Row],[Facture_Mensuelle]]*CLIENTS_CHURN345[[#This Row],[Colonne12]]</f>
        <v>1.9470000000000001</v>
      </c>
    </row>
    <row r="216" spans="1:14">
      <c r="A216" s="1" t="s">
        <v>756</v>
      </c>
      <c r="B216" t="s">
        <v>757</v>
      </c>
      <c r="C216" t="s">
        <v>76</v>
      </c>
      <c r="D216">
        <v>119</v>
      </c>
      <c r="E216" t="s">
        <v>11</v>
      </c>
      <c r="F216">
        <v>31</v>
      </c>
      <c r="G216">
        <v>21.27</v>
      </c>
      <c r="H216">
        <v>5</v>
      </c>
      <c r="I216">
        <f>CLIENTS_CHURN345[[#This Row],[Anciennete_Mois]]/12</f>
        <v>9.9166666666666661</v>
      </c>
      <c r="J216">
        <f>CLIENTS_CHURN345[[#This Row],[Duree_Cumulee_Panne_Min]]/60</f>
        <v>0.51666666666666672</v>
      </c>
      <c r="K216" t="str">
        <f>IF(CLIENTS_CHURN345[[#This Row],[Type_Forfait]]="Pro Monde","B2B","B2C")</f>
        <v>B2B</v>
      </c>
      <c r="L216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10%</v>
      </c>
      <c r="M216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0.1</v>
      </c>
      <c r="N216" s="1">
        <f>CLIENTS_CHURN345[[#This Row],[Facture_Mensuelle]]*CLIENTS_CHURN345[[#This Row],[Colonne12]]</f>
        <v>2.1270000000000002</v>
      </c>
    </row>
    <row r="217" spans="1:14">
      <c r="A217" s="1" t="s">
        <v>551</v>
      </c>
      <c r="B217" t="s">
        <v>561</v>
      </c>
      <c r="C217" t="s">
        <v>29</v>
      </c>
      <c r="D217">
        <v>98</v>
      </c>
      <c r="E217" t="s">
        <v>11</v>
      </c>
      <c r="F217">
        <v>41</v>
      </c>
      <c r="G217">
        <v>23.55</v>
      </c>
      <c r="H217">
        <v>1</v>
      </c>
      <c r="I217">
        <f>CLIENTS_CHURN345[[#This Row],[Anciennete_Mois]]/12</f>
        <v>8.1666666666666661</v>
      </c>
      <c r="J217">
        <f>CLIENTS_CHURN345[[#This Row],[Duree_Cumulee_Panne_Min]]/60</f>
        <v>0.68333333333333335</v>
      </c>
      <c r="K217" t="str">
        <f>IF(CLIENTS_CHURN345[[#This Row],[Type_Forfait]]="Pro Monde","B2B","B2C")</f>
        <v>B2B</v>
      </c>
      <c r="L217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10%</v>
      </c>
      <c r="M217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0.1</v>
      </c>
      <c r="N217" s="1">
        <f>CLIENTS_CHURN345[[#This Row],[Facture_Mensuelle]]*CLIENTS_CHURN345[[#This Row],[Colonne12]]</f>
        <v>2.355</v>
      </c>
    </row>
    <row r="218" spans="1:14">
      <c r="A218" s="1" t="s">
        <v>551</v>
      </c>
      <c r="B218" t="s">
        <v>585</v>
      </c>
      <c r="C218" t="s">
        <v>40</v>
      </c>
      <c r="D218">
        <v>17</v>
      </c>
      <c r="E218" t="s">
        <v>11</v>
      </c>
      <c r="F218">
        <v>175</v>
      </c>
      <c r="G218">
        <v>24.95</v>
      </c>
      <c r="H218">
        <v>4</v>
      </c>
      <c r="I218">
        <f>CLIENTS_CHURN345[[#This Row],[Anciennete_Mois]]/12</f>
        <v>1.4166666666666667</v>
      </c>
      <c r="J218">
        <f>CLIENTS_CHURN345[[#This Row],[Duree_Cumulee_Panne_Min]]/60</f>
        <v>2.9166666666666665</v>
      </c>
      <c r="K218" t="str">
        <f>IF(CLIENTS_CHURN345[[#This Row],[Type_Forfait]]="Pro Monde","B2B","B2C")</f>
        <v>B2B</v>
      </c>
      <c r="L218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10%</v>
      </c>
      <c r="M218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0.1</v>
      </c>
      <c r="N218" s="1">
        <f>CLIENTS_CHURN345[[#This Row],[Facture_Mensuelle]]*CLIENTS_CHURN345[[#This Row],[Colonne12]]</f>
        <v>2.4950000000000001</v>
      </c>
    </row>
    <row r="219" spans="1:14">
      <c r="A219" s="1" t="s">
        <v>344</v>
      </c>
      <c r="B219" t="s">
        <v>376</v>
      </c>
      <c r="C219" t="s">
        <v>18</v>
      </c>
      <c r="D219">
        <v>86</v>
      </c>
      <c r="E219" t="s">
        <v>11</v>
      </c>
      <c r="F219">
        <v>192</v>
      </c>
      <c r="G219">
        <v>26.26</v>
      </c>
      <c r="H219">
        <v>1</v>
      </c>
      <c r="I219">
        <f>CLIENTS_CHURN345[[#This Row],[Anciennete_Mois]]/12</f>
        <v>7.166666666666667</v>
      </c>
      <c r="J219">
        <f>CLIENTS_CHURN345[[#This Row],[Duree_Cumulee_Panne_Min]]/60</f>
        <v>3.2</v>
      </c>
      <c r="K219" t="str">
        <f>IF(CLIENTS_CHURN345[[#This Row],[Type_Forfait]]="Pro Monde","B2B","B2C")</f>
        <v>B2B</v>
      </c>
      <c r="L219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10%</v>
      </c>
      <c r="M219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0.1</v>
      </c>
      <c r="N219" s="1">
        <f>CLIENTS_CHURN345[[#This Row],[Facture_Mensuelle]]*CLIENTS_CHURN345[[#This Row],[Colonne12]]</f>
        <v>2.6260000000000003</v>
      </c>
    </row>
    <row r="220" spans="1:14">
      <c r="A220" s="1" t="s">
        <v>705</v>
      </c>
      <c r="B220" t="s">
        <v>746</v>
      </c>
      <c r="C220" t="s">
        <v>40</v>
      </c>
      <c r="D220">
        <v>101</v>
      </c>
      <c r="E220" t="s">
        <v>11</v>
      </c>
      <c r="F220">
        <v>148</v>
      </c>
      <c r="G220">
        <v>26.63</v>
      </c>
      <c r="H220">
        <v>3</v>
      </c>
      <c r="I220">
        <f>CLIENTS_CHURN345[[#This Row],[Anciennete_Mois]]/12</f>
        <v>8.4166666666666661</v>
      </c>
      <c r="J220">
        <f>CLIENTS_CHURN345[[#This Row],[Duree_Cumulee_Panne_Min]]/60</f>
        <v>2.4666666666666668</v>
      </c>
      <c r="K220" t="str">
        <f>IF(CLIENTS_CHURN345[[#This Row],[Type_Forfait]]="Pro Monde","B2B","B2C")</f>
        <v>B2B</v>
      </c>
      <c r="L220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10%</v>
      </c>
      <c r="M220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0.1</v>
      </c>
      <c r="N220" s="1">
        <f>CLIENTS_CHURN345[[#This Row],[Facture_Mensuelle]]*CLIENTS_CHURN345[[#This Row],[Colonne12]]</f>
        <v>2.6630000000000003</v>
      </c>
    </row>
    <row r="221" spans="1:14">
      <c r="A221" s="1" t="s">
        <v>140</v>
      </c>
      <c r="B221" t="s">
        <v>179</v>
      </c>
      <c r="C221" t="s">
        <v>36</v>
      </c>
      <c r="D221">
        <v>67</v>
      </c>
      <c r="E221" t="s">
        <v>11</v>
      </c>
      <c r="F221">
        <v>55</v>
      </c>
      <c r="G221">
        <v>27.04</v>
      </c>
      <c r="H221">
        <v>1</v>
      </c>
      <c r="I221">
        <f>CLIENTS_CHURN345[[#This Row],[Anciennete_Mois]]/12</f>
        <v>5.583333333333333</v>
      </c>
      <c r="J221">
        <f>CLIENTS_CHURN345[[#This Row],[Duree_Cumulee_Panne_Min]]/60</f>
        <v>0.91666666666666663</v>
      </c>
      <c r="K221" t="str">
        <f>IF(CLIENTS_CHURN345[[#This Row],[Type_Forfait]]="Pro Monde","B2B","B2C")</f>
        <v>B2B</v>
      </c>
      <c r="L221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10%</v>
      </c>
      <c r="M221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0.1</v>
      </c>
      <c r="N221" s="1">
        <f>CLIENTS_CHURN345[[#This Row],[Facture_Mensuelle]]*CLIENTS_CHURN345[[#This Row],[Colonne12]]</f>
        <v>2.7040000000000002</v>
      </c>
    </row>
    <row r="222" spans="1:14">
      <c r="A222" s="1" t="s">
        <v>8</v>
      </c>
      <c r="B222" t="s">
        <v>17</v>
      </c>
      <c r="C222" t="s">
        <v>18</v>
      </c>
      <c r="D222">
        <v>112</v>
      </c>
      <c r="E222" t="s">
        <v>11</v>
      </c>
      <c r="F222">
        <v>18</v>
      </c>
      <c r="G222">
        <v>27.33</v>
      </c>
      <c r="H222">
        <v>5</v>
      </c>
      <c r="I222">
        <f>CLIENTS_CHURN345[[#This Row],[Anciennete_Mois]]/12</f>
        <v>9.3333333333333339</v>
      </c>
      <c r="J222">
        <f>CLIENTS_CHURN345[[#This Row],[Duree_Cumulee_Panne_Min]]/60</f>
        <v>0.3</v>
      </c>
      <c r="K222" t="str">
        <f>IF(CLIENTS_CHURN345[[#This Row],[Type_Forfait]]="Pro Monde","B2B","B2C")</f>
        <v>B2B</v>
      </c>
      <c r="L222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10%</v>
      </c>
      <c r="M222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0.1</v>
      </c>
      <c r="N222" s="1">
        <f>CLIENTS_CHURN345[[#This Row],[Facture_Mensuelle]]*CLIENTS_CHURN345[[#This Row],[Colonne12]]</f>
        <v>2.7330000000000001</v>
      </c>
    </row>
    <row r="223" spans="1:14">
      <c r="A223" s="1" t="s">
        <v>447</v>
      </c>
      <c r="B223" t="s">
        <v>498</v>
      </c>
      <c r="C223" t="s">
        <v>10</v>
      </c>
      <c r="D223">
        <v>47</v>
      </c>
      <c r="E223" t="s">
        <v>11</v>
      </c>
      <c r="F223">
        <v>149</v>
      </c>
      <c r="G223">
        <v>28.35</v>
      </c>
      <c r="H223">
        <v>1</v>
      </c>
      <c r="I223">
        <f>CLIENTS_CHURN345[[#This Row],[Anciennete_Mois]]/12</f>
        <v>3.9166666666666665</v>
      </c>
      <c r="J223">
        <f>CLIENTS_CHURN345[[#This Row],[Duree_Cumulee_Panne_Min]]/60</f>
        <v>2.4833333333333334</v>
      </c>
      <c r="K223" t="str">
        <f>IF(CLIENTS_CHURN345[[#This Row],[Type_Forfait]]="Pro Monde","B2B","B2C")</f>
        <v>B2B</v>
      </c>
      <c r="L223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10%</v>
      </c>
      <c r="M223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0.1</v>
      </c>
      <c r="N223" s="1">
        <f>CLIENTS_CHURN345[[#This Row],[Facture_Mensuelle]]*CLIENTS_CHURN345[[#This Row],[Colonne12]]</f>
        <v>2.8350000000000004</v>
      </c>
    </row>
    <row r="224" spans="1:14">
      <c r="A224" s="1" t="s">
        <v>447</v>
      </c>
      <c r="B224" t="s">
        <v>458</v>
      </c>
      <c r="C224" t="s">
        <v>71</v>
      </c>
      <c r="D224">
        <v>24</v>
      </c>
      <c r="E224" t="s">
        <v>11</v>
      </c>
      <c r="F224">
        <v>23</v>
      </c>
      <c r="G224">
        <v>28.55</v>
      </c>
      <c r="H224">
        <v>1</v>
      </c>
      <c r="I224">
        <f>CLIENTS_CHURN345[[#This Row],[Anciennete_Mois]]/12</f>
        <v>2</v>
      </c>
      <c r="J224">
        <f>CLIENTS_CHURN345[[#This Row],[Duree_Cumulee_Panne_Min]]/60</f>
        <v>0.38333333333333336</v>
      </c>
      <c r="K224" t="str">
        <f>IF(CLIENTS_CHURN345[[#This Row],[Type_Forfait]]="Pro Monde","B2B","B2C")</f>
        <v>B2B</v>
      </c>
      <c r="L224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10%</v>
      </c>
      <c r="M224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0.1</v>
      </c>
      <c r="N224" s="1">
        <f>CLIENTS_CHURN345[[#This Row],[Facture_Mensuelle]]*CLIENTS_CHURN345[[#This Row],[Colonne12]]</f>
        <v>2.8550000000000004</v>
      </c>
    </row>
    <row r="225" spans="1:14">
      <c r="A225" s="1" t="s">
        <v>499</v>
      </c>
      <c r="B225" t="s">
        <v>513</v>
      </c>
      <c r="C225" t="s">
        <v>71</v>
      </c>
      <c r="D225">
        <v>120</v>
      </c>
      <c r="E225" t="s">
        <v>11</v>
      </c>
      <c r="F225">
        <v>72</v>
      </c>
      <c r="G225">
        <v>29.07</v>
      </c>
      <c r="H225">
        <v>3</v>
      </c>
      <c r="I225">
        <f>CLIENTS_CHURN345[[#This Row],[Anciennete_Mois]]/12</f>
        <v>10</v>
      </c>
      <c r="J225">
        <f>CLIENTS_CHURN345[[#This Row],[Duree_Cumulee_Panne_Min]]/60</f>
        <v>1.2</v>
      </c>
      <c r="K225" t="str">
        <f>IF(CLIENTS_CHURN345[[#This Row],[Type_Forfait]]="Pro Monde","B2B","B2C")</f>
        <v>B2B</v>
      </c>
      <c r="L225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10%</v>
      </c>
      <c r="M225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0.1</v>
      </c>
      <c r="N225" s="1">
        <f>CLIENTS_CHURN345[[#This Row],[Facture_Mensuelle]]*CLIENTS_CHURN345[[#This Row],[Colonne12]]</f>
        <v>2.907</v>
      </c>
    </row>
    <row r="226" spans="1:14">
      <c r="A226" s="1" t="s">
        <v>85</v>
      </c>
      <c r="B226" t="s">
        <v>90</v>
      </c>
      <c r="C226" t="s">
        <v>52</v>
      </c>
      <c r="D226">
        <v>44</v>
      </c>
      <c r="E226" t="s">
        <v>11</v>
      </c>
      <c r="F226">
        <v>137</v>
      </c>
      <c r="G226">
        <v>32.58</v>
      </c>
      <c r="H226">
        <v>0</v>
      </c>
      <c r="I226">
        <f>CLIENTS_CHURN345[[#This Row],[Anciennete_Mois]]/12</f>
        <v>3.6666666666666665</v>
      </c>
      <c r="J226">
        <f>CLIENTS_CHURN345[[#This Row],[Duree_Cumulee_Panne_Min]]/60</f>
        <v>2.2833333333333332</v>
      </c>
      <c r="K226" t="str">
        <f>IF(CLIENTS_CHURN345[[#This Row],[Type_Forfait]]="Pro Monde","B2B","B2C")</f>
        <v>B2B</v>
      </c>
      <c r="L226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10%</v>
      </c>
      <c r="M226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0.1</v>
      </c>
      <c r="N226" s="1">
        <f>CLIENTS_CHURN345[[#This Row],[Facture_Mensuelle]]*CLIENTS_CHURN345[[#This Row],[Colonne12]]</f>
        <v>3.258</v>
      </c>
    </row>
    <row r="227" spans="1:14">
      <c r="A227" s="1" t="s">
        <v>653</v>
      </c>
      <c r="B227" t="s">
        <v>654</v>
      </c>
      <c r="C227" t="s">
        <v>18</v>
      </c>
      <c r="D227">
        <v>18</v>
      </c>
      <c r="E227" t="s">
        <v>11</v>
      </c>
      <c r="F227">
        <v>216</v>
      </c>
      <c r="G227">
        <v>33.74</v>
      </c>
      <c r="H227">
        <v>5</v>
      </c>
      <c r="I227">
        <f>CLIENTS_CHURN345[[#This Row],[Anciennete_Mois]]/12</f>
        <v>1.5</v>
      </c>
      <c r="J227">
        <f>CLIENTS_CHURN345[[#This Row],[Duree_Cumulee_Panne_Min]]/60</f>
        <v>3.6</v>
      </c>
      <c r="K227" t="str">
        <f>IF(CLIENTS_CHURN345[[#This Row],[Type_Forfait]]="Pro Monde","B2B","B2C")</f>
        <v>B2B</v>
      </c>
      <c r="L227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10%</v>
      </c>
      <c r="M227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0.1</v>
      </c>
      <c r="N227" s="1">
        <f>CLIENTS_CHURN345[[#This Row],[Facture_Mensuelle]]*CLIENTS_CHURN345[[#This Row],[Colonne12]]</f>
        <v>3.3740000000000006</v>
      </c>
    </row>
    <row r="228" spans="1:14">
      <c r="A228" s="1" t="s">
        <v>653</v>
      </c>
      <c r="B228" t="s">
        <v>691</v>
      </c>
      <c r="C228" t="s">
        <v>18</v>
      </c>
      <c r="D228">
        <v>120</v>
      </c>
      <c r="E228" t="s">
        <v>11</v>
      </c>
      <c r="F228">
        <v>60</v>
      </c>
      <c r="G228">
        <v>34.14</v>
      </c>
      <c r="H228">
        <v>3</v>
      </c>
      <c r="I228">
        <f>CLIENTS_CHURN345[[#This Row],[Anciennete_Mois]]/12</f>
        <v>10</v>
      </c>
      <c r="J228">
        <f>CLIENTS_CHURN345[[#This Row],[Duree_Cumulee_Panne_Min]]/60</f>
        <v>1</v>
      </c>
      <c r="K228" t="str">
        <f>IF(CLIENTS_CHURN345[[#This Row],[Type_Forfait]]="Pro Monde","B2B","B2C")</f>
        <v>B2B</v>
      </c>
      <c r="L228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10%</v>
      </c>
      <c r="M228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0.1</v>
      </c>
      <c r="N228" s="1">
        <f>CLIENTS_CHURN345[[#This Row],[Facture_Mensuelle]]*CLIENTS_CHURN345[[#This Row],[Colonne12]]</f>
        <v>3.4140000000000001</v>
      </c>
    </row>
    <row r="229" spans="1:14">
      <c r="A229" s="1" t="s">
        <v>447</v>
      </c>
      <c r="B229" t="s">
        <v>451</v>
      </c>
      <c r="C229" t="s">
        <v>61</v>
      </c>
      <c r="D229">
        <v>47</v>
      </c>
      <c r="E229" t="s">
        <v>11</v>
      </c>
      <c r="F229">
        <v>107</v>
      </c>
      <c r="G229">
        <v>35.380000000000003</v>
      </c>
      <c r="H229">
        <v>1</v>
      </c>
      <c r="I229">
        <f>CLIENTS_CHURN345[[#This Row],[Anciennete_Mois]]/12</f>
        <v>3.9166666666666665</v>
      </c>
      <c r="J229">
        <f>CLIENTS_CHURN345[[#This Row],[Duree_Cumulee_Panne_Min]]/60</f>
        <v>1.7833333333333334</v>
      </c>
      <c r="K229" t="str">
        <f>IF(CLIENTS_CHURN345[[#This Row],[Type_Forfait]]="Pro Monde","B2B","B2C")</f>
        <v>B2B</v>
      </c>
      <c r="L229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10%</v>
      </c>
      <c r="M229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0.1</v>
      </c>
      <c r="N229" s="1">
        <f>CLIENTS_CHURN345[[#This Row],[Facture_Mensuelle]]*CLIENTS_CHURN345[[#This Row],[Colonne12]]</f>
        <v>3.5380000000000003</v>
      </c>
    </row>
    <row r="230" spans="1:14">
      <c r="A230" s="1" t="s">
        <v>395</v>
      </c>
      <c r="B230" t="s">
        <v>401</v>
      </c>
      <c r="C230" t="s">
        <v>79</v>
      </c>
      <c r="D230">
        <v>12</v>
      </c>
      <c r="E230" t="s">
        <v>11</v>
      </c>
      <c r="F230">
        <v>125</v>
      </c>
      <c r="G230">
        <v>36.93</v>
      </c>
      <c r="H230">
        <v>0</v>
      </c>
      <c r="I230">
        <f>CLIENTS_CHURN345[[#This Row],[Anciennete_Mois]]/12</f>
        <v>1</v>
      </c>
      <c r="J230">
        <f>CLIENTS_CHURN345[[#This Row],[Duree_Cumulee_Panne_Min]]/60</f>
        <v>2.0833333333333335</v>
      </c>
      <c r="K230" t="str">
        <f>IF(CLIENTS_CHURN345[[#This Row],[Type_Forfait]]="Pro Monde","B2B","B2C")</f>
        <v>B2B</v>
      </c>
      <c r="L230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10%</v>
      </c>
      <c r="M230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0.1</v>
      </c>
      <c r="N230" s="1">
        <f>CLIENTS_CHURN345[[#This Row],[Facture_Mensuelle]]*CLIENTS_CHURN345[[#This Row],[Colonne12]]</f>
        <v>3.6930000000000001</v>
      </c>
    </row>
    <row r="231" spans="1:14">
      <c r="A231" s="1" t="s">
        <v>705</v>
      </c>
      <c r="B231" t="s">
        <v>714</v>
      </c>
      <c r="C231" t="s">
        <v>57</v>
      </c>
      <c r="D231">
        <v>37</v>
      </c>
      <c r="E231" t="s">
        <v>11</v>
      </c>
      <c r="F231">
        <v>150</v>
      </c>
      <c r="G231">
        <v>37.979999999999997</v>
      </c>
      <c r="H231">
        <v>4</v>
      </c>
      <c r="I231">
        <f>CLIENTS_CHURN345[[#This Row],[Anciennete_Mois]]/12</f>
        <v>3.0833333333333335</v>
      </c>
      <c r="J231">
        <f>CLIENTS_CHURN345[[#This Row],[Duree_Cumulee_Panne_Min]]/60</f>
        <v>2.5</v>
      </c>
      <c r="K231" t="str">
        <f>IF(CLIENTS_CHURN345[[#This Row],[Type_Forfait]]="Pro Monde","B2B","B2C")</f>
        <v>B2B</v>
      </c>
      <c r="L231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10%</v>
      </c>
      <c r="M231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0.1</v>
      </c>
      <c r="N231" s="1">
        <f>CLIENTS_CHURN345[[#This Row],[Facture_Mensuelle]]*CLIENTS_CHURN345[[#This Row],[Colonne12]]</f>
        <v>3.798</v>
      </c>
    </row>
    <row r="232" spans="1:14">
      <c r="A232" s="1" t="s">
        <v>653</v>
      </c>
      <c r="B232" t="s">
        <v>679</v>
      </c>
      <c r="C232" t="s">
        <v>43</v>
      </c>
      <c r="D232">
        <v>89</v>
      </c>
      <c r="E232" t="s">
        <v>11</v>
      </c>
      <c r="F232">
        <v>225</v>
      </c>
      <c r="G232">
        <v>38.36</v>
      </c>
      <c r="H232">
        <v>2</v>
      </c>
      <c r="I232">
        <f>CLIENTS_CHURN345[[#This Row],[Anciennete_Mois]]/12</f>
        <v>7.416666666666667</v>
      </c>
      <c r="J232">
        <f>CLIENTS_CHURN345[[#This Row],[Duree_Cumulee_Panne_Min]]/60</f>
        <v>3.75</v>
      </c>
      <c r="K232" t="str">
        <f>IF(CLIENTS_CHURN345[[#This Row],[Type_Forfait]]="Pro Monde","B2B","B2C")</f>
        <v>B2B</v>
      </c>
      <c r="L232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10%</v>
      </c>
      <c r="M232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0.1</v>
      </c>
      <c r="N232" s="1">
        <f>CLIENTS_CHURN345[[#This Row],[Facture_Mensuelle]]*CLIENTS_CHURN345[[#This Row],[Colonne12]]</f>
        <v>3.8360000000000003</v>
      </c>
    </row>
    <row r="233" spans="1:14">
      <c r="A233" s="1" t="s">
        <v>551</v>
      </c>
      <c r="B233" t="s">
        <v>565</v>
      </c>
      <c r="C233" t="s">
        <v>76</v>
      </c>
      <c r="D233">
        <v>33</v>
      </c>
      <c r="E233" t="s">
        <v>11</v>
      </c>
      <c r="F233">
        <v>207</v>
      </c>
      <c r="G233">
        <v>38.49</v>
      </c>
      <c r="H233">
        <v>4</v>
      </c>
      <c r="I233">
        <f>CLIENTS_CHURN345[[#This Row],[Anciennete_Mois]]/12</f>
        <v>2.75</v>
      </c>
      <c r="J233">
        <f>CLIENTS_CHURN345[[#This Row],[Duree_Cumulee_Panne_Min]]/60</f>
        <v>3.45</v>
      </c>
      <c r="K233" t="str">
        <f>IF(CLIENTS_CHURN345[[#This Row],[Type_Forfait]]="Pro Monde","B2B","B2C")</f>
        <v>B2B</v>
      </c>
      <c r="L233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10%</v>
      </c>
      <c r="M233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0.1</v>
      </c>
      <c r="N233" s="1">
        <f>CLIENTS_CHURN345[[#This Row],[Facture_Mensuelle]]*CLIENTS_CHURN345[[#This Row],[Colonne12]]</f>
        <v>3.8490000000000002</v>
      </c>
    </row>
    <row r="234" spans="1:14">
      <c r="A234" s="1" t="s">
        <v>447</v>
      </c>
      <c r="B234" t="s">
        <v>476</v>
      </c>
      <c r="C234" t="s">
        <v>65</v>
      </c>
      <c r="D234">
        <v>63</v>
      </c>
      <c r="E234" t="s">
        <v>11</v>
      </c>
      <c r="F234">
        <v>121</v>
      </c>
      <c r="G234">
        <v>39.18</v>
      </c>
      <c r="H234">
        <v>2</v>
      </c>
      <c r="I234">
        <f>CLIENTS_CHURN345[[#This Row],[Anciennete_Mois]]/12</f>
        <v>5.25</v>
      </c>
      <c r="J234">
        <f>CLIENTS_CHURN345[[#This Row],[Duree_Cumulee_Panne_Min]]/60</f>
        <v>2.0166666666666666</v>
      </c>
      <c r="K234" t="str">
        <f>IF(CLIENTS_CHURN345[[#This Row],[Type_Forfait]]="Pro Monde","B2B","B2C")</f>
        <v>B2B</v>
      </c>
      <c r="L234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10%</v>
      </c>
      <c r="M234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0.1</v>
      </c>
      <c r="N234" s="1">
        <f>CLIENTS_CHURN345[[#This Row],[Facture_Mensuelle]]*CLIENTS_CHURN345[[#This Row],[Colonne12]]</f>
        <v>3.9180000000000001</v>
      </c>
    </row>
    <row r="235" spans="1:14">
      <c r="A235" s="1" t="s">
        <v>191</v>
      </c>
      <c r="B235" t="s">
        <v>212</v>
      </c>
      <c r="C235" t="s">
        <v>38</v>
      </c>
      <c r="D235">
        <v>48</v>
      </c>
      <c r="E235" t="s">
        <v>11</v>
      </c>
      <c r="F235">
        <v>76</v>
      </c>
      <c r="G235">
        <v>39.35</v>
      </c>
      <c r="H235">
        <v>2</v>
      </c>
      <c r="I235">
        <f>CLIENTS_CHURN345[[#This Row],[Anciennete_Mois]]/12</f>
        <v>4</v>
      </c>
      <c r="J235">
        <f>CLIENTS_CHURN345[[#This Row],[Duree_Cumulee_Panne_Min]]/60</f>
        <v>1.2666666666666666</v>
      </c>
      <c r="K235" t="str">
        <f>IF(CLIENTS_CHURN345[[#This Row],[Type_Forfait]]="Pro Monde","B2B","B2C")</f>
        <v>B2B</v>
      </c>
      <c r="L235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10%</v>
      </c>
      <c r="M235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0.1</v>
      </c>
      <c r="N235" s="1">
        <f>CLIENTS_CHURN345[[#This Row],[Facture_Mensuelle]]*CLIENTS_CHURN345[[#This Row],[Colonne12]]</f>
        <v>3.9350000000000005</v>
      </c>
    </row>
    <row r="236" spans="1:14">
      <c r="A236" s="1" t="s">
        <v>242</v>
      </c>
      <c r="B236" t="s">
        <v>265</v>
      </c>
      <c r="C236" t="s">
        <v>10</v>
      </c>
      <c r="D236">
        <v>6</v>
      </c>
      <c r="E236" t="s">
        <v>11</v>
      </c>
      <c r="F236">
        <v>109</v>
      </c>
      <c r="G236">
        <v>39.880000000000003</v>
      </c>
      <c r="H236">
        <v>4</v>
      </c>
      <c r="I236">
        <f>CLIENTS_CHURN345[[#This Row],[Anciennete_Mois]]/12</f>
        <v>0.5</v>
      </c>
      <c r="J236">
        <f>CLIENTS_CHURN345[[#This Row],[Duree_Cumulee_Panne_Min]]/60</f>
        <v>1.8166666666666667</v>
      </c>
      <c r="K236" t="str">
        <f>IF(CLIENTS_CHURN345[[#This Row],[Type_Forfait]]="Pro Monde","B2B","B2C")</f>
        <v>B2B</v>
      </c>
      <c r="L236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10%</v>
      </c>
      <c r="M236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0.1</v>
      </c>
      <c r="N236" s="1">
        <f>CLIENTS_CHURN345[[#This Row],[Facture_Mensuelle]]*CLIENTS_CHURN345[[#This Row],[Colonne12]]</f>
        <v>3.9880000000000004</v>
      </c>
    </row>
    <row r="237" spans="1:14">
      <c r="A237" s="1" t="s">
        <v>242</v>
      </c>
      <c r="B237" t="s">
        <v>291</v>
      </c>
      <c r="C237" t="s">
        <v>10</v>
      </c>
      <c r="D237">
        <v>87</v>
      </c>
      <c r="E237" t="s">
        <v>11</v>
      </c>
      <c r="F237">
        <v>205</v>
      </c>
      <c r="G237">
        <v>40.159999999999997</v>
      </c>
      <c r="H237">
        <v>5</v>
      </c>
      <c r="I237">
        <f>CLIENTS_CHURN345[[#This Row],[Anciennete_Mois]]/12</f>
        <v>7.25</v>
      </c>
      <c r="J237">
        <f>CLIENTS_CHURN345[[#This Row],[Duree_Cumulee_Panne_Min]]/60</f>
        <v>3.4166666666666665</v>
      </c>
      <c r="K237" t="str">
        <f>IF(CLIENTS_CHURN345[[#This Row],[Type_Forfait]]="Pro Monde","B2B","B2C")</f>
        <v>B2B</v>
      </c>
      <c r="L237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10%</v>
      </c>
      <c r="M237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0.1</v>
      </c>
      <c r="N237" s="1">
        <f>CLIENTS_CHURN345[[#This Row],[Facture_Mensuelle]]*CLIENTS_CHURN345[[#This Row],[Colonne12]]</f>
        <v>4.016</v>
      </c>
    </row>
    <row r="238" spans="1:14">
      <c r="A238" s="1" t="s">
        <v>191</v>
      </c>
      <c r="B238" t="s">
        <v>198</v>
      </c>
      <c r="C238" t="s">
        <v>71</v>
      </c>
      <c r="D238">
        <v>64</v>
      </c>
      <c r="E238" t="s">
        <v>11</v>
      </c>
      <c r="F238">
        <v>6</v>
      </c>
      <c r="G238">
        <v>40.58</v>
      </c>
      <c r="H238">
        <v>5</v>
      </c>
      <c r="I238">
        <f>CLIENTS_CHURN345[[#This Row],[Anciennete_Mois]]/12</f>
        <v>5.333333333333333</v>
      </c>
      <c r="J238">
        <f>CLIENTS_CHURN345[[#This Row],[Duree_Cumulee_Panne_Min]]/60</f>
        <v>0.1</v>
      </c>
      <c r="K238" t="str">
        <f>IF(CLIENTS_CHURN345[[#This Row],[Type_Forfait]]="Pro Monde","B2B","B2C")</f>
        <v>B2B</v>
      </c>
      <c r="L238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10%</v>
      </c>
      <c r="M238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0.1</v>
      </c>
      <c r="N238" s="1">
        <f>CLIENTS_CHURN345[[#This Row],[Facture_Mensuelle]]*CLIENTS_CHURN345[[#This Row],[Colonne12]]</f>
        <v>4.0579999999999998</v>
      </c>
    </row>
    <row r="239" spans="1:14">
      <c r="A239" s="1" t="s">
        <v>293</v>
      </c>
      <c r="B239" t="s">
        <v>295</v>
      </c>
      <c r="C239" t="s">
        <v>107</v>
      </c>
      <c r="D239">
        <v>118</v>
      </c>
      <c r="E239" t="s">
        <v>11</v>
      </c>
      <c r="F239">
        <v>132</v>
      </c>
      <c r="G239">
        <v>40.880000000000003</v>
      </c>
      <c r="H239">
        <v>4</v>
      </c>
      <c r="I239">
        <f>CLIENTS_CHURN345[[#This Row],[Anciennete_Mois]]/12</f>
        <v>9.8333333333333339</v>
      </c>
      <c r="J239">
        <f>CLIENTS_CHURN345[[#This Row],[Duree_Cumulee_Panne_Min]]/60</f>
        <v>2.2000000000000002</v>
      </c>
      <c r="K239" t="str">
        <f>IF(CLIENTS_CHURN345[[#This Row],[Type_Forfait]]="Pro Monde","B2B","B2C")</f>
        <v>B2B</v>
      </c>
      <c r="L239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10%</v>
      </c>
      <c r="M239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0.1</v>
      </c>
      <c r="N239" s="1">
        <f>CLIENTS_CHURN345[[#This Row],[Facture_Mensuelle]]*CLIENTS_CHURN345[[#This Row],[Colonne12]]</f>
        <v>4.0880000000000001</v>
      </c>
    </row>
    <row r="240" spans="1:14">
      <c r="A240" s="1" t="s">
        <v>293</v>
      </c>
      <c r="B240" t="s">
        <v>306</v>
      </c>
      <c r="C240" t="s">
        <v>107</v>
      </c>
      <c r="D240">
        <v>4</v>
      </c>
      <c r="E240" t="s">
        <v>11</v>
      </c>
      <c r="F240">
        <v>49</v>
      </c>
      <c r="G240">
        <v>41.35</v>
      </c>
      <c r="H240">
        <v>5</v>
      </c>
      <c r="I240">
        <f>CLIENTS_CHURN345[[#This Row],[Anciennete_Mois]]/12</f>
        <v>0.33333333333333331</v>
      </c>
      <c r="J240">
        <f>CLIENTS_CHURN345[[#This Row],[Duree_Cumulee_Panne_Min]]/60</f>
        <v>0.81666666666666665</v>
      </c>
      <c r="K240" t="str">
        <f>IF(CLIENTS_CHURN345[[#This Row],[Type_Forfait]]="Pro Monde","B2B","B2C")</f>
        <v>B2B</v>
      </c>
      <c r="L240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10%</v>
      </c>
      <c r="M240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0.1</v>
      </c>
      <c r="N240" s="1">
        <f>CLIENTS_CHURN345[[#This Row],[Facture_Mensuelle]]*CLIENTS_CHURN345[[#This Row],[Colonne12]]</f>
        <v>4.1350000000000007</v>
      </c>
    </row>
    <row r="241" spans="1:14">
      <c r="A241" s="1" t="s">
        <v>293</v>
      </c>
      <c r="B241" t="s">
        <v>332</v>
      </c>
      <c r="C241" t="s">
        <v>111</v>
      </c>
      <c r="D241">
        <v>120</v>
      </c>
      <c r="E241" t="s">
        <v>11</v>
      </c>
      <c r="F241">
        <v>209</v>
      </c>
      <c r="G241">
        <v>42.51</v>
      </c>
      <c r="H241">
        <v>4</v>
      </c>
      <c r="I241">
        <f>CLIENTS_CHURN345[[#This Row],[Anciennete_Mois]]/12</f>
        <v>10</v>
      </c>
      <c r="J241">
        <f>CLIENTS_CHURN345[[#This Row],[Duree_Cumulee_Panne_Min]]/60</f>
        <v>3.4833333333333334</v>
      </c>
      <c r="K241" t="str">
        <f>IF(CLIENTS_CHURN345[[#This Row],[Type_Forfait]]="Pro Monde","B2B","B2C")</f>
        <v>B2B</v>
      </c>
      <c r="L241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10%</v>
      </c>
      <c r="M241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0.1</v>
      </c>
      <c r="N241" s="1">
        <f>CLIENTS_CHURN345[[#This Row],[Facture_Mensuelle]]*CLIENTS_CHURN345[[#This Row],[Colonne12]]</f>
        <v>4.2510000000000003</v>
      </c>
    </row>
    <row r="242" spans="1:14">
      <c r="A242" s="1" t="s">
        <v>293</v>
      </c>
      <c r="B242" t="s">
        <v>298</v>
      </c>
      <c r="C242" t="s">
        <v>10</v>
      </c>
      <c r="D242">
        <v>50</v>
      </c>
      <c r="E242" t="s">
        <v>11</v>
      </c>
      <c r="F242">
        <v>108</v>
      </c>
      <c r="G242">
        <v>43.81</v>
      </c>
      <c r="H242">
        <v>5</v>
      </c>
      <c r="I242">
        <f>CLIENTS_CHURN345[[#This Row],[Anciennete_Mois]]/12</f>
        <v>4.166666666666667</v>
      </c>
      <c r="J242">
        <f>CLIENTS_CHURN345[[#This Row],[Duree_Cumulee_Panne_Min]]/60</f>
        <v>1.8</v>
      </c>
      <c r="K242" t="str">
        <f>IF(CLIENTS_CHURN345[[#This Row],[Type_Forfait]]="Pro Monde","B2B","B2C")</f>
        <v>B2B</v>
      </c>
      <c r="L242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10%</v>
      </c>
      <c r="M242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0.1</v>
      </c>
      <c r="N242" s="1">
        <f>CLIENTS_CHURN345[[#This Row],[Facture_Mensuelle]]*CLIENTS_CHURN345[[#This Row],[Colonne12]]</f>
        <v>4.3810000000000002</v>
      </c>
    </row>
    <row r="243" spans="1:14">
      <c r="A243" s="1" t="s">
        <v>8</v>
      </c>
      <c r="B243" t="s">
        <v>47</v>
      </c>
      <c r="C243" t="s">
        <v>40</v>
      </c>
      <c r="D243">
        <v>14</v>
      </c>
      <c r="E243" t="s">
        <v>11</v>
      </c>
      <c r="F243">
        <v>101</v>
      </c>
      <c r="G243">
        <v>43.99</v>
      </c>
      <c r="H243">
        <v>1</v>
      </c>
      <c r="I243">
        <f>CLIENTS_CHURN345[[#This Row],[Anciennete_Mois]]/12</f>
        <v>1.1666666666666667</v>
      </c>
      <c r="J243">
        <f>CLIENTS_CHURN345[[#This Row],[Duree_Cumulee_Panne_Min]]/60</f>
        <v>1.6833333333333333</v>
      </c>
      <c r="K243" t="str">
        <f>IF(CLIENTS_CHURN345[[#This Row],[Type_Forfait]]="Pro Monde","B2B","B2C")</f>
        <v>B2B</v>
      </c>
      <c r="L243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10%</v>
      </c>
      <c r="M243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0.1</v>
      </c>
      <c r="N243" s="1">
        <f>CLIENTS_CHURN345[[#This Row],[Facture_Mensuelle]]*CLIENTS_CHURN345[[#This Row],[Colonne12]]</f>
        <v>4.399</v>
      </c>
    </row>
    <row r="244" spans="1:14">
      <c r="A244" s="1" t="s">
        <v>756</v>
      </c>
      <c r="B244" t="s">
        <v>788</v>
      </c>
      <c r="C244" t="s">
        <v>111</v>
      </c>
      <c r="D244">
        <v>98</v>
      </c>
      <c r="E244" t="s">
        <v>11</v>
      </c>
      <c r="F244">
        <v>168</v>
      </c>
      <c r="G244">
        <v>44.14</v>
      </c>
      <c r="H244">
        <v>3</v>
      </c>
      <c r="I244">
        <f>CLIENTS_CHURN345[[#This Row],[Anciennete_Mois]]/12</f>
        <v>8.1666666666666661</v>
      </c>
      <c r="J244">
        <f>CLIENTS_CHURN345[[#This Row],[Duree_Cumulee_Panne_Min]]/60</f>
        <v>2.8</v>
      </c>
      <c r="K244" t="str">
        <f>IF(CLIENTS_CHURN345[[#This Row],[Type_Forfait]]="Pro Monde","B2B","B2C")</f>
        <v>B2B</v>
      </c>
      <c r="L244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10%</v>
      </c>
      <c r="M244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0.1</v>
      </c>
      <c r="N244" s="1">
        <f>CLIENTS_CHURN345[[#This Row],[Facture_Mensuelle]]*CLIENTS_CHURN345[[#This Row],[Colonne12]]</f>
        <v>4.4140000000000006</v>
      </c>
    </row>
    <row r="245" spans="1:14">
      <c r="A245" s="1" t="s">
        <v>395</v>
      </c>
      <c r="B245" t="s">
        <v>412</v>
      </c>
      <c r="C245" t="s">
        <v>76</v>
      </c>
      <c r="D245">
        <v>104</v>
      </c>
      <c r="E245" t="s">
        <v>11</v>
      </c>
      <c r="F245">
        <v>60</v>
      </c>
      <c r="G245">
        <v>45.51</v>
      </c>
      <c r="H245">
        <v>1</v>
      </c>
      <c r="I245">
        <f>CLIENTS_CHURN345[[#This Row],[Anciennete_Mois]]/12</f>
        <v>8.6666666666666661</v>
      </c>
      <c r="J245">
        <f>CLIENTS_CHURN345[[#This Row],[Duree_Cumulee_Panne_Min]]/60</f>
        <v>1</v>
      </c>
      <c r="K245" t="str">
        <f>IF(CLIENTS_CHURN345[[#This Row],[Type_Forfait]]="Pro Monde","B2B","B2C")</f>
        <v>B2B</v>
      </c>
      <c r="L245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10%</v>
      </c>
      <c r="M245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0.1</v>
      </c>
      <c r="N245" s="1">
        <f>CLIENTS_CHURN345[[#This Row],[Facture_Mensuelle]]*CLIENTS_CHURN345[[#This Row],[Colonne12]]</f>
        <v>4.5510000000000002</v>
      </c>
    </row>
    <row r="246" spans="1:14">
      <c r="A246" s="1" t="s">
        <v>602</v>
      </c>
      <c r="B246" t="s">
        <v>605</v>
      </c>
      <c r="C246" t="s">
        <v>36</v>
      </c>
      <c r="D246">
        <v>42</v>
      </c>
      <c r="E246" t="s">
        <v>11</v>
      </c>
      <c r="F246">
        <v>167</v>
      </c>
      <c r="G246">
        <v>45.85</v>
      </c>
      <c r="H246">
        <v>2</v>
      </c>
      <c r="I246">
        <f>CLIENTS_CHURN345[[#This Row],[Anciennete_Mois]]/12</f>
        <v>3.5</v>
      </c>
      <c r="J246">
        <f>CLIENTS_CHURN345[[#This Row],[Duree_Cumulee_Panne_Min]]/60</f>
        <v>2.7833333333333332</v>
      </c>
      <c r="K246" t="str">
        <f>IF(CLIENTS_CHURN345[[#This Row],[Type_Forfait]]="Pro Monde","B2B","B2C")</f>
        <v>B2B</v>
      </c>
      <c r="L246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10%</v>
      </c>
      <c r="M246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0.1</v>
      </c>
      <c r="N246" s="1">
        <f>CLIENTS_CHURN345[[#This Row],[Facture_Mensuelle]]*CLIENTS_CHURN345[[#This Row],[Colonne12]]</f>
        <v>4.585</v>
      </c>
    </row>
    <row r="247" spans="1:14">
      <c r="A247" s="1" t="s">
        <v>293</v>
      </c>
      <c r="B247" t="s">
        <v>294</v>
      </c>
      <c r="C247" t="s">
        <v>43</v>
      </c>
      <c r="D247">
        <v>119</v>
      </c>
      <c r="E247" t="s">
        <v>11</v>
      </c>
      <c r="F247">
        <v>344</v>
      </c>
      <c r="G247">
        <v>10.28</v>
      </c>
      <c r="H247">
        <v>0</v>
      </c>
      <c r="I247">
        <f>CLIENTS_CHURN345[[#This Row],[Anciennete_Mois]]/12</f>
        <v>9.9166666666666661</v>
      </c>
      <c r="J247">
        <f>CLIENTS_CHURN345[[#This Row],[Duree_Cumulee_Panne_Min]]/60</f>
        <v>5.7333333333333334</v>
      </c>
      <c r="K247" t="str">
        <f>IF(CLIENTS_CHURN345[[#This Row],[Type_Forfait]]="Pro Monde","B2B","B2C")</f>
        <v>B2B</v>
      </c>
      <c r="L247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247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247" s="1">
        <f>CLIENTS_CHURN345[[#This Row],[Facture_Mensuelle]]*CLIENTS_CHURN345[[#This Row],[Colonne12]]</f>
        <v>4.6259999999999994</v>
      </c>
    </row>
    <row r="248" spans="1:14">
      <c r="A248" s="1" t="s">
        <v>293</v>
      </c>
      <c r="B248" t="s">
        <v>340</v>
      </c>
      <c r="C248" t="s">
        <v>36</v>
      </c>
      <c r="D248">
        <v>33</v>
      </c>
      <c r="E248" t="s">
        <v>32</v>
      </c>
      <c r="F248">
        <v>444</v>
      </c>
      <c r="G248">
        <v>10.28</v>
      </c>
      <c r="H248">
        <v>5</v>
      </c>
      <c r="I248">
        <f>CLIENTS_CHURN345[[#This Row],[Anciennete_Mois]]/12</f>
        <v>2.75</v>
      </c>
      <c r="J248">
        <f>CLIENTS_CHURN345[[#This Row],[Duree_Cumulee_Panne_Min]]/60</f>
        <v>7.4</v>
      </c>
      <c r="K248" t="str">
        <f>IF(CLIENTS_CHURN345[[#This Row],[Type_Forfait]]="Pro Monde","B2B","B2C")</f>
        <v>B2C</v>
      </c>
      <c r="L248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248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248" s="1">
        <f>CLIENTS_CHURN345[[#This Row],[Facture_Mensuelle]]*CLIENTS_CHURN345[[#This Row],[Colonne12]]</f>
        <v>4.6259999999999994</v>
      </c>
    </row>
    <row r="249" spans="1:14">
      <c r="A249" s="1" t="s">
        <v>551</v>
      </c>
      <c r="B249" t="s">
        <v>560</v>
      </c>
      <c r="C249" t="s">
        <v>111</v>
      </c>
      <c r="D249">
        <v>16</v>
      </c>
      <c r="E249" t="s">
        <v>11</v>
      </c>
      <c r="F249">
        <v>214</v>
      </c>
      <c r="G249">
        <v>46.57</v>
      </c>
      <c r="H249">
        <v>5</v>
      </c>
      <c r="I249">
        <f>CLIENTS_CHURN345[[#This Row],[Anciennete_Mois]]/12</f>
        <v>1.3333333333333333</v>
      </c>
      <c r="J249">
        <f>CLIENTS_CHURN345[[#This Row],[Duree_Cumulee_Panne_Min]]/60</f>
        <v>3.5666666666666669</v>
      </c>
      <c r="K249" t="str">
        <f>IF(CLIENTS_CHURN345[[#This Row],[Type_Forfait]]="Pro Monde","B2B","B2C")</f>
        <v>B2B</v>
      </c>
      <c r="L249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10%</v>
      </c>
      <c r="M249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0.1</v>
      </c>
      <c r="N249" s="1">
        <f>CLIENTS_CHURN345[[#This Row],[Facture_Mensuelle]]*CLIENTS_CHURN345[[#This Row],[Colonne12]]</f>
        <v>4.657</v>
      </c>
    </row>
    <row r="250" spans="1:14">
      <c r="A250" s="1" t="s">
        <v>191</v>
      </c>
      <c r="B250" t="s">
        <v>216</v>
      </c>
      <c r="C250" t="s">
        <v>107</v>
      </c>
      <c r="D250">
        <v>18</v>
      </c>
      <c r="E250" t="s">
        <v>11</v>
      </c>
      <c r="F250">
        <v>71</v>
      </c>
      <c r="G250">
        <v>46.98</v>
      </c>
      <c r="H250">
        <v>2</v>
      </c>
      <c r="I250">
        <f>CLIENTS_CHURN345[[#This Row],[Anciennete_Mois]]/12</f>
        <v>1.5</v>
      </c>
      <c r="J250">
        <f>CLIENTS_CHURN345[[#This Row],[Duree_Cumulee_Panne_Min]]/60</f>
        <v>1.1833333333333333</v>
      </c>
      <c r="K250" t="str">
        <f>IF(CLIENTS_CHURN345[[#This Row],[Type_Forfait]]="Pro Monde","B2B","B2C")</f>
        <v>B2B</v>
      </c>
      <c r="L250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10%</v>
      </c>
      <c r="M250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0.1</v>
      </c>
      <c r="N250" s="1">
        <f>CLIENTS_CHURN345[[#This Row],[Facture_Mensuelle]]*CLIENTS_CHURN345[[#This Row],[Colonne12]]</f>
        <v>4.6979999999999995</v>
      </c>
    </row>
    <row r="251" spans="1:14">
      <c r="A251" s="1" t="s">
        <v>395</v>
      </c>
      <c r="B251" t="s">
        <v>430</v>
      </c>
      <c r="C251" t="s">
        <v>57</v>
      </c>
      <c r="D251">
        <v>119</v>
      </c>
      <c r="E251" t="s">
        <v>11</v>
      </c>
      <c r="F251">
        <v>451</v>
      </c>
      <c r="G251">
        <v>10.46</v>
      </c>
      <c r="H251">
        <v>5</v>
      </c>
      <c r="I251">
        <f>CLIENTS_CHURN345[[#This Row],[Anciennete_Mois]]/12</f>
        <v>9.9166666666666661</v>
      </c>
      <c r="J251">
        <f>CLIENTS_CHURN345[[#This Row],[Duree_Cumulee_Panne_Min]]/60</f>
        <v>7.5166666666666666</v>
      </c>
      <c r="K251" t="str">
        <f>IF(CLIENTS_CHURN345[[#This Row],[Type_Forfait]]="Pro Monde","B2B","B2C")</f>
        <v>B2B</v>
      </c>
      <c r="L251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251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251" s="1">
        <f>CLIENTS_CHURN345[[#This Row],[Facture_Mensuelle]]*CLIENTS_CHURN345[[#This Row],[Colonne12]]</f>
        <v>4.7070000000000007</v>
      </c>
    </row>
    <row r="252" spans="1:14">
      <c r="A252" s="1" t="s">
        <v>8</v>
      </c>
      <c r="B252" t="s">
        <v>80</v>
      </c>
      <c r="C252" t="s">
        <v>43</v>
      </c>
      <c r="D252">
        <v>59</v>
      </c>
      <c r="E252" t="s">
        <v>21</v>
      </c>
      <c r="F252">
        <v>454</v>
      </c>
      <c r="G252">
        <v>10.47</v>
      </c>
      <c r="H252">
        <v>5</v>
      </c>
      <c r="I252">
        <f>CLIENTS_CHURN345[[#This Row],[Anciennete_Mois]]/12</f>
        <v>4.916666666666667</v>
      </c>
      <c r="J252">
        <f>CLIENTS_CHURN345[[#This Row],[Duree_Cumulee_Panne_Min]]/60</f>
        <v>7.5666666666666664</v>
      </c>
      <c r="K252" t="str">
        <f>IF(CLIENTS_CHURN345[[#This Row],[Type_Forfait]]="Pro Monde","B2B","B2C")</f>
        <v>B2C</v>
      </c>
      <c r="L252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252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252" s="1">
        <f>CLIENTS_CHURN345[[#This Row],[Facture_Mensuelle]]*CLIENTS_CHURN345[[#This Row],[Colonne12]]</f>
        <v>4.7115</v>
      </c>
    </row>
    <row r="253" spans="1:14">
      <c r="A253" s="1" t="s">
        <v>705</v>
      </c>
      <c r="B253" t="s">
        <v>749</v>
      </c>
      <c r="C253" t="s">
        <v>79</v>
      </c>
      <c r="D253">
        <v>103</v>
      </c>
      <c r="E253" t="s">
        <v>32</v>
      </c>
      <c r="F253">
        <v>386</v>
      </c>
      <c r="G253">
        <v>10.58</v>
      </c>
      <c r="H253">
        <v>0</v>
      </c>
      <c r="I253">
        <f>CLIENTS_CHURN345[[#This Row],[Anciennete_Mois]]/12</f>
        <v>8.5833333333333339</v>
      </c>
      <c r="J253">
        <f>CLIENTS_CHURN345[[#This Row],[Duree_Cumulee_Panne_Min]]/60</f>
        <v>6.4333333333333336</v>
      </c>
      <c r="K253" t="str">
        <f>IF(CLIENTS_CHURN345[[#This Row],[Type_Forfait]]="Pro Monde","B2B","B2C")</f>
        <v>B2C</v>
      </c>
      <c r="L253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253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253" s="1">
        <f>CLIENTS_CHURN345[[#This Row],[Facture_Mensuelle]]*CLIENTS_CHURN345[[#This Row],[Colonne12]]</f>
        <v>4.7610000000000001</v>
      </c>
    </row>
    <row r="254" spans="1:14">
      <c r="A254" s="1" t="s">
        <v>602</v>
      </c>
      <c r="B254" t="s">
        <v>604</v>
      </c>
      <c r="C254" t="s">
        <v>76</v>
      </c>
      <c r="D254">
        <v>12</v>
      </c>
      <c r="E254" t="s">
        <v>11</v>
      </c>
      <c r="F254">
        <v>42</v>
      </c>
      <c r="G254">
        <v>48.64</v>
      </c>
      <c r="H254">
        <v>0</v>
      </c>
      <c r="I254">
        <f>CLIENTS_CHURN345[[#This Row],[Anciennete_Mois]]/12</f>
        <v>1</v>
      </c>
      <c r="J254">
        <f>CLIENTS_CHURN345[[#This Row],[Duree_Cumulee_Panne_Min]]/60</f>
        <v>0.7</v>
      </c>
      <c r="K254" t="str">
        <f>IF(CLIENTS_CHURN345[[#This Row],[Type_Forfait]]="Pro Monde","B2B","B2C")</f>
        <v>B2B</v>
      </c>
      <c r="L254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10%</v>
      </c>
      <c r="M254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0.1</v>
      </c>
      <c r="N254" s="1">
        <f>CLIENTS_CHURN345[[#This Row],[Facture_Mensuelle]]*CLIENTS_CHURN345[[#This Row],[Colonne12]]</f>
        <v>4.8640000000000008</v>
      </c>
    </row>
    <row r="255" spans="1:14">
      <c r="A255" s="1" t="s">
        <v>191</v>
      </c>
      <c r="B255" t="s">
        <v>239</v>
      </c>
      <c r="C255" t="s">
        <v>26</v>
      </c>
      <c r="D255">
        <v>97</v>
      </c>
      <c r="E255" t="s">
        <v>32</v>
      </c>
      <c r="F255">
        <v>296</v>
      </c>
      <c r="G255">
        <v>10.87</v>
      </c>
      <c r="H255">
        <v>4</v>
      </c>
      <c r="I255">
        <f>CLIENTS_CHURN345[[#This Row],[Anciennete_Mois]]/12</f>
        <v>8.0833333333333339</v>
      </c>
      <c r="J255">
        <f>CLIENTS_CHURN345[[#This Row],[Duree_Cumulee_Panne_Min]]/60</f>
        <v>4.9333333333333336</v>
      </c>
      <c r="K255" t="str">
        <f>IF(CLIENTS_CHURN345[[#This Row],[Type_Forfait]]="Pro Monde","B2B","B2C")</f>
        <v>B2C</v>
      </c>
      <c r="L255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255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255" s="1">
        <f>CLIENTS_CHURN345[[#This Row],[Facture_Mensuelle]]*CLIENTS_CHURN345[[#This Row],[Colonne12]]</f>
        <v>4.8914999999999997</v>
      </c>
    </row>
    <row r="256" spans="1:14">
      <c r="A256" s="1" t="s">
        <v>551</v>
      </c>
      <c r="B256" t="s">
        <v>552</v>
      </c>
      <c r="C256" t="s">
        <v>61</v>
      </c>
      <c r="D256">
        <v>74</v>
      </c>
      <c r="E256" t="s">
        <v>14</v>
      </c>
      <c r="F256">
        <v>388</v>
      </c>
      <c r="G256">
        <v>10.89</v>
      </c>
      <c r="H256">
        <v>4</v>
      </c>
      <c r="I256">
        <f>CLIENTS_CHURN345[[#This Row],[Anciennete_Mois]]/12</f>
        <v>6.166666666666667</v>
      </c>
      <c r="J256">
        <f>CLIENTS_CHURN345[[#This Row],[Duree_Cumulee_Panne_Min]]/60</f>
        <v>6.4666666666666668</v>
      </c>
      <c r="K256" t="str">
        <f>IF(CLIENTS_CHURN345[[#This Row],[Type_Forfait]]="Pro Monde","B2B","B2C")</f>
        <v>B2C</v>
      </c>
      <c r="L256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256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256" s="1">
        <f>CLIENTS_CHURN345[[#This Row],[Facture_Mensuelle]]*CLIENTS_CHURN345[[#This Row],[Colonne12]]</f>
        <v>4.9005000000000001</v>
      </c>
    </row>
    <row r="257" spans="1:14">
      <c r="A257" s="1" t="s">
        <v>395</v>
      </c>
      <c r="B257" t="s">
        <v>438</v>
      </c>
      <c r="C257" t="s">
        <v>63</v>
      </c>
      <c r="D257">
        <v>22</v>
      </c>
      <c r="E257" t="s">
        <v>11</v>
      </c>
      <c r="F257">
        <v>127</v>
      </c>
      <c r="G257">
        <v>49.06</v>
      </c>
      <c r="H257">
        <v>2</v>
      </c>
      <c r="I257">
        <f>CLIENTS_CHURN345[[#This Row],[Anciennete_Mois]]/12</f>
        <v>1.8333333333333333</v>
      </c>
      <c r="J257">
        <f>CLIENTS_CHURN345[[#This Row],[Duree_Cumulee_Panne_Min]]/60</f>
        <v>2.1166666666666667</v>
      </c>
      <c r="K257" t="str">
        <f>IF(CLIENTS_CHURN345[[#This Row],[Type_Forfait]]="Pro Monde","B2B","B2C")</f>
        <v>B2B</v>
      </c>
      <c r="L257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10%</v>
      </c>
      <c r="M257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0.1</v>
      </c>
      <c r="N257" s="1">
        <f>CLIENTS_CHURN345[[#This Row],[Facture_Mensuelle]]*CLIENTS_CHURN345[[#This Row],[Colonne12]]</f>
        <v>4.9060000000000006</v>
      </c>
    </row>
    <row r="258" spans="1:14">
      <c r="A258" s="1" t="s">
        <v>653</v>
      </c>
      <c r="B258" t="s">
        <v>656</v>
      </c>
      <c r="C258" t="s">
        <v>38</v>
      </c>
      <c r="D258">
        <v>35</v>
      </c>
      <c r="E258" t="s">
        <v>32</v>
      </c>
      <c r="F258">
        <v>332</v>
      </c>
      <c r="G258">
        <v>11.15</v>
      </c>
      <c r="H258">
        <v>0</v>
      </c>
      <c r="I258">
        <f>CLIENTS_CHURN345[[#This Row],[Anciennete_Mois]]/12</f>
        <v>2.9166666666666665</v>
      </c>
      <c r="J258">
        <f>CLIENTS_CHURN345[[#This Row],[Duree_Cumulee_Panne_Min]]/60</f>
        <v>5.5333333333333332</v>
      </c>
      <c r="K258" t="str">
        <f>IF(CLIENTS_CHURN345[[#This Row],[Type_Forfait]]="Pro Monde","B2B","B2C")</f>
        <v>B2C</v>
      </c>
      <c r="L258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258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258" s="1">
        <f>CLIENTS_CHURN345[[#This Row],[Facture_Mensuelle]]*CLIENTS_CHURN345[[#This Row],[Colonne12]]</f>
        <v>5.0175000000000001</v>
      </c>
    </row>
    <row r="259" spans="1:14">
      <c r="A259" s="1" t="s">
        <v>551</v>
      </c>
      <c r="B259" t="s">
        <v>582</v>
      </c>
      <c r="C259" t="s">
        <v>40</v>
      </c>
      <c r="D259">
        <v>41</v>
      </c>
      <c r="E259" t="s">
        <v>32</v>
      </c>
      <c r="F259">
        <v>178</v>
      </c>
      <c r="G259">
        <v>11.29</v>
      </c>
      <c r="H259">
        <v>4</v>
      </c>
      <c r="I259">
        <f>CLIENTS_CHURN345[[#This Row],[Anciennete_Mois]]/12</f>
        <v>3.4166666666666665</v>
      </c>
      <c r="J259">
        <f>CLIENTS_CHURN345[[#This Row],[Duree_Cumulee_Panne_Min]]/60</f>
        <v>2.9666666666666668</v>
      </c>
      <c r="K259" t="str">
        <f>IF(CLIENTS_CHURN345[[#This Row],[Type_Forfait]]="Pro Monde","B2B","B2C")</f>
        <v>B2C</v>
      </c>
      <c r="L259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259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259" s="1">
        <f>CLIENTS_CHURN345[[#This Row],[Facture_Mensuelle]]*CLIENTS_CHURN345[[#This Row],[Colonne12]]</f>
        <v>5.0804999999999998</v>
      </c>
    </row>
    <row r="260" spans="1:14">
      <c r="A260" s="1" t="s">
        <v>551</v>
      </c>
      <c r="B260" t="s">
        <v>564</v>
      </c>
      <c r="C260" t="s">
        <v>20</v>
      </c>
      <c r="D260">
        <v>113</v>
      </c>
      <c r="E260" t="s">
        <v>11</v>
      </c>
      <c r="F260">
        <v>152</v>
      </c>
      <c r="G260">
        <v>51.28</v>
      </c>
      <c r="H260">
        <v>4</v>
      </c>
      <c r="I260">
        <f>CLIENTS_CHURN345[[#This Row],[Anciennete_Mois]]/12</f>
        <v>9.4166666666666661</v>
      </c>
      <c r="J260">
        <f>CLIENTS_CHURN345[[#This Row],[Duree_Cumulee_Panne_Min]]/60</f>
        <v>2.5333333333333332</v>
      </c>
      <c r="K260" t="str">
        <f>IF(CLIENTS_CHURN345[[#This Row],[Type_Forfait]]="Pro Monde","B2B","B2C")</f>
        <v>B2B</v>
      </c>
      <c r="L260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10%</v>
      </c>
      <c r="M260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0.1</v>
      </c>
      <c r="N260" s="1">
        <f>CLIENTS_CHURN345[[#This Row],[Facture_Mensuelle]]*CLIENTS_CHURN345[[#This Row],[Colonne12]]</f>
        <v>5.1280000000000001</v>
      </c>
    </row>
    <row r="261" spans="1:14">
      <c r="A261" s="1" t="s">
        <v>140</v>
      </c>
      <c r="B261" t="s">
        <v>177</v>
      </c>
      <c r="C261" t="s">
        <v>38</v>
      </c>
      <c r="D261">
        <v>83</v>
      </c>
      <c r="E261" t="s">
        <v>11</v>
      </c>
      <c r="F261">
        <v>219</v>
      </c>
      <c r="G261">
        <v>52.26</v>
      </c>
      <c r="H261">
        <v>1</v>
      </c>
      <c r="I261">
        <f>CLIENTS_CHURN345[[#This Row],[Anciennete_Mois]]/12</f>
        <v>6.916666666666667</v>
      </c>
      <c r="J261">
        <f>CLIENTS_CHURN345[[#This Row],[Duree_Cumulee_Panne_Min]]/60</f>
        <v>3.65</v>
      </c>
      <c r="K261" t="str">
        <f>IF(CLIENTS_CHURN345[[#This Row],[Type_Forfait]]="Pro Monde","B2B","B2C")</f>
        <v>B2B</v>
      </c>
      <c r="L261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10%</v>
      </c>
      <c r="M261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0.1</v>
      </c>
      <c r="N261" s="1">
        <f>CLIENTS_CHURN345[[#This Row],[Facture_Mensuelle]]*CLIENTS_CHURN345[[#This Row],[Colonne12]]</f>
        <v>5.226</v>
      </c>
    </row>
    <row r="262" spans="1:14">
      <c r="A262" s="1" t="s">
        <v>756</v>
      </c>
      <c r="B262" t="s">
        <v>779</v>
      </c>
      <c r="C262" t="s">
        <v>61</v>
      </c>
      <c r="D262">
        <v>78</v>
      </c>
      <c r="E262" t="s">
        <v>32</v>
      </c>
      <c r="F262">
        <v>387</v>
      </c>
      <c r="G262">
        <v>11.63</v>
      </c>
      <c r="H262">
        <v>2</v>
      </c>
      <c r="I262">
        <f>CLIENTS_CHURN345[[#This Row],[Anciennete_Mois]]/12</f>
        <v>6.5</v>
      </c>
      <c r="J262">
        <f>CLIENTS_CHURN345[[#This Row],[Duree_Cumulee_Panne_Min]]/60</f>
        <v>6.45</v>
      </c>
      <c r="K262" t="str">
        <f>IF(CLIENTS_CHURN345[[#This Row],[Type_Forfait]]="Pro Monde","B2B","B2C")</f>
        <v>B2C</v>
      </c>
      <c r="L262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262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262" s="1">
        <f>CLIENTS_CHURN345[[#This Row],[Facture_Mensuelle]]*CLIENTS_CHURN345[[#This Row],[Colonne12]]</f>
        <v>5.2335000000000003</v>
      </c>
    </row>
    <row r="263" spans="1:14">
      <c r="A263" s="1" t="s">
        <v>653</v>
      </c>
      <c r="B263" t="s">
        <v>698</v>
      </c>
      <c r="C263" t="s">
        <v>95</v>
      </c>
      <c r="D263">
        <v>90</v>
      </c>
      <c r="E263" t="s">
        <v>11</v>
      </c>
      <c r="F263">
        <v>195</v>
      </c>
      <c r="G263">
        <v>52.71</v>
      </c>
      <c r="H263">
        <v>2</v>
      </c>
      <c r="I263">
        <f>CLIENTS_CHURN345[[#This Row],[Anciennete_Mois]]/12</f>
        <v>7.5</v>
      </c>
      <c r="J263">
        <f>CLIENTS_CHURN345[[#This Row],[Duree_Cumulee_Panne_Min]]/60</f>
        <v>3.25</v>
      </c>
      <c r="K263" t="str">
        <f>IF(CLIENTS_CHURN345[[#This Row],[Type_Forfait]]="Pro Monde","B2B","B2C")</f>
        <v>B2B</v>
      </c>
      <c r="L263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10%</v>
      </c>
      <c r="M263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0.1</v>
      </c>
      <c r="N263" s="1">
        <f>CLIENTS_CHURN345[[#This Row],[Facture_Mensuelle]]*CLIENTS_CHURN345[[#This Row],[Colonne12]]</f>
        <v>5.2710000000000008</v>
      </c>
    </row>
    <row r="264" spans="1:14">
      <c r="A264" s="1" t="s">
        <v>705</v>
      </c>
      <c r="B264" t="s">
        <v>719</v>
      </c>
      <c r="C264" t="s">
        <v>29</v>
      </c>
      <c r="D264">
        <v>20</v>
      </c>
      <c r="E264" t="s">
        <v>11</v>
      </c>
      <c r="F264">
        <v>31</v>
      </c>
      <c r="G264">
        <v>52.85</v>
      </c>
      <c r="H264">
        <v>2</v>
      </c>
      <c r="I264">
        <f>CLIENTS_CHURN345[[#This Row],[Anciennete_Mois]]/12</f>
        <v>1.6666666666666667</v>
      </c>
      <c r="J264">
        <f>CLIENTS_CHURN345[[#This Row],[Duree_Cumulee_Panne_Min]]/60</f>
        <v>0.51666666666666672</v>
      </c>
      <c r="K264" t="str">
        <f>IF(CLIENTS_CHURN345[[#This Row],[Type_Forfait]]="Pro Monde","B2B","B2C")</f>
        <v>B2B</v>
      </c>
      <c r="L264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10%</v>
      </c>
      <c r="M264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0.1</v>
      </c>
      <c r="N264" s="1">
        <f>CLIENTS_CHURN345[[#This Row],[Facture_Mensuelle]]*CLIENTS_CHURN345[[#This Row],[Colonne12]]</f>
        <v>5.2850000000000001</v>
      </c>
    </row>
    <row r="265" spans="1:14">
      <c r="A265" s="1" t="s">
        <v>395</v>
      </c>
      <c r="B265" t="s">
        <v>444</v>
      </c>
      <c r="C265" t="s">
        <v>31</v>
      </c>
      <c r="D265">
        <v>49</v>
      </c>
      <c r="E265" t="s">
        <v>11</v>
      </c>
      <c r="F265">
        <v>229</v>
      </c>
      <c r="G265">
        <v>53.94</v>
      </c>
      <c r="H265">
        <v>5</v>
      </c>
      <c r="I265">
        <f>CLIENTS_CHURN345[[#This Row],[Anciennete_Mois]]/12</f>
        <v>4.083333333333333</v>
      </c>
      <c r="J265">
        <f>CLIENTS_CHURN345[[#This Row],[Duree_Cumulee_Panne_Min]]/60</f>
        <v>3.8166666666666669</v>
      </c>
      <c r="K265" t="str">
        <f>IF(CLIENTS_CHURN345[[#This Row],[Type_Forfait]]="Pro Monde","B2B","B2C")</f>
        <v>B2B</v>
      </c>
      <c r="L265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10%</v>
      </c>
      <c r="M265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0.1</v>
      </c>
      <c r="N265" s="1">
        <f>CLIENTS_CHURN345[[#This Row],[Facture_Mensuelle]]*CLIENTS_CHURN345[[#This Row],[Colonne12]]</f>
        <v>5.3940000000000001</v>
      </c>
    </row>
    <row r="266" spans="1:14">
      <c r="A266" s="1" t="s">
        <v>344</v>
      </c>
      <c r="B266" t="s">
        <v>371</v>
      </c>
      <c r="C266" t="s">
        <v>29</v>
      </c>
      <c r="D266">
        <v>29</v>
      </c>
      <c r="E266" t="s">
        <v>11</v>
      </c>
      <c r="F266">
        <v>203</v>
      </c>
      <c r="G266">
        <v>53.97</v>
      </c>
      <c r="H266">
        <v>5</v>
      </c>
      <c r="I266">
        <f>CLIENTS_CHURN345[[#This Row],[Anciennete_Mois]]/12</f>
        <v>2.4166666666666665</v>
      </c>
      <c r="J266">
        <f>CLIENTS_CHURN345[[#This Row],[Duree_Cumulee_Panne_Min]]/60</f>
        <v>3.3833333333333333</v>
      </c>
      <c r="K266" t="str">
        <f>IF(CLIENTS_CHURN345[[#This Row],[Type_Forfait]]="Pro Monde","B2B","B2C")</f>
        <v>B2B</v>
      </c>
      <c r="L266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10%</v>
      </c>
      <c r="M266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0.1</v>
      </c>
      <c r="N266" s="1">
        <f>CLIENTS_CHURN345[[#This Row],[Facture_Mensuelle]]*CLIENTS_CHURN345[[#This Row],[Colonne12]]</f>
        <v>5.3970000000000002</v>
      </c>
    </row>
    <row r="267" spans="1:14">
      <c r="A267" s="1" t="s">
        <v>191</v>
      </c>
      <c r="B267" t="s">
        <v>218</v>
      </c>
      <c r="C267" t="s">
        <v>20</v>
      </c>
      <c r="D267">
        <v>68</v>
      </c>
      <c r="E267" t="s">
        <v>32</v>
      </c>
      <c r="F267">
        <v>443</v>
      </c>
      <c r="G267">
        <v>12.09</v>
      </c>
      <c r="H267">
        <v>3</v>
      </c>
      <c r="I267">
        <f>CLIENTS_CHURN345[[#This Row],[Anciennete_Mois]]/12</f>
        <v>5.666666666666667</v>
      </c>
      <c r="J267">
        <f>CLIENTS_CHURN345[[#This Row],[Duree_Cumulee_Panne_Min]]/60</f>
        <v>7.3833333333333337</v>
      </c>
      <c r="K267" t="str">
        <f>IF(CLIENTS_CHURN345[[#This Row],[Type_Forfait]]="Pro Monde","B2B","B2C")</f>
        <v>B2C</v>
      </c>
      <c r="L267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267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267" s="1">
        <f>CLIENTS_CHURN345[[#This Row],[Facture_Mensuelle]]*CLIENTS_CHURN345[[#This Row],[Colonne12]]</f>
        <v>5.4405000000000001</v>
      </c>
    </row>
    <row r="268" spans="1:14">
      <c r="A268" s="1" t="s">
        <v>653</v>
      </c>
      <c r="B268" t="s">
        <v>675</v>
      </c>
      <c r="C268" t="s">
        <v>65</v>
      </c>
      <c r="D268">
        <v>14</v>
      </c>
      <c r="E268" t="s">
        <v>11</v>
      </c>
      <c r="F268">
        <v>236</v>
      </c>
      <c r="G268">
        <v>54.43</v>
      </c>
      <c r="H268">
        <v>3</v>
      </c>
      <c r="I268">
        <f>CLIENTS_CHURN345[[#This Row],[Anciennete_Mois]]/12</f>
        <v>1.1666666666666667</v>
      </c>
      <c r="J268">
        <f>CLIENTS_CHURN345[[#This Row],[Duree_Cumulee_Panne_Min]]/60</f>
        <v>3.9333333333333331</v>
      </c>
      <c r="K268" t="str">
        <f>IF(CLIENTS_CHURN345[[#This Row],[Type_Forfait]]="Pro Monde","B2B","B2C")</f>
        <v>B2B</v>
      </c>
      <c r="L268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10%</v>
      </c>
      <c r="M268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0.1</v>
      </c>
      <c r="N268" s="1">
        <f>CLIENTS_CHURN345[[#This Row],[Facture_Mensuelle]]*CLIENTS_CHURN345[[#This Row],[Colonne12]]</f>
        <v>5.4430000000000005</v>
      </c>
    </row>
    <row r="269" spans="1:14">
      <c r="A269" s="1" t="s">
        <v>8</v>
      </c>
      <c r="B269" t="s">
        <v>74</v>
      </c>
      <c r="C269" t="s">
        <v>10</v>
      </c>
      <c r="D269">
        <v>113</v>
      </c>
      <c r="E269" t="s">
        <v>21</v>
      </c>
      <c r="F269">
        <v>380</v>
      </c>
      <c r="G269">
        <v>12.11</v>
      </c>
      <c r="H269">
        <v>0</v>
      </c>
      <c r="I269">
        <f>CLIENTS_CHURN345[[#This Row],[Anciennete_Mois]]/12</f>
        <v>9.4166666666666661</v>
      </c>
      <c r="J269">
        <f>CLIENTS_CHURN345[[#This Row],[Duree_Cumulee_Panne_Min]]/60</f>
        <v>6.333333333333333</v>
      </c>
      <c r="K269" t="str">
        <f>IF(CLIENTS_CHURN345[[#This Row],[Type_Forfait]]="Pro Monde","B2B","B2C")</f>
        <v>B2C</v>
      </c>
      <c r="L269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269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269" s="1">
        <f>CLIENTS_CHURN345[[#This Row],[Facture_Mensuelle]]*CLIENTS_CHURN345[[#This Row],[Colonne12]]</f>
        <v>5.4494999999999996</v>
      </c>
    </row>
    <row r="270" spans="1:14">
      <c r="A270" s="1" t="s">
        <v>242</v>
      </c>
      <c r="B270" t="s">
        <v>280</v>
      </c>
      <c r="C270" t="s">
        <v>18</v>
      </c>
      <c r="D270">
        <v>36</v>
      </c>
      <c r="E270" t="s">
        <v>14</v>
      </c>
      <c r="F270">
        <v>491</v>
      </c>
      <c r="G270">
        <v>12.13</v>
      </c>
      <c r="H270">
        <v>4</v>
      </c>
      <c r="I270">
        <f>CLIENTS_CHURN345[[#This Row],[Anciennete_Mois]]/12</f>
        <v>3</v>
      </c>
      <c r="J270">
        <f>CLIENTS_CHURN345[[#This Row],[Duree_Cumulee_Panne_Min]]/60</f>
        <v>8.1833333333333336</v>
      </c>
      <c r="K270" t="str">
        <f>IF(CLIENTS_CHURN345[[#This Row],[Type_Forfait]]="Pro Monde","B2B","B2C")</f>
        <v>B2C</v>
      </c>
      <c r="L270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270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270" s="1">
        <f>CLIENTS_CHURN345[[#This Row],[Facture_Mensuelle]]*CLIENTS_CHURN345[[#This Row],[Colonne12]]</f>
        <v>5.4585000000000008</v>
      </c>
    </row>
    <row r="271" spans="1:14">
      <c r="A271" s="1" t="s">
        <v>447</v>
      </c>
      <c r="B271" t="s">
        <v>475</v>
      </c>
      <c r="C271" t="s">
        <v>57</v>
      </c>
      <c r="D271">
        <v>99</v>
      </c>
      <c r="E271" t="s">
        <v>11</v>
      </c>
      <c r="F271">
        <v>138</v>
      </c>
      <c r="G271">
        <v>54.64</v>
      </c>
      <c r="H271">
        <v>5</v>
      </c>
      <c r="I271">
        <f>CLIENTS_CHURN345[[#This Row],[Anciennete_Mois]]/12</f>
        <v>8.25</v>
      </c>
      <c r="J271">
        <f>CLIENTS_CHURN345[[#This Row],[Duree_Cumulee_Panne_Min]]/60</f>
        <v>2.2999999999999998</v>
      </c>
      <c r="K271" t="str">
        <f>IF(CLIENTS_CHURN345[[#This Row],[Type_Forfait]]="Pro Monde","B2B","B2C")</f>
        <v>B2B</v>
      </c>
      <c r="L271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10%</v>
      </c>
      <c r="M271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0.1</v>
      </c>
      <c r="N271" s="1">
        <f>CLIENTS_CHURN345[[#This Row],[Facture_Mensuelle]]*CLIENTS_CHURN345[[#This Row],[Colonne12]]</f>
        <v>5.4640000000000004</v>
      </c>
    </row>
    <row r="272" spans="1:14">
      <c r="A272" s="1" t="s">
        <v>653</v>
      </c>
      <c r="B272" t="s">
        <v>668</v>
      </c>
      <c r="C272" t="s">
        <v>20</v>
      </c>
      <c r="D272">
        <v>15</v>
      </c>
      <c r="E272" t="s">
        <v>11</v>
      </c>
      <c r="F272">
        <v>203</v>
      </c>
      <c r="G272">
        <v>55.29</v>
      </c>
      <c r="H272">
        <v>2</v>
      </c>
      <c r="I272">
        <f>CLIENTS_CHURN345[[#This Row],[Anciennete_Mois]]/12</f>
        <v>1.25</v>
      </c>
      <c r="J272">
        <f>CLIENTS_CHURN345[[#This Row],[Duree_Cumulee_Panne_Min]]/60</f>
        <v>3.3833333333333333</v>
      </c>
      <c r="K272" t="str">
        <f>IF(CLIENTS_CHURN345[[#This Row],[Type_Forfait]]="Pro Monde","B2B","B2C")</f>
        <v>B2B</v>
      </c>
      <c r="L272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10%</v>
      </c>
      <c r="M272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0.1</v>
      </c>
      <c r="N272" s="1">
        <f>CLIENTS_CHURN345[[#This Row],[Facture_Mensuelle]]*CLIENTS_CHURN345[[#This Row],[Colonne12]]</f>
        <v>5.5289999999999999</v>
      </c>
    </row>
    <row r="273" spans="1:14">
      <c r="A273" s="1" t="s">
        <v>499</v>
      </c>
      <c r="B273" t="s">
        <v>510</v>
      </c>
      <c r="C273" t="s">
        <v>18</v>
      </c>
      <c r="D273">
        <v>102</v>
      </c>
      <c r="E273" t="s">
        <v>21</v>
      </c>
      <c r="F273">
        <v>240</v>
      </c>
      <c r="G273">
        <v>12.52</v>
      </c>
      <c r="H273">
        <v>2</v>
      </c>
      <c r="I273">
        <f>CLIENTS_CHURN345[[#This Row],[Anciennete_Mois]]/12</f>
        <v>8.5</v>
      </c>
      <c r="J273">
        <f>CLIENTS_CHURN345[[#This Row],[Duree_Cumulee_Panne_Min]]/60</f>
        <v>4</v>
      </c>
      <c r="K273" t="str">
        <f>IF(CLIENTS_CHURN345[[#This Row],[Type_Forfait]]="Pro Monde","B2B","B2C")</f>
        <v>B2C</v>
      </c>
      <c r="L273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273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273" s="1">
        <f>CLIENTS_CHURN345[[#This Row],[Facture_Mensuelle]]*CLIENTS_CHURN345[[#This Row],[Colonne12]]</f>
        <v>5.6340000000000003</v>
      </c>
    </row>
    <row r="274" spans="1:14">
      <c r="A274" s="1" t="s">
        <v>499</v>
      </c>
      <c r="B274" t="s">
        <v>520</v>
      </c>
      <c r="C274" t="s">
        <v>24</v>
      </c>
      <c r="D274">
        <v>64</v>
      </c>
      <c r="E274" t="s">
        <v>11</v>
      </c>
      <c r="F274">
        <v>15</v>
      </c>
      <c r="G274">
        <v>56.94</v>
      </c>
      <c r="H274">
        <v>4</v>
      </c>
      <c r="I274">
        <f>CLIENTS_CHURN345[[#This Row],[Anciennete_Mois]]/12</f>
        <v>5.333333333333333</v>
      </c>
      <c r="J274">
        <f>CLIENTS_CHURN345[[#This Row],[Duree_Cumulee_Panne_Min]]/60</f>
        <v>0.25</v>
      </c>
      <c r="K274" t="str">
        <f>IF(CLIENTS_CHURN345[[#This Row],[Type_Forfait]]="Pro Monde","B2B","B2C")</f>
        <v>B2B</v>
      </c>
      <c r="L274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10%</v>
      </c>
      <c r="M274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0.1</v>
      </c>
      <c r="N274" s="1">
        <f>CLIENTS_CHURN345[[#This Row],[Facture_Mensuelle]]*CLIENTS_CHURN345[[#This Row],[Colonne12]]</f>
        <v>5.694</v>
      </c>
    </row>
    <row r="275" spans="1:14">
      <c r="A275" s="1" t="s">
        <v>653</v>
      </c>
      <c r="B275" t="s">
        <v>690</v>
      </c>
      <c r="C275" t="s">
        <v>29</v>
      </c>
      <c r="D275">
        <v>18</v>
      </c>
      <c r="E275" t="s">
        <v>11</v>
      </c>
      <c r="F275">
        <v>75</v>
      </c>
      <c r="G275">
        <v>57.66</v>
      </c>
      <c r="H275">
        <v>1</v>
      </c>
      <c r="I275">
        <f>CLIENTS_CHURN345[[#This Row],[Anciennete_Mois]]/12</f>
        <v>1.5</v>
      </c>
      <c r="J275">
        <f>CLIENTS_CHURN345[[#This Row],[Duree_Cumulee_Panne_Min]]/60</f>
        <v>1.25</v>
      </c>
      <c r="K275" t="str">
        <f>IF(CLIENTS_CHURN345[[#This Row],[Type_Forfait]]="Pro Monde","B2B","B2C")</f>
        <v>B2B</v>
      </c>
      <c r="L275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10%</v>
      </c>
      <c r="M275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0.1</v>
      </c>
      <c r="N275" s="1">
        <f>CLIENTS_CHURN345[[#This Row],[Facture_Mensuelle]]*CLIENTS_CHURN345[[#This Row],[Colonne12]]</f>
        <v>5.766</v>
      </c>
    </row>
    <row r="276" spans="1:14">
      <c r="A276" s="1" t="s">
        <v>499</v>
      </c>
      <c r="B276" t="s">
        <v>536</v>
      </c>
      <c r="C276" t="s">
        <v>57</v>
      </c>
      <c r="D276">
        <v>87</v>
      </c>
      <c r="E276" t="s">
        <v>32</v>
      </c>
      <c r="F276">
        <v>356</v>
      </c>
      <c r="G276">
        <v>12.89</v>
      </c>
      <c r="H276">
        <v>0</v>
      </c>
      <c r="I276">
        <f>CLIENTS_CHURN345[[#This Row],[Anciennete_Mois]]/12</f>
        <v>7.25</v>
      </c>
      <c r="J276">
        <f>CLIENTS_CHURN345[[#This Row],[Duree_Cumulee_Panne_Min]]/60</f>
        <v>5.9333333333333336</v>
      </c>
      <c r="K276" t="str">
        <f>IF(CLIENTS_CHURN345[[#This Row],[Type_Forfait]]="Pro Monde","B2B","B2C")</f>
        <v>B2C</v>
      </c>
      <c r="L276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276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276" s="1">
        <f>CLIENTS_CHURN345[[#This Row],[Facture_Mensuelle]]*CLIENTS_CHURN345[[#This Row],[Colonne12]]</f>
        <v>5.8005000000000004</v>
      </c>
    </row>
    <row r="277" spans="1:14">
      <c r="A277" s="1" t="s">
        <v>191</v>
      </c>
      <c r="B277" t="s">
        <v>233</v>
      </c>
      <c r="C277" t="s">
        <v>61</v>
      </c>
      <c r="D277">
        <v>51</v>
      </c>
      <c r="E277" t="s">
        <v>21</v>
      </c>
      <c r="F277">
        <v>433</v>
      </c>
      <c r="G277">
        <v>12.89</v>
      </c>
      <c r="H277">
        <v>1</v>
      </c>
      <c r="I277">
        <f>CLIENTS_CHURN345[[#This Row],[Anciennete_Mois]]/12</f>
        <v>4.25</v>
      </c>
      <c r="J277">
        <f>CLIENTS_CHURN345[[#This Row],[Duree_Cumulee_Panne_Min]]/60</f>
        <v>7.2166666666666668</v>
      </c>
      <c r="K277" t="str">
        <f>IF(CLIENTS_CHURN345[[#This Row],[Type_Forfait]]="Pro Monde","B2B","B2C")</f>
        <v>B2C</v>
      </c>
      <c r="L277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277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277" s="1">
        <f>CLIENTS_CHURN345[[#This Row],[Facture_Mensuelle]]*CLIENTS_CHURN345[[#This Row],[Colonne12]]</f>
        <v>5.8005000000000004</v>
      </c>
    </row>
    <row r="278" spans="1:14">
      <c r="A278" s="1" t="s">
        <v>395</v>
      </c>
      <c r="B278" t="s">
        <v>431</v>
      </c>
      <c r="C278" t="s">
        <v>38</v>
      </c>
      <c r="D278">
        <v>36</v>
      </c>
      <c r="E278" t="s">
        <v>14</v>
      </c>
      <c r="F278">
        <v>311</v>
      </c>
      <c r="G278">
        <v>13.19</v>
      </c>
      <c r="H278">
        <v>4</v>
      </c>
      <c r="I278">
        <f>CLIENTS_CHURN345[[#This Row],[Anciennete_Mois]]/12</f>
        <v>3</v>
      </c>
      <c r="J278">
        <f>CLIENTS_CHURN345[[#This Row],[Duree_Cumulee_Panne_Min]]/60</f>
        <v>5.1833333333333336</v>
      </c>
      <c r="K278" t="str">
        <f>IF(CLIENTS_CHURN345[[#This Row],[Type_Forfait]]="Pro Monde","B2B","B2C")</f>
        <v>B2C</v>
      </c>
      <c r="L278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278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278" s="1">
        <f>CLIENTS_CHURN345[[#This Row],[Facture_Mensuelle]]*CLIENTS_CHURN345[[#This Row],[Colonne12]]</f>
        <v>5.9355000000000002</v>
      </c>
    </row>
    <row r="279" spans="1:14">
      <c r="A279" s="1" t="s">
        <v>653</v>
      </c>
      <c r="B279" t="s">
        <v>658</v>
      </c>
      <c r="C279" t="s">
        <v>71</v>
      </c>
      <c r="D279">
        <v>22</v>
      </c>
      <c r="E279" t="s">
        <v>11</v>
      </c>
      <c r="F279">
        <v>457</v>
      </c>
      <c r="G279">
        <v>13.21</v>
      </c>
      <c r="H279">
        <v>1</v>
      </c>
      <c r="I279">
        <f>CLIENTS_CHURN345[[#This Row],[Anciennete_Mois]]/12</f>
        <v>1.8333333333333333</v>
      </c>
      <c r="J279">
        <f>CLIENTS_CHURN345[[#This Row],[Duree_Cumulee_Panne_Min]]/60</f>
        <v>7.6166666666666663</v>
      </c>
      <c r="K279" t="str">
        <f>IF(CLIENTS_CHURN345[[#This Row],[Type_Forfait]]="Pro Monde","B2B","B2C")</f>
        <v>B2B</v>
      </c>
      <c r="L279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279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279" s="1">
        <f>CLIENTS_CHURN345[[#This Row],[Facture_Mensuelle]]*CLIENTS_CHURN345[[#This Row],[Colonne12]]</f>
        <v>5.9445000000000006</v>
      </c>
    </row>
    <row r="280" spans="1:14">
      <c r="A280" s="1" t="s">
        <v>395</v>
      </c>
      <c r="B280" t="s">
        <v>422</v>
      </c>
      <c r="C280" t="s">
        <v>26</v>
      </c>
      <c r="D280">
        <v>45</v>
      </c>
      <c r="E280" t="s">
        <v>14</v>
      </c>
      <c r="F280">
        <v>439</v>
      </c>
      <c r="G280">
        <v>13.62</v>
      </c>
      <c r="H280">
        <v>4</v>
      </c>
      <c r="I280">
        <f>CLIENTS_CHURN345[[#This Row],[Anciennete_Mois]]/12</f>
        <v>3.75</v>
      </c>
      <c r="J280">
        <f>CLIENTS_CHURN345[[#This Row],[Duree_Cumulee_Panne_Min]]/60</f>
        <v>7.3166666666666664</v>
      </c>
      <c r="K280" t="str">
        <f>IF(CLIENTS_CHURN345[[#This Row],[Type_Forfait]]="Pro Monde","B2B","B2C")</f>
        <v>B2C</v>
      </c>
      <c r="L280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280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280" s="1">
        <f>CLIENTS_CHURN345[[#This Row],[Facture_Mensuelle]]*CLIENTS_CHURN345[[#This Row],[Colonne12]]</f>
        <v>6.1289999999999996</v>
      </c>
    </row>
    <row r="281" spans="1:14">
      <c r="A281" s="1" t="s">
        <v>8</v>
      </c>
      <c r="B281" t="s">
        <v>84</v>
      </c>
      <c r="C281" t="s">
        <v>52</v>
      </c>
      <c r="D281">
        <v>103</v>
      </c>
      <c r="E281" t="s">
        <v>11</v>
      </c>
      <c r="F281">
        <v>105</v>
      </c>
      <c r="G281">
        <v>61.52</v>
      </c>
      <c r="H281">
        <v>3</v>
      </c>
      <c r="I281">
        <f>CLIENTS_CHURN345[[#This Row],[Anciennete_Mois]]/12</f>
        <v>8.5833333333333339</v>
      </c>
      <c r="J281">
        <f>CLIENTS_CHURN345[[#This Row],[Duree_Cumulee_Panne_Min]]/60</f>
        <v>1.75</v>
      </c>
      <c r="K281" t="str">
        <f>IF(CLIENTS_CHURN345[[#This Row],[Type_Forfait]]="Pro Monde","B2B","B2C")</f>
        <v>B2B</v>
      </c>
      <c r="L281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10%</v>
      </c>
      <c r="M281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0.1</v>
      </c>
      <c r="N281" s="1">
        <f>CLIENTS_CHURN345[[#This Row],[Facture_Mensuelle]]*CLIENTS_CHURN345[[#This Row],[Colonne12]]</f>
        <v>6.152000000000001</v>
      </c>
    </row>
    <row r="282" spans="1:14">
      <c r="A282" s="1" t="s">
        <v>85</v>
      </c>
      <c r="B282" t="s">
        <v>128</v>
      </c>
      <c r="C282" t="s">
        <v>29</v>
      </c>
      <c r="D282">
        <v>103</v>
      </c>
      <c r="E282" t="s">
        <v>14</v>
      </c>
      <c r="F282">
        <v>300</v>
      </c>
      <c r="G282">
        <v>13.76</v>
      </c>
      <c r="H282">
        <v>4</v>
      </c>
      <c r="I282">
        <f>CLIENTS_CHURN345[[#This Row],[Anciennete_Mois]]/12</f>
        <v>8.5833333333333339</v>
      </c>
      <c r="J282">
        <f>CLIENTS_CHURN345[[#This Row],[Duree_Cumulee_Panne_Min]]/60</f>
        <v>5</v>
      </c>
      <c r="K282" t="str">
        <f>IF(CLIENTS_CHURN345[[#This Row],[Type_Forfait]]="Pro Monde","B2B","B2C")</f>
        <v>B2C</v>
      </c>
      <c r="L282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282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282" s="1">
        <f>CLIENTS_CHURN345[[#This Row],[Facture_Mensuelle]]*CLIENTS_CHURN345[[#This Row],[Colonne12]]</f>
        <v>6.1920000000000002</v>
      </c>
    </row>
    <row r="283" spans="1:14">
      <c r="A283" s="1" t="s">
        <v>140</v>
      </c>
      <c r="B283" t="s">
        <v>145</v>
      </c>
      <c r="C283" t="s">
        <v>38</v>
      </c>
      <c r="D283">
        <v>69</v>
      </c>
      <c r="E283" t="s">
        <v>14</v>
      </c>
      <c r="F283">
        <v>306</v>
      </c>
      <c r="G283">
        <v>13.97</v>
      </c>
      <c r="H283">
        <v>1</v>
      </c>
      <c r="I283">
        <f>CLIENTS_CHURN345[[#This Row],[Anciennete_Mois]]/12</f>
        <v>5.75</v>
      </c>
      <c r="J283">
        <f>CLIENTS_CHURN345[[#This Row],[Duree_Cumulee_Panne_Min]]/60</f>
        <v>5.0999999999999996</v>
      </c>
      <c r="K283" t="str">
        <f>IF(CLIENTS_CHURN345[[#This Row],[Type_Forfait]]="Pro Monde","B2B","B2C")</f>
        <v>B2C</v>
      </c>
      <c r="L283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283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283" s="1">
        <f>CLIENTS_CHURN345[[#This Row],[Facture_Mensuelle]]*CLIENTS_CHURN345[[#This Row],[Colonne12]]</f>
        <v>6.2865000000000002</v>
      </c>
    </row>
    <row r="284" spans="1:14">
      <c r="A284" s="1" t="s">
        <v>242</v>
      </c>
      <c r="B284" t="s">
        <v>250</v>
      </c>
      <c r="C284" t="s">
        <v>13</v>
      </c>
      <c r="D284">
        <v>52</v>
      </c>
      <c r="E284" t="s">
        <v>11</v>
      </c>
      <c r="F284">
        <v>234</v>
      </c>
      <c r="G284">
        <v>62.87</v>
      </c>
      <c r="H284">
        <v>0</v>
      </c>
      <c r="I284">
        <f>CLIENTS_CHURN345[[#This Row],[Anciennete_Mois]]/12</f>
        <v>4.333333333333333</v>
      </c>
      <c r="J284">
        <f>CLIENTS_CHURN345[[#This Row],[Duree_Cumulee_Panne_Min]]/60</f>
        <v>3.9</v>
      </c>
      <c r="K284" t="str">
        <f>IF(CLIENTS_CHURN345[[#This Row],[Type_Forfait]]="Pro Monde","B2B","B2C")</f>
        <v>B2B</v>
      </c>
      <c r="L284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10%</v>
      </c>
      <c r="M284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0.1</v>
      </c>
      <c r="N284" s="1">
        <f>CLIENTS_CHURN345[[#This Row],[Facture_Mensuelle]]*CLIENTS_CHURN345[[#This Row],[Colonne12]]</f>
        <v>6.2869999999999999</v>
      </c>
    </row>
    <row r="285" spans="1:14">
      <c r="A285" s="1" t="s">
        <v>653</v>
      </c>
      <c r="B285" t="s">
        <v>703</v>
      </c>
      <c r="C285" t="s">
        <v>65</v>
      </c>
      <c r="D285">
        <v>17</v>
      </c>
      <c r="E285" t="s">
        <v>11</v>
      </c>
      <c r="F285">
        <v>206</v>
      </c>
      <c r="G285">
        <v>63.46</v>
      </c>
      <c r="H285">
        <v>3</v>
      </c>
      <c r="I285">
        <f>CLIENTS_CHURN345[[#This Row],[Anciennete_Mois]]/12</f>
        <v>1.4166666666666667</v>
      </c>
      <c r="J285">
        <f>CLIENTS_CHURN345[[#This Row],[Duree_Cumulee_Panne_Min]]/60</f>
        <v>3.4333333333333331</v>
      </c>
      <c r="K285" t="str">
        <f>IF(CLIENTS_CHURN345[[#This Row],[Type_Forfait]]="Pro Monde","B2B","B2C")</f>
        <v>B2B</v>
      </c>
      <c r="L285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10%</v>
      </c>
      <c r="M285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0.1</v>
      </c>
      <c r="N285" s="1">
        <f>CLIENTS_CHURN345[[#This Row],[Facture_Mensuelle]]*CLIENTS_CHURN345[[#This Row],[Colonne12]]</f>
        <v>6.3460000000000001</v>
      </c>
    </row>
    <row r="286" spans="1:14">
      <c r="A286" s="1" t="s">
        <v>756</v>
      </c>
      <c r="B286" t="s">
        <v>760</v>
      </c>
      <c r="C286" t="s">
        <v>16</v>
      </c>
      <c r="D286">
        <v>37</v>
      </c>
      <c r="E286" t="s">
        <v>32</v>
      </c>
      <c r="F286">
        <v>213</v>
      </c>
      <c r="G286">
        <v>14.12</v>
      </c>
      <c r="H286">
        <v>1</v>
      </c>
      <c r="I286">
        <f>CLIENTS_CHURN345[[#This Row],[Anciennete_Mois]]/12</f>
        <v>3.0833333333333335</v>
      </c>
      <c r="J286">
        <f>CLIENTS_CHURN345[[#This Row],[Duree_Cumulee_Panne_Min]]/60</f>
        <v>3.55</v>
      </c>
      <c r="K286" t="str">
        <f>IF(CLIENTS_CHURN345[[#This Row],[Type_Forfait]]="Pro Monde","B2B","B2C")</f>
        <v>B2C</v>
      </c>
      <c r="L286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286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286" s="1">
        <f>CLIENTS_CHURN345[[#This Row],[Facture_Mensuelle]]*CLIENTS_CHURN345[[#This Row],[Colonne12]]</f>
        <v>6.3540000000000001</v>
      </c>
    </row>
    <row r="287" spans="1:14">
      <c r="A287" s="1" t="s">
        <v>653</v>
      </c>
      <c r="B287" t="s">
        <v>683</v>
      </c>
      <c r="C287" t="s">
        <v>79</v>
      </c>
      <c r="D287">
        <v>114</v>
      </c>
      <c r="E287" t="s">
        <v>11</v>
      </c>
      <c r="F287">
        <v>220</v>
      </c>
      <c r="G287">
        <v>63.67</v>
      </c>
      <c r="H287">
        <v>5</v>
      </c>
      <c r="I287">
        <f>CLIENTS_CHURN345[[#This Row],[Anciennete_Mois]]/12</f>
        <v>9.5</v>
      </c>
      <c r="J287">
        <f>CLIENTS_CHURN345[[#This Row],[Duree_Cumulee_Panne_Min]]/60</f>
        <v>3.6666666666666665</v>
      </c>
      <c r="K287" t="str">
        <f>IF(CLIENTS_CHURN345[[#This Row],[Type_Forfait]]="Pro Monde","B2B","B2C")</f>
        <v>B2B</v>
      </c>
      <c r="L287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10%</v>
      </c>
      <c r="M287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0.1</v>
      </c>
      <c r="N287" s="1">
        <f>CLIENTS_CHURN345[[#This Row],[Facture_Mensuelle]]*CLIENTS_CHURN345[[#This Row],[Colonne12]]</f>
        <v>6.3670000000000009</v>
      </c>
    </row>
    <row r="288" spans="1:14">
      <c r="A288" s="1" t="s">
        <v>551</v>
      </c>
      <c r="B288" t="s">
        <v>593</v>
      </c>
      <c r="C288" t="s">
        <v>36</v>
      </c>
      <c r="D288">
        <v>46</v>
      </c>
      <c r="E288" t="s">
        <v>11</v>
      </c>
      <c r="F288">
        <v>216</v>
      </c>
      <c r="G288">
        <v>63.74</v>
      </c>
      <c r="H288">
        <v>4</v>
      </c>
      <c r="I288">
        <f>CLIENTS_CHURN345[[#This Row],[Anciennete_Mois]]/12</f>
        <v>3.8333333333333335</v>
      </c>
      <c r="J288">
        <f>CLIENTS_CHURN345[[#This Row],[Duree_Cumulee_Panne_Min]]/60</f>
        <v>3.6</v>
      </c>
      <c r="K288" t="str">
        <f>IF(CLIENTS_CHURN345[[#This Row],[Type_Forfait]]="Pro Monde","B2B","B2C")</f>
        <v>B2B</v>
      </c>
      <c r="L288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10%</v>
      </c>
      <c r="M288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0.1</v>
      </c>
      <c r="N288" s="1">
        <f>CLIENTS_CHURN345[[#This Row],[Facture_Mensuelle]]*CLIENTS_CHURN345[[#This Row],[Colonne12]]</f>
        <v>6.3740000000000006</v>
      </c>
    </row>
    <row r="289" spans="1:14">
      <c r="A289" s="1" t="s">
        <v>602</v>
      </c>
      <c r="B289" t="s">
        <v>628</v>
      </c>
      <c r="C289" t="s">
        <v>71</v>
      </c>
      <c r="D289">
        <v>34</v>
      </c>
      <c r="E289" t="s">
        <v>11</v>
      </c>
      <c r="F289">
        <v>58</v>
      </c>
      <c r="G289">
        <v>64.349999999999994</v>
      </c>
      <c r="H289">
        <v>0</v>
      </c>
      <c r="I289">
        <f>CLIENTS_CHURN345[[#This Row],[Anciennete_Mois]]/12</f>
        <v>2.8333333333333335</v>
      </c>
      <c r="J289">
        <f>CLIENTS_CHURN345[[#This Row],[Duree_Cumulee_Panne_Min]]/60</f>
        <v>0.96666666666666667</v>
      </c>
      <c r="K289" t="str">
        <f>IF(CLIENTS_CHURN345[[#This Row],[Type_Forfait]]="Pro Monde","B2B","B2C")</f>
        <v>B2B</v>
      </c>
      <c r="L289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10%</v>
      </c>
      <c r="M289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0.1</v>
      </c>
      <c r="N289" s="1">
        <f>CLIENTS_CHURN345[[#This Row],[Facture_Mensuelle]]*CLIENTS_CHURN345[[#This Row],[Colonne12]]</f>
        <v>6.4349999999999996</v>
      </c>
    </row>
    <row r="290" spans="1:14">
      <c r="A290" s="1" t="s">
        <v>447</v>
      </c>
      <c r="B290" t="s">
        <v>477</v>
      </c>
      <c r="C290" t="s">
        <v>79</v>
      </c>
      <c r="D290">
        <v>13</v>
      </c>
      <c r="E290" t="s">
        <v>11</v>
      </c>
      <c r="F290">
        <v>87</v>
      </c>
      <c r="G290">
        <v>66.36</v>
      </c>
      <c r="H290">
        <v>0</v>
      </c>
      <c r="I290">
        <f>CLIENTS_CHURN345[[#This Row],[Anciennete_Mois]]/12</f>
        <v>1.0833333333333333</v>
      </c>
      <c r="J290">
        <f>CLIENTS_CHURN345[[#This Row],[Duree_Cumulee_Panne_Min]]/60</f>
        <v>1.45</v>
      </c>
      <c r="K290" t="str">
        <f>IF(CLIENTS_CHURN345[[#This Row],[Type_Forfait]]="Pro Monde","B2B","B2C")</f>
        <v>B2B</v>
      </c>
      <c r="L290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10%</v>
      </c>
      <c r="M290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0.1</v>
      </c>
      <c r="N290" s="1">
        <f>CLIENTS_CHURN345[[#This Row],[Facture_Mensuelle]]*CLIENTS_CHURN345[[#This Row],[Colonne12]]</f>
        <v>6.6360000000000001</v>
      </c>
    </row>
    <row r="291" spans="1:14">
      <c r="A291" s="1" t="s">
        <v>705</v>
      </c>
      <c r="B291" t="s">
        <v>732</v>
      </c>
      <c r="C291" t="s">
        <v>36</v>
      </c>
      <c r="D291">
        <v>20</v>
      </c>
      <c r="E291" t="s">
        <v>14</v>
      </c>
      <c r="F291">
        <v>297</v>
      </c>
      <c r="G291">
        <v>14.77</v>
      </c>
      <c r="H291">
        <v>0</v>
      </c>
      <c r="I291">
        <f>CLIENTS_CHURN345[[#This Row],[Anciennete_Mois]]/12</f>
        <v>1.6666666666666667</v>
      </c>
      <c r="J291">
        <f>CLIENTS_CHURN345[[#This Row],[Duree_Cumulee_Panne_Min]]/60</f>
        <v>4.95</v>
      </c>
      <c r="K291" t="str">
        <f>IF(CLIENTS_CHURN345[[#This Row],[Type_Forfait]]="Pro Monde","B2B","B2C")</f>
        <v>B2C</v>
      </c>
      <c r="L291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291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291" s="1">
        <f>CLIENTS_CHURN345[[#This Row],[Facture_Mensuelle]]*CLIENTS_CHURN345[[#This Row],[Colonne12]]</f>
        <v>6.6464999999999996</v>
      </c>
    </row>
    <row r="292" spans="1:14">
      <c r="A292" s="1" t="s">
        <v>653</v>
      </c>
      <c r="B292" t="s">
        <v>692</v>
      </c>
      <c r="C292" t="s">
        <v>29</v>
      </c>
      <c r="D292">
        <v>29</v>
      </c>
      <c r="E292" t="s">
        <v>32</v>
      </c>
      <c r="F292">
        <v>8</v>
      </c>
      <c r="G292">
        <v>14.78</v>
      </c>
      <c r="H292">
        <v>2</v>
      </c>
      <c r="I292">
        <f>CLIENTS_CHURN345[[#This Row],[Anciennete_Mois]]/12</f>
        <v>2.4166666666666665</v>
      </c>
      <c r="J292">
        <f>CLIENTS_CHURN345[[#This Row],[Duree_Cumulee_Panne_Min]]/60</f>
        <v>0.13333333333333333</v>
      </c>
      <c r="K292" t="str">
        <f>IF(CLIENTS_CHURN345[[#This Row],[Type_Forfait]]="Pro Monde","B2B","B2C")</f>
        <v>B2C</v>
      </c>
      <c r="L292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292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292" s="1">
        <f>CLIENTS_CHURN345[[#This Row],[Facture_Mensuelle]]*CLIENTS_CHURN345[[#This Row],[Colonne12]]</f>
        <v>6.6509999999999998</v>
      </c>
    </row>
    <row r="293" spans="1:14">
      <c r="A293" s="1" t="s">
        <v>705</v>
      </c>
      <c r="B293" t="s">
        <v>733</v>
      </c>
      <c r="C293" t="s">
        <v>92</v>
      </c>
      <c r="D293">
        <v>40</v>
      </c>
      <c r="E293" t="s">
        <v>32</v>
      </c>
      <c r="F293">
        <v>235</v>
      </c>
      <c r="G293">
        <v>15.01</v>
      </c>
      <c r="H293">
        <v>3</v>
      </c>
      <c r="I293">
        <f>CLIENTS_CHURN345[[#This Row],[Anciennete_Mois]]/12</f>
        <v>3.3333333333333335</v>
      </c>
      <c r="J293">
        <f>CLIENTS_CHURN345[[#This Row],[Duree_Cumulee_Panne_Min]]/60</f>
        <v>3.9166666666666665</v>
      </c>
      <c r="K293" t="str">
        <f>IF(CLIENTS_CHURN345[[#This Row],[Type_Forfait]]="Pro Monde","B2B","B2C")</f>
        <v>B2C</v>
      </c>
      <c r="L293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293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293" s="1">
        <f>CLIENTS_CHURN345[[#This Row],[Facture_Mensuelle]]*CLIENTS_CHURN345[[#This Row],[Colonne12]]</f>
        <v>6.7545000000000002</v>
      </c>
    </row>
    <row r="294" spans="1:14">
      <c r="A294" s="1" t="s">
        <v>756</v>
      </c>
      <c r="B294" t="s">
        <v>763</v>
      </c>
      <c r="C294" t="s">
        <v>24</v>
      </c>
      <c r="D294">
        <v>21</v>
      </c>
      <c r="E294" t="s">
        <v>14</v>
      </c>
      <c r="F294">
        <v>475</v>
      </c>
      <c r="G294">
        <v>15.12</v>
      </c>
      <c r="H294">
        <v>2</v>
      </c>
      <c r="I294">
        <f>CLIENTS_CHURN345[[#This Row],[Anciennete_Mois]]/12</f>
        <v>1.75</v>
      </c>
      <c r="J294">
        <f>CLIENTS_CHURN345[[#This Row],[Duree_Cumulee_Panne_Min]]/60</f>
        <v>7.916666666666667</v>
      </c>
      <c r="K294" t="str">
        <f>IF(CLIENTS_CHURN345[[#This Row],[Type_Forfait]]="Pro Monde","B2B","B2C")</f>
        <v>B2C</v>
      </c>
      <c r="L294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294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294" s="1">
        <f>CLIENTS_CHURN345[[#This Row],[Facture_Mensuelle]]*CLIENTS_CHURN345[[#This Row],[Colonne12]]</f>
        <v>6.8039999999999994</v>
      </c>
    </row>
    <row r="295" spans="1:14">
      <c r="A295" s="1" t="s">
        <v>191</v>
      </c>
      <c r="B295" t="s">
        <v>210</v>
      </c>
      <c r="C295" t="s">
        <v>10</v>
      </c>
      <c r="D295">
        <v>48</v>
      </c>
      <c r="E295" t="s">
        <v>14</v>
      </c>
      <c r="F295">
        <v>436</v>
      </c>
      <c r="G295">
        <v>15.17</v>
      </c>
      <c r="H295">
        <v>0</v>
      </c>
      <c r="I295">
        <f>CLIENTS_CHURN345[[#This Row],[Anciennete_Mois]]/12</f>
        <v>4</v>
      </c>
      <c r="J295">
        <f>CLIENTS_CHURN345[[#This Row],[Duree_Cumulee_Panne_Min]]/60</f>
        <v>7.2666666666666666</v>
      </c>
      <c r="K295" t="str">
        <f>IF(CLIENTS_CHURN345[[#This Row],[Type_Forfait]]="Pro Monde","B2B","B2C")</f>
        <v>B2C</v>
      </c>
      <c r="L295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295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295" s="1">
        <f>CLIENTS_CHURN345[[#This Row],[Facture_Mensuelle]]*CLIENTS_CHURN345[[#This Row],[Colonne12]]</f>
        <v>6.8265000000000002</v>
      </c>
    </row>
    <row r="296" spans="1:14">
      <c r="A296" s="1" t="s">
        <v>344</v>
      </c>
      <c r="B296" t="s">
        <v>357</v>
      </c>
      <c r="C296" t="s">
        <v>43</v>
      </c>
      <c r="D296">
        <v>25</v>
      </c>
      <c r="E296" t="s">
        <v>11</v>
      </c>
      <c r="F296">
        <v>218</v>
      </c>
      <c r="G296">
        <v>68.790000000000006</v>
      </c>
      <c r="H296">
        <v>0</v>
      </c>
      <c r="I296">
        <f>CLIENTS_CHURN345[[#This Row],[Anciennete_Mois]]/12</f>
        <v>2.0833333333333335</v>
      </c>
      <c r="J296">
        <f>CLIENTS_CHURN345[[#This Row],[Duree_Cumulee_Panne_Min]]/60</f>
        <v>3.6333333333333333</v>
      </c>
      <c r="K296" t="str">
        <f>IF(CLIENTS_CHURN345[[#This Row],[Type_Forfait]]="Pro Monde","B2B","B2C")</f>
        <v>B2B</v>
      </c>
      <c r="L296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10%</v>
      </c>
      <c r="M296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0.1</v>
      </c>
      <c r="N296" s="1">
        <f>CLIENTS_CHURN345[[#This Row],[Facture_Mensuelle]]*CLIENTS_CHURN345[[#This Row],[Colonne12]]</f>
        <v>6.8790000000000013</v>
      </c>
    </row>
    <row r="297" spans="1:14">
      <c r="A297" s="1" t="s">
        <v>85</v>
      </c>
      <c r="B297" t="s">
        <v>139</v>
      </c>
      <c r="C297" t="s">
        <v>71</v>
      </c>
      <c r="D297">
        <v>30</v>
      </c>
      <c r="E297" t="s">
        <v>32</v>
      </c>
      <c r="F297">
        <v>197</v>
      </c>
      <c r="G297">
        <v>15.42</v>
      </c>
      <c r="H297">
        <v>0</v>
      </c>
      <c r="I297">
        <f>CLIENTS_CHURN345[[#This Row],[Anciennete_Mois]]/12</f>
        <v>2.5</v>
      </c>
      <c r="J297">
        <f>CLIENTS_CHURN345[[#This Row],[Duree_Cumulee_Panne_Min]]/60</f>
        <v>3.2833333333333332</v>
      </c>
      <c r="K297" t="str">
        <f>IF(CLIENTS_CHURN345[[#This Row],[Type_Forfait]]="Pro Monde","B2B","B2C")</f>
        <v>B2C</v>
      </c>
      <c r="L297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297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297" s="1">
        <f>CLIENTS_CHURN345[[#This Row],[Facture_Mensuelle]]*CLIENTS_CHURN345[[#This Row],[Colonne12]]</f>
        <v>6.9390000000000001</v>
      </c>
    </row>
    <row r="298" spans="1:14">
      <c r="A298" s="1" t="s">
        <v>551</v>
      </c>
      <c r="B298" t="s">
        <v>600</v>
      </c>
      <c r="C298" t="s">
        <v>57</v>
      </c>
      <c r="D298">
        <v>10</v>
      </c>
      <c r="E298" t="s">
        <v>11</v>
      </c>
      <c r="F298">
        <v>129</v>
      </c>
      <c r="G298">
        <v>70.12</v>
      </c>
      <c r="H298">
        <v>0</v>
      </c>
      <c r="I298">
        <f>CLIENTS_CHURN345[[#This Row],[Anciennete_Mois]]/12</f>
        <v>0.83333333333333337</v>
      </c>
      <c r="J298">
        <f>CLIENTS_CHURN345[[#This Row],[Duree_Cumulee_Panne_Min]]/60</f>
        <v>2.15</v>
      </c>
      <c r="K298" t="str">
        <f>IF(CLIENTS_CHURN345[[#This Row],[Type_Forfait]]="Pro Monde","B2B","B2C")</f>
        <v>B2B</v>
      </c>
      <c r="L298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10%</v>
      </c>
      <c r="M298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0.1</v>
      </c>
      <c r="N298" s="1">
        <f>CLIENTS_CHURN345[[#This Row],[Facture_Mensuelle]]*CLIENTS_CHURN345[[#This Row],[Colonne12]]</f>
        <v>7.0120000000000005</v>
      </c>
    </row>
    <row r="299" spans="1:14">
      <c r="A299" s="1" t="s">
        <v>344</v>
      </c>
      <c r="B299" t="s">
        <v>349</v>
      </c>
      <c r="C299" t="s">
        <v>57</v>
      </c>
      <c r="D299">
        <v>2</v>
      </c>
      <c r="E299" t="s">
        <v>11</v>
      </c>
      <c r="F299">
        <v>496</v>
      </c>
      <c r="G299">
        <v>15.71</v>
      </c>
      <c r="H299">
        <v>3</v>
      </c>
      <c r="I299">
        <f>CLIENTS_CHURN345[[#This Row],[Anciennete_Mois]]/12</f>
        <v>0.16666666666666666</v>
      </c>
      <c r="J299">
        <f>CLIENTS_CHURN345[[#This Row],[Duree_Cumulee_Panne_Min]]/60</f>
        <v>8.2666666666666675</v>
      </c>
      <c r="K299" t="str">
        <f>IF(CLIENTS_CHURN345[[#This Row],[Type_Forfait]]="Pro Monde","B2B","B2C")</f>
        <v>B2B</v>
      </c>
      <c r="L299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299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299" s="1">
        <f>CLIENTS_CHURN345[[#This Row],[Facture_Mensuelle]]*CLIENTS_CHURN345[[#This Row],[Colonne12]]</f>
        <v>7.0695000000000006</v>
      </c>
    </row>
    <row r="300" spans="1:14">
      <c r="A300" s="1" t="s">
        <v>293</v>
      </c>
      <c r="B300" t="s">
        <v>309</v>
      </c>
      <c r="C300" t="s">
        <v>111</v>
      </c>
      <c r="D300">
        <v>5</v>
      </c>
      <c r="E300" t="s">
        <v>11</v>
      </c>
      <c r="F300">
        <v>98</v>
      </c>
      <c r="G300">
        <v>71.37</v>
      </c>
      <c r="H300">
        <v>1</v>
      </c>
      <c r="I300">
        <f>CLIENTS_CHURN345[[#This Row],[Anciennete_Mois]]/12</f>
        <v>0.41666666666666669</v>
      </c>
      <c r="J300">
        <f>CLIENTS_CHURN345[[#This Row],[Duree_Cumulee_Panne_Min]]/60</f>
        <v>1.6333333333333333</v>
      </c>
      <c r="K300" t="str">
        <f>IF(CLIENTS_CHURN345[[#This Row],[Type_Forfait]]="Pro Monde","B2B","B2C")</f>
        <v>B2B</v>
      </c>
      <c r="L300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10%</v>
      </c>
      <c r="M300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0.1</v>
      </c>
      <c r="N300" s="1">
        <f>CLIENTS_CHURN345[[#This Row],[Facture_Mensuelle]]*CLIENTS_CHURN345[[#This Row],[Colonne12]]</f>
        <v>7.1370000000000005</v>
      </c>
    </row>
    <row r="301" spans="1:14">
      <c r="A301" s="1" t="s">
        <v>756</v>
      </c>
      <c r="B301" t="s">
        <v>802</v>
      </c>
      <c r="C301" t="s">
        <v>92</v>
      </c>
      <c r="D301">
        <v>23</v>
      </c>
      <c r="E301" t="s">
        <v>11</v>
      </c>
      <c r="F301">
        <v>120</v>
      </c>
      <c r="G301">
        <v>73.12</v>
      </c>
      <c r="H301">
        <v>1</v>
      </c>
      <c r="I301">
        <f>CLIENTS_CHURN345[[#This Row],[Anciennete_Mois]]/12</f>
        <v>1.9166666666666667</v>
      </c>
      <c r="J301">
        <f>CLIENTS_CHURN345[[#This Row],[Duree_Cumulee_Panne_Min]]/60</f>
        <v>2</v>
      </c>
      <c r="K301" t="str">
        <f>IF(CLIENTS_CHURN345[[#This Row],[Type_Forfait]]="Pro Monde","B2B","B2C")</f>
        <v>B2B</v>
      </c>
      <c r="L301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10%</v>
      </c>
      <c r="M301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0.1</v>
      </c>
      <c r="N301" s="1">
        <f>CLIENTS_CHURN345[[#This Row],[Facture_Mensuelle]]*CLIENTS_CHURN345[[#This Row],[Colonne12]]</f>
        <v>7.3120000000000012</v>
      </c>
    </row>
    <row r="302" spans="1:14">
      <c r="A302" s="1" t="s">
        <v>191</v>
      </c>
      <c r="B302" t="s">
        <v>235</v>
      </c>
      <c r="C302" t="s">
        <v>36</v>
      </c>
      <c r="D302">
        <v>114</v>
      </c>
      <c r="E302" t="s">
        <v>32</v>
      </c>
      <c r="F302">
        <v>482</v>
      </c>
      <c r="G302">
        <v>16.25</v>
      </c>
      <c r="H302">
        <v>3</v>
      </c>
      <c r="I302">
        <f>CLIENTS_CHURN345[[#This Row],[Anciennete_Mois]]/12</f>
        <v>9.5</v>
      </c>
      <c r="J302">
        <f>CLIENTS_CHURN345[[#This Row],[Duree_Cumulee_Panne_Min]]/60</f>
        <v>8.0333333333333332</v>
      </c>
      <c r="K302" t="str">
        <f>IF(CLIENTS_CHURN345[[#This Row],[Type_Forfait]]="Pro Monde","B2B","B2C")</f>
        <v>B2C</v>
      </c>
      <c r="L302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302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302" s="1">
        <f>CLIENTS_CHURN345[[#This Row],[Facture_Mensuelle]]*CLIENTS_CHURN345[[#This Row],[Colonne12]]</f>
        <v>7.3125</v>
      </c>
    </row>
    <row r="303" spans="1:14">
      <c r="A303" s="1" t="s">
        <v>85</v>
      </c>
      <c r="B303" t="s">
        <v>129</v>
      </c>
      <c r="C303" t="s">
        <v>18</v>
      </c>
      <c r="D303">
        <v>12</v>
      </c>
      <c r="E303" t="s">
        <v>32</v>
      </c>
      <c r="F303">
        <v>208</v>
      </c>
      <c r="G303">
        <v>16.29</v>
      </c>
      <c r="H303">
        <v>4</v>
      </c>
      <c r="I303">
        <f>CLIENTS_CHURN345[[#This Row],[Anciennete_Mois]]/12</f>
        <v>1</v>
      </c>
      <c r="J303">
        <f>CLIENTS_CHURN345[[#This Row],[Duree_Cumulee_Panne_Min]]/60</f>
        <v>3.4666666666666668</v>
      </c>
      <c r="K303" t="str">
        <f>IF(CLIENTS_CHURN345[[#This Row],[Type_Forfait]]="Pro Monde","B2B","B2C")</f>
        <v>B2C</v>
      </c>
      <c r="L303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303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303" s="1">
        <f>CLIENTS_CHURN345[[#This Row],[Facture_Mensuelle]]*CLIENTS_CHURN345[[#This Row],[Colonne12]]</f>
        <v>7.3304999999999998</v>
      </c>
    </row>
    <row r="304" spans="1:14">
      <c r="A304" s="1" t="s">
        <v>602</v>
      </c>
      <c r="B304" t="s">
        <v>648</v>
      </c>
      <c r="C304" t="s">
        <v>63</v>
      </c>
      <c r="D304">
        <v>83</v>
      </c>
      <c r="E304" t="s">
        <v>11</v>
      </c>
      <c r="F304">
        <v>91</v>
      </c>
      <c r="G304">
        <v>73.73</v>
      </c>
      <c r="H304">
        <v>2</v>
      </c>
      <c r="I304">
        <f>CLIENTS_CHURN345[[#This Row],[Anciennete_Mois]]/12</f>
        <v>6.916666666666667</v>
      </c>
      <c r="J304">
        <f>CLIENTS_CHURN345[[#This Row],[Duree_Cumulee_Panne_Min]]/60</f>
        <v>1.5166666666666666</v>
      </c>
      <c r="K304" t="str">
        <f>IF(CLIENTS_CHURN345[[#This Row],[Type_Forfait]]="Pro Monde","B2B","B2C")</f>
        <v>B2B</v>
      </c>
      <c r="L304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10%</v>
      </c>
      <c r="M304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0.1</v>
      </c>
      <c r="N304" s="1">
        <f>CLIENTS_CHURN345[[#This Row],[Facture_Mensuelle]]*CLIENTS_CHURN345[[#This Row],[Colonne12]]</f>
        <v>7.3730000000000011</v>
      </c>
    </row>
    <row r="305" spans="1:14">
      <c r="A305" s="1" t="s">
        <v>653</v>
      </c>
      <c r="B305" t="s">
        <v>673</v>
      </c>
      <c r="C305" t="s">
        <v>76</v>
      </c>
      <c r="D305">
        <v>101</v>
      </c>
      <c r="E305" t="s">
        <v>11</v>
      </c>
      <c r="F305">
        <v>108</v>
      </c>
      <c r="G305">
        <v>76.05</v>
      </c>
      <c r="H305">
        <v>3</v>
      </c>
      <c r="I305">
        <f>CLIENTS_CHURN345[[#This Row],[Anciennete_Mois]]/12</f>
        <v>8.4166666666666661</v>
      </c>
      <c r="J305">
        <f>CLIENTS_CHURN345[[#This Row],[Duree_Cumulee_Panne_Min]]/60</f>
        <v>1.8</v>
      </c>
      <c r="K305" t="str">
        <f>IF(CLIENTS_CHURN345[[#This Row],[Type_Forfait]]="Pro Monde","B2B","B2C")</f>
        <v>B2B</v>
      </c>
      <c r="L305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10%</v>
      </c>
      <c r="M305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0.1</v>
      </c>
      <c r="N305" s="1">
        <f>CLIENTS_CHURN345[[#This Row],[Facture_Mensuelle]]*CLIENTS_CHURN345[[#This Row],[Colonne12]]</f>
        <v>7.6050000000000004</v>
      </c>
    </row>
    <row r="306" spans="1:14">
      <c r="A306" s="1" t="s">
        <v>705</v>
      </c>
      <c r="B306" t="s">
        <v>735</v>
      </c>
      <c r="C306" t="s">
        <v>40</v>
      </c>
      <c r="D306">
        <v>99</v>
      </c>
      <c r="E306" t="s">
        <v>11</v>
      </c>
      <c r="F306">
        <v>169</v>
      </c>
      <c r="G306">
        <v>76.75</v>
      </c>
      <c r="H306">
        <v>5</v>
      </c>
      <c r="I306">
        <f>CLIENTS_CHURN345[[#This Row],[Anciennete_Mois]]/12</f>
        <v>8.25</v>
      </c>
      <c r="J306">
        <f>CLIENTS_CHURN345[[#This Row],[Duree_Cumulee_Panne_Min]]/60</f>
        <v>2.8166666666666669</v>
      </c>
      <c r="K306" t="str">
        <f>IF(CLIENTS_CHURN345[[#This Row],[Type_Forfait]]="Pro Monde","B2B","B2C")</f>
        <v>B2B</v>
      </c>
      <c r="L306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10%</v>
      </c>
      <c r="M306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0.1</v>
      </c>
      <c r="N306" s="1">
        <f>CLIENTS_CHURN345[[#This Row],[Facture_Mensuelle]]*CLIENTS_CHURN345[[#This Row],[Colonne12]]</f>
        <v>7.6750000000000007</v>
      </c>
    </row>
    <row r="307" spans="1:14">
      <c r="A307" s="1" t="s">
        <v>344</v>
      </c>
      <c r="B307" t="s">
        <v>370</v>
      </c>
      <c r="C307" t="s">
        <v>92</v>
      </c>
      <c r="D307">
        <v>37</v>
      </c>
      <c r="E307" t="s">
        <v>11</v>
      </c>
      <c r="F307">
        <v>88</v>
      </c>
      <c r="G307">
        <v>77.77</v>
      </c>
      <c r="H307">
        <v>1</v>
      </c>
      <c r="I307">
        <f>CLIENTS_CHURN345[[#This Row],[Anciennete_Mois]]/12</f>
        <v>3.0833333333333335</v>
      </c>
      <c r="J307">
        <f>CLIENTS_CHURN345[[#This Row],[Duree_Cumulee_Panne_Min]]/60</f>
        <v>1.4666666666666666</v>
      </c>
      <c r="K307" t="str">
        <f>IF(CLIENTS_CHURN345[[#This Row],[Type_Forfait]]="Pro Monde","B2B","B2C")</f>
        <v>B2B</v>
      </c>
      <c r="L307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10%</v>
      </c>
      <c r="M307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0.1</v>
      </c>
      <c r="N307" s="1">
        <f>CLIENTS_CHURN345[[#This Row],[Facture_Mensuelle]]*CLIENTS_CHURN345[[#This Row],[Colonne12]]</f>
        <v>7.7770000000000001</v>
      </c>
    </row>
    <row r="308" spans="1:14">
      <c r="A308" s="1" t="s">
        <v>344</v>
      </c>
      <c r="B308" t="s">
        <v>385</v>
      </c>
      <c r="C308" t="s">
        <v>38</v>
      </c>
      <c r="D308">
        <v>55</v>
      </c>
      <c r="E308" t="s">
        <v>32</v>
      </c>
      <c r="F308">
        <v>86</v>
      </c>
      <c r="G308">
        <v>17.440000000000001</v>
      </c>
      <c r="H308">
        <v>2</v>
      </c>
      <c r="I308">
        <f>CLIENTS_CHURN345[[#This Row],[Anciennete_Mois]]/12</f>
        <v>4.583333333333333</v>
      </c>
      <c r="J308">
        <f>CLIENTS_CHURN345[[#This Row],[Duree_Cumulee_Panne_Min]]/60</f>
        <v>1.4333333333333333</v>
      </c>
      <c r="K308" t="str">
        <f>IF(CLIENTS_CHURN345[[#This Row],[Type_Forfait]]="Pro Monde","B2B","B2C")</f>
        <v>B2C</v>
      </c>
      <c r="L308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308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308" s="1">
        <f>CLIENTS_CHURN345[[#This Row],[Facture_Mensuelle]]*CLIENTS_CHURN345[[#This Row],[Colonne12]]</f>
        <v>7.8480000000000008</v>
      </c>
    </row>
    <row r="309" spans="1:14">
      <c r="A309" s="1" t="s">
        <v>191</v>
      </c>
      <c r="B309" t="s">
        <v>204</v>
      </c>
      <c r="C309" t="s">
        <v>76</v>
      </c>
      <c r="D309">
        <v>89</v>
      </c>
      <c r="E309" t="s">
        <v>11</v>
      </c>
      <c r="F309">
        <v>203</v>
      </c>
      <c r="G309">
        <v>80.680000000000007</v>
      </c>
      <c r="H309">
        <v>5</v>
      </c>
      <c r="I309">
        <f>CLIENTS_CHURN345[[#This Row],[Anciennete_Mois]]/12</f>
        <v>7.416666666666667</v>
      </c>
      <c r="J309">
        <f>CLIENTS_CHURN345[[#This Row],[Duree_Cumulee_Panne_Min]]/60</f>
        <v>3.3833333333333333</v>
      </c>
      <c r="K309" t="str">
        <f>IF(CLIENTS_CHURN345[[#This Row],[Type_Forfait]]="Pro Monde","B2B","B2C")</f>
        <v>B2B</v>
      </c>
      <c r="L309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10%</v>
      </c>
      <c r="M309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0.1</v>
      </c>
      <c r="N309" s="1">
        <f>CLIENTS_CHURN345[[#This Row],[Facture_Mensuelle]]*CLIENTS_CHURN345[[#This Row],[Colonne12]]</f>
        <v>8.0680000000000014</v>
      </c>
    </row>
    <row r="310" spans="1:14">
      <c r="A310" s="1" t="s">
        <v>85</v>
      </c>
      <c r="B310" t="s">
        <v>126</v>
      </c>
      <c r="C310" t="s">
        <v>63</v>
      </c>
      <c r="D310">
        <v>111</v>
      </c>
      <c r="E310" t="s">
        <v>21</v>
      </c>
      <c r="F310">
        <v>324</v>
      </c>
      <c r="G310">
        <v>18.07</v>
      </c>
      <c r="H310">
        <v>2</v>
      </c>
      <c r="I310">
        <f>CLIENTS_CHURN345[[#This Row],[Anciennete_Mois]]/12</f>
        <v>9.25</v>
      </c>
      <c r="J310">
        <f>CLIENTS_CHURN345[[#This Row],[Duree_Cumulee_Panne_Min]]/60</f>
        <v>5.4</v>
      </c>
      <c r="K310" t="str">
        <f>IF(CLIENTS_CHURN345[[#This Row],[Type_Forfait]]="Pro Monde","B2B","B2C")</f>
        <v>B2C</v>
      </c>
      <c r="L310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310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310" s="1">
        <f>CLIENTS_CHURN345[[#This Row],[Facture_Mensuelle]]*CLIENTS_CHURN345[[#This Row],[Colonne12]]</f>
        <v>8.1315000000000008</v>
      </c>
    </row>
    <row r="311" spans="1:14">
      <c r="A311" s="1" t="s">
        <v>344</v>
      </c>
      <c r="B311" t="s">
        <v>379</v>
      </c>
      <c r="C311" t="s">
        <v>107</v>
      </c>
      <c r="D311">
        <v>67</v>
      </c>
      <c r="E311" t="s">
        <v>11</v>
      </c>
      <c r="F311">
        <v>26</v>
      </c>
      <c r="G311">
        <v>81.489999999999995</v>
      </c>
      <c r="H311">
        <v>4</v>
      </c>
      <c r="I311">
        <f>CLIENTS_CHURN345[[#This Row],[Anciennete_Mois]]/12</f>
        <v>5.583333333333333</v>
      </c>
      <c r="J311">
        <f>CLIENTS_CHURN345[[#This Row],[Duree_Cumulee_Panne_Min]]/60</f>
        <v>0.43333333333333335</v>
      </c>
      <c r="K311" t="str">
        <f>IF(CLIENTS_CHURN345[[#This Row],[Type_Forfait]]="Pro Monde","B2B","B2C")</f>
        <v>B2B</v>
      </c>
      <c r="L311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10%</v>
      </c>
      <c r="M311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0.1</v>
      </c>
      <c r="N311" s="1">
        <f>CLIENTS_CHURN345[[#This Row],[Facture_Mensuelle]]*CLIENTS_CHURN345[[#This Row],[Colonne12]]</f>
        <v>8.1489999999999991</v>
      </c>
    </row>
    <row r="312" spans="1:14">
      <c r="A312" s="1" t="s">
        <v>756</v>
      </c>
      <c r="B312" t="s">
        <v>767</v>
      </c>
      <c r="C312" t="s">
        <v>13</v>
      </c>
      <c r="D312">
        <v>26</v>
      </c>
      <c r="E312" t="s">
        <v>32</v>
      </c>
      <c r="F312">
        <v>391</v>
      </c>
      <c r="G312">
        <v>18.28</v>
      </c>
      <c r="H312">
        <v>3</v>
      </c>
      <c r="I312">
        <f>CLIENTS_CHURN345[[#This Row],[Anciennete_Mois]]/12</f>
        <v>2.1666666666666665</v>
      </c>
      <c r="J312">
        <f>CLIENTS_CHURN345[[#This Row],[Duree_Cumulee_Panne_Min]]/60</f>
        <v>6.5166666666666666</v>
      </c>
      <c r="K312" t="str">
        <f>IF(CLIENTS_CHURN345[[#This Row],[Type_Forfait]]="Pro Monde","B2B","B2C")</f>
        <v>B2C</v>
      </c>
      <c r="L312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312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312" s="1">
        <f>CLIENTS_CHURN345[[#This Row],[Facture_Mensuelle]]*CLIENTS_CHURN345[[#This Row],[Colonne12]]</f>
        <v>8.2260000000000009</v>
      </c>
    </row>
    <row r="313" spans="1:14">
      <c r="A313" s="1" t="s">
        <v>602</v>
      </c>
      <c r="B313" t="s">
        <v>650</v>
      </c>
      <c r="C313" t="s">
        <v>95</v>
      </c>
      <c r="D313">
        <v>79</v>
      </c>
      <c r="E313" t="s">
        <v>14</v>
      </c>
      <c r="F313">
        <v>462</v>
      </c>
      <c r="G313">
        <v>18.28</v>
      </c>
      <c r="H313">
        <v>0</v>
      </c>
      <c r="I313">
        <f>CLIENTS_CHURN345[[#This Row],[Anciennete_Mois]]/12</f>
        <v>6.583333333333333</v>
      </c>
      <c r="J313">
        <f>CLIENTS_CHURN345[[#This Row],[Duree_Cumulee_Panne_Min]]/60</f>
        <v>7.7</v>
      </c>
      <c r="K313" t="str">
        <f>IF(CLIENTS_CHURN345[[#This Row],[Type_Forfait]]="Pro Monde","B2B","B2C")</f>
        <v>B2C</v>
      </c>
      <c r="L313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313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313" s="1">
        <f>CLIENTS_CHURN345[[#This Row],[Facture_Mensuelle]]*CLIENTS_CHURN345[[#This Row],[Colonne12]]</f>
        <v>8.2260000000000009</v>
      </c>
    </row>
    <row r="314" spans="1:14">
      <c r="A314" s="1" t="s">
        <v>293</v>
      </c>
      <c r="B314" t="s">
        <v>322</v>
      </c>
      <c r="C314" t="s">
        <v>63</v>
      </c>
      <c r="D314">
        <v>56</v>
      </c>
      <c r="E314" t="s">
        <v>11</v>
      </c>
      <c r="F314">
        <v>55</v>
      </c>
      <c r="G314">
        <v>82.56</v>
      </c>
      <c r="H314">
        <v>2</v>
      </c>
      <c r="I314">
        <f>CLIENTS_CHURN345[[#This Row],[Anciennete_Mois]]/12</f>
        <v>4.666666666666667</v>
      </c>
      <c r="J314">
        <f>CLIENTS_CHURN345[[#This Row],[Duree_Cumulee_Panne_Min]]/60</f>
        <v>0.91666666666666663</v>
      </c>
      <c r="K314" t="str">
        <f>IF(CLIENTS_CHURN345[[#This Row],[Type_Forfait]]="Pro Monde","B2B","B2C")</f>
        <v>B2B</v>
      </c>
      <c r="L314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10%</v>
      </c>
      <c r="M314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0.1</v>
      </c>
      <c r="N314" s="1">
        <f>CLIENTS_CHURN345[[#This Row],[Facture_Mensuelle]]*CLIENTS_CHURN345[[#This Row],[Colonne12]]</f>
        <v>8.2560000000000002</v>
      </c>
    </row>
    <row r="315" spans="1:14">
      <c r="A315" s="1" t="s">
        <v>140</v>
      </c>
      <c r="B315" t="s">
        <v>158</v>
      </c>
      <c r="C315" t="s">
        <v>65</v>
      </c>
      <c r="D315">
        <v>95</v>
      </c>
      <c r="E315" t="s">
        <v>11</v>
      </c>
      <c r="F315">
        <v>95</v>
      </c>
      <c r="G315">
        <v>82.65</v>
      </c>
      <c r="H315">
        <v>2</v>
      </c>
      <c r="I315">
        <f>CLIENTS_CHURN345[[#This Row],[Anciennete_Mois]]/12</f>
        <v>7.916666666666667</v>
      </c>
      <c r="J315">
        <f>CLIENTS_CHURN345[[#This Row],[Duree_Cumulee_Panne_Min]]/60</f>
        <v>1.5833333333333333</v>
      </c>
      <c r="K315" t="str">
        <f>IF(CLIENTS_CHURN345[[#This Row],[Type_Forfait]]="Pro Monde","B2B","B2C")</f>
        <v>B2B</v>
      </c>
      <c r="L315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10%</v>
      </c>
      <c r="M315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0.1</v>
      </c>
      <c r="N315" s="1">
        <f>CLIENTS_CHURN345[[#This Row],[Facture_Mensuelle]]*CLIENTS_CHURN345[[#This Row],[Colonne12]]</f>
        <v>8.2650000000000006</v>
      </c>
    </row>
    <row r="316" spans="1:14">
      <c r="A316" s="1" t="s">
        <v>191</v>
      </c>
      <c r="B316" t="s">
        <v>205</v>
      </c>
      <c r="C316" t="s">
        <v>40</v>
      </c>
      <c r="D316">
        <v>58</v>
      </c>
      <c r="E316" t="s">
        <v>14</v>
      </c>
      <c r="F316">
        <v>405</v>
      </c>
      <c r="G316">
        <v>18.39</v>
      </c>
      <c r="H316">
        <v>0</v>
      </c>
      <c r="I316">
        <f>CLIENTS_CHURN345[[#This Row],[Anciennete_Mois]]/12</f>
        <v>4.833333333333333</v>
      </c>
      <c r="J316">
        <f>CLIENTS_CHURN345[[#This Row],[Duree_Cumulee_Panne_Min]]/60</f>
        <v>6.75</v>
      </c>
      <c r="K316" t="str">
        <f>IF(CLIENTS_CHURN345[[#This Row],[Type_Forfait]]="Pro Monde","B2B","B2C")</f>
        <v>B2C</v>
      </c>
      <c r="L316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316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316" s="1">
        <f>CLIENTS_CHURN345[[#This Row],[Facture_Mensuelle]]*CLIENTS_CHURN345[[#This Row],[Colonne12]]</f>
        <v>8.275500000000001</v>
      </c>
    </row>
    <row r="317" spans="1:14">
      <c r="A317" s="1" t="s">
        <v>344</v>
      </c>
      <c r="B317" t="s">
        <v>389</v>
      </c>
      <c r="C317" t="s">
        <v>40</v>
      </c>
      <c r="D317">
        <v>41</v>
      </c>
      <c r="E317" t="s">
        <v>11</v>
      </c>
      <c r="F317">
        <v>206</v>
      </c>
      <c r="G317">
        <v>83.16</v>
      </c>
      <c r="H317">
        <v>2</v>
      </c>
      <c r="I317">
        <f>CLIENTS_CHURN345[[#This Row],[Anciennete_Mois]]/12</f>
        <v>3.4166666666666665</v>
      </c>
      <c r="J317">
        <f>CLIENTS_CHURN345[[#This Row],[Duree_Cumulee_Panne_Min]]/60</f>
        <v>3.4333333333333331</v>
      </c>
      <c r="K317" t="str">
        <f>IF(CLIENTS_CHURN345[[#This Row],[Type_Forfait]]="Pro Monde","B2B","B2C")</f>
        <v>B2B</v>
      </c>
      <c r="L317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10%</v>
      </c>
      <c r="M317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0.1</v>
      </c>
      <c r="N317" s="1">
        <f>CLIENTS_CHURN345[[#This Row],[Facture_Mensuelle]]*CLIENTS_CHURN345[[#This Row],[Colonne12]]</f>
        <v>8.3160000000000007</v>
      </c>
    </row>
    <row r="318" spans="1:14">
      <c r="A318" s="1" t="s">
        <v>705</v>
      </c>
      <c r="B318" t="s">
        <v>742</v>
      </c>
      <c r="C318" t="s">
        <v>31</v>
      </c>
      <c r="D318">
        <v>85</v>
      </c>
      <c r="E318" t="s">
        <v>11</v>
      </c>
      <c r="F318">
        <v>28</v>
      </c>
      <c r="G318">
        <v>83.82</v>
      </c>
      <c r="H318">
        <v>0</v>
      </c>
      <c r="I318">
        <f>CLIENTS_CHURN345[[#This Row],[Anciennete_Mois]]/12</f>
        <v>7.083333333333333</v>
      </c>
      <c r="J318">
        <f>CLIENTS_CHURN345[[#This Row],[Duree_Cumulee_Panne_Min]]/60</f>
        <v>0.46666666666666667</v>
      </c>
      <c r="K318" t="str">
        <f>IF(CLIENTS_CHURN345[[#This Row],[Type_Forfait]]="Pro Monde","B2B","B2C")</f>
        <v>B2B</v>
      </c>
      <c r="L318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10%</v>
      </c>
      <c r="M318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0.1</v>
      </c>
      <c r="N318" s="1">
        <f>CLIENTS_CHURN345[[#This Row],[Facture_Mensuelle]]*CLIENTS_CHURN345[[#This Row],[Colonne12]]</f>
        <v>8.3819999999999997</v>
      </c>
    </row>
    <row r="319" spans="1:14">
      <c r="A319" s="1" t="s">
        <v>499</v>
      </c>
      <c r="B319" t="s">
        <v>508</v>
      </c>
      <c r="C319" t="s">
        <v>13</v>
      </c>
      <c r="D319">
        <v>20</v>
      </c>
      <c r="E319" t="s">
        <v>11</v>
      </c>
      <c r="F319">
        <v>93</v>
      </c>
      <c r="G319">
        <v>84.45</v>
      </c>
      <c r="H319">
        <v>0</v>
      </c>
      <c r="I319">
        <f>CLIENTS_CHURN345[[#This Row],[Anciennete_Mois]]/12</f>
        <v>1.6666666666666667</v>
      </c>
      <c r="J319">
        <f>CLIENTS_CHURN345[[#This Row],[Duree_Cumulee_Panne_Min]]/60</f>
        <v>1.55</v>
      </c>
      <c r="K319" t="str">
        <f>IF(CLIENTS_CHURN345[[#This Row],[Type_Forfait]]="Pro Monde","B2B","B2C")</f>
        <v>B2B</v>
      </c>
      <c r="L319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10%</v>
      </c>
      <c r="M319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0.1</v>
      </c>
      <c r="N319" s="1">
        <f>CLIENTS_CHURN345[[#This Row],[Facture_Mensuelle]]*CLIENTS_CHURN345[[#This Row],[Colonne12]]</f>
        <v>8.4450000000000003</v>
      </c>
    </row>
    <row r="320" spans="1:14">
      <c r="A320" s="1" t="s">
        <v>344</v>
      </c>
      <c r="B320" t="s">
        <v>383</v>
      </c>
      <c r="C320" t="s">
        <v>57</v>
      </c>
      <c r="D320">
        <v>51</v>
      </c>
      <c r="E320" t="s">
        <v>32</v>
      </c>
      <c r="F320">
        <v>222</v>
      </c>
      <c r="G320">
        <v>18.95</v>
      </c>
      <c r="H320">
        <v>4</v>
      </c>
      <c r="I320">
        <f>CLIENTS_CHURN345[[#This Row],[Anciennete_Mois]]/12</f>
        <v>4.25</v>
      </c>
      <c r="J320">
        <f>CLIENTS_CHURN345[[#This Row],[Duree_Cumulee_Panne_Min]]/60</f>
        <v>3.7</v>
      </c>
      <c r="K320" t="str">
        <f>IF(CLIENTS_CHURN345[[#This Row],[Type_Forfait]]="Pro Monde","B2B","B2C")</f>
        <v>B2C</v>
      </c>
      <c r="L320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320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320" s="1">
        <f>CLIENTS_CHURN345[[#This Row],[Facture_Mensuelle]]*CLIENTS_CHURN345[[#This Row],[Colonne12]]</f>
        <v>8.5274999999999999</v>
      </c>
    </row>
    <row r="321" spans="1:14">
      <c r="A321" s="1" t="s">
        <v>395</v>
      </c>
      <c r="B321" t="s">
        <v>425</v>
      </c>
      <c r="C321" t="s">
        <v>26</v>
      </c>
      <c r="D321">
        <v>13</v>
      </c>
      <c r="E321" t="s">
        <v>11</v>
      </c>
      <c r="F321">
        <v>173</v>
      </c>
      <c r="G321">
        <v>85.54</v>
      </c>
      <c r="H321">
        <v>3</v>
      </c>
      <c r="I321">
        <f>CLIENTS_CHURN345[[#This Row],[Anciennete_Mois]]/12</f>
        <v>1.0833333333333333</v>
      </c>
      <c r="J321">
        <f>CLIENTS_CHURN345[[#This Row],[Duree_Cumulee_Panne_Min]]/60</f>
        <v>2.8833333333333333</v>
      </c>
      <c r="K321" t="str">
        <f>IF(CLIENTS_CHURN345[[#This Row],[Type_Forfait]]="Pro Monde","B2B","B2C")</f>
        <v>B2B</v>
      </c>
      <c r="L321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10%</v>
      </c>
      <c r="M321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0.1</v>
      </c>
      <c r="N321" s="1">
        <f>CLIENTS_CHURN345[[#This Row],[Facture_Mensuelle]]*CLIENTS_CHURN345[[#This Row],[Colonne12]]</f>
        <v>8.5540000000000003</v>
      </c>
    </row>
    <row r="322" spans="1:14">
      <c r="A322" s="1" t="s">
        <v>85</v>
      </c>
      <c r="B322" t="s">
        <v>102</v>
      </c>
      <c r="C322" t="s">
        <v>29</v>
      </c>
      <c r="D322">
        <v>86</v>
      </c>
      <c r="E322" t="s">
        <v>11</v>
      </c>
      <c r="F322">
        <v>237</v>
      </c>
      <c r="G322">
        <v>85.82</v>
      </c>
      <c r="H322">
        <v>5</v>
      </c>
      <c r="I322">
        <f>CLIENTS_CHURN345[[#This Row],[Anciennete_Mois]]/12</f>
        <v>7.166666666666667</v>
      </c>
      <c r="J322">
        <f>CLIENTS_CHURN345[[#This Row],[Duree_Cumulee_Panne_Min]]/60</f>
        <v>3.95</v>
      </c>
      <c r="K322" t="str">
        <f>IF(CLIENTS_CHURN345[[#This Row],[Type_Forfait]]="Pro Monde","B2B","B2C")</f>
        <v>B2B</v>
      </c>
      <c r="L322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10%</v>
      </c>
      <c r="M322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0.1</v>
      </c>
      <c r="N322" s="1">
        <f>CLIENTS_CHURN345[[#This Row],[Facture_Mensuelle]]*CLIENTS_CHURN345[[#This Row],[Colonne12]]</f>
        <v>8.581999999999999</v>
      </c>
    </row>
    <row r="323" spans="1:14">
      <c r="A323" s="1" t="s">
        <v>499</v>
      </c>
      <c r="B323" t="s">
        <v>544</v>
      </c>
      <c r="C323" t="s">
        <v>76</v>
      </c>
      <c r="D323">
        <v>93</v>
      </c>
      <c r="E323" t="s">
        <v>11</v>
      </c>
      <c r="F323">
        <v>153</v>
      </c>
      <c r="G323">
        <v>86.19</v>
      </c>
      <c r="H323">
        <v>0</v>
      </c>
      <c r="I323">
        <f>CLIENTS_CHURN345[[#This Row],[Anciennete_Mois]]/12</f>
        <v>7.75</v>
      </c>
      <c r="J323">
        <f>CLIENTS_CHURN345[[#This Row],[Duree_Cumulee_Panne_Min]]/60</f>
        <v>2.5499999999999998</v>
      </c>
      <c r="K323" t="str">
        <f>IF(CLIENTS_CHURN345[[#This Row],[Type_Forfait]]="Pro Monde","B2B","B2C")</f>
        <v>B2B</v>
      </c>
      <c r="L323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10%</v>
      </c>
      <c r="M323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0.1</v>
      </c>
      <c r="N323" s="1">
        <f>CLIENTS_CHURN345[[#This Row],[Facture_Mensuelle]]*CLIENTS_CHURN345[[#This Row],[Colonne12]]</f>
        <v>8.6189999999999998</v>
      </c>
    </row>
    <row r="324" spans="1:14">
      <c r="A324" s="1" t="s">
        <v>242</v>
      </c>
      <c r="B324" t="s">
        <v>249</v>
      </c>
      <c r="C324" t="s">
        <v>61</v>
      </c>
      <c r="D324">
        <v>108</v>
      </c>
      <c r="E324" t="s">
        <v>11</v>
      </c>
      <c r="F324">
        <v>48</v>
      </c>
      <c r="G324">
        <v>86.22</v>
      </c>
      <c r="H324">
        <v>3</v>
      </c>
      <c r="I324">
        <f>CLIENTS_CHURN345[[#This Row],[Anciennete_Mois]]/12</f>
        <v>9</v>
      </c>
      <c r="J324">
        <f>CLIENTS_CHURN345[[#This Row],[Duree_Cumulee_Panne_Min]]/60</f>
        <v>0.8</v>
      </c>
      <c r="K324" t="str">
        <f>IF(CLIENTS_CHURN345[[#This Row],[Type_Forfait]]="Pro Monde","B2B","B2C")</f>
        <v>B2B</v>
      </c>
      <c r="L324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10%</v>
      </c>
      <c r="M324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0.1</v>
      </c>
      <c r="N324" s="1">
        <f>CLIENTS_CHURN345[[#This Row],[Facture_Mensuelle]]*CLIENTS_CHURN345[[#This Row],[Colonne12]]</f>
        <v>8.6219999999999999</v>
      </c>
    </row>
    <row r="325" spans="1:14">
      <c r="A325" s="1" t="s">
        <v>602</v>
      </c>
      <c r="B325" t="s">
        <v>637</v>
      </c>
      <c r="C325" t="s">
        <v>40</v>
      </c>
      <c r="D325">
        <v>23</v>
      </c>
      <c r="E325" t="s">
        <v>32</v>
      </c>
      <c r="F325">
        <v>314</v>
      </c>
      <c r="G325">
        <v>19.260000000000002</v>
      </c>
      <c r="H325">
        <v>3</v>
      </c>
      <c r="I325">
        <f>CLIENTS_CHURN345[[#This Row],[Anciennete_Mois]]/12</f>
        <v>1.9166666666666667</v>
      </c>
      <c r="J325">
        <f>CLIENTS_CHURN345[[#This Row],[Duree_Cumulee_Panne_Min]]/60</f>
        <v>5.2333333333333334</v>
      </c>
      <c r="K325" t="str">
        <f>IF(CLIENTS_CHURN345[[#This Row],[Type_Forfait]]="Pro Monde","B2B","B2C")</f>
        <v>B2C</v>
      </c>
      <c r="L325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325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325" s="1">
        <f>CLIENTS_CHURN345[[#This Row],[Facture_Mensuelle]]*CLIENTS_CHURN345[[#This Row],[Colonne12]]</f>
        <v>8.6670000000000016</v>
      </c>
    </row>
    <row r="326" spans="1:14">
      <c r="A326" s="1" t="s">
        <v>140</v>
      </c>
      <c r="B326" t="s">
        <v>149</v>
      </c>
      <c r="C326" t="s">
        <v>92</v>
      </c>
      <c r="D326">
        <v>29</v>
      </c>
      <c r="E326" t="s">
        <v>11</v>
      </c>
      <c r="F326">
        <v>34</v>
      </c>
      <c r="G326">
        <v>86.68</v>
      </c>
      <c r="H326">
        <v>1</v>
      </c>
      <c r="I326">
        <f>CLIENTS_CHURN345[[#This Row],[Anciennete_Mois]]/12</f>
        <v>2.4166666666666665</v>
      </c>
      <c r="J326">
        <f>CLIENTS_CHURN345[[#This Row],[Duree_Cumulee_Panne_Min]]/60</f>
        <v>0.56666666666666665</v>
      </c>
      <c r="K326" t="str">
        <f>IF(CLIENTS_CHURN345[[#This Row],[Type_Forfait]]="Pro Monde","B2B","B2C")</f>
        <v>B2B</v>
      </c>
      <c r="L326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10%</v>
      </c>
      <c r="M326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0.1</v>
      </c>
      <c r="N326" s="1">
        <f>CLIENTS_CHURN345[[#This Row],[Facture_Mensuelle]]*CLIENTS_CHURN345[[#This Row],[Colonne12]]</f>
        <v>8.668000000000001</v>
      </c>
    </row>
    <row r="327" spans="1:14">
      <c r="A327" s="1" t="s">
        <v>140</v>
      </c>
      <c r="B327" t="s">
        <v>167</v>
      </c>
      <c r="C327" t="s">
        <v>36</v>
      </c>
      <c r="D327">
        <v>69</v>
      </c>
      <c r="E327" t="s">
        <v>11</v>
      </c>
      <c r="F327">
        <v>463</v>
      </c>
      <c r="G327">
        <v>19.440000000000001</v>
      </c>
      <c r="H327">
        <v>0</v>
      </c>
      <c r="I327">
        <f>CLIENTS_CHURN345[[#This Row],[Anciennete_Mois]]/12</f>
        <v>5.75</v>
      </c>
      <c r="J327">
        <f>CLIENTS_CHURN345[[#This Row],[Duree_Cumulee_Panne_Min]]/60</f>
        <v>7.7166666666666668</v>
      </c>
      <c r="K327" t="str">
        <f>IF(CLIENTS_CHURN345[[#This Row],[Type_Forfait]]="Pro Monde","B2B","B2C")</f>
        <v>B2B</v>
      </c>
      <c r="L327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327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327" s="1">
        <f>CLIENTS_CHURN345[[#This Row],[Facture_Mensuelle]]*CLIENTS_CHURN345[[#This Row],[Colonne12]]</f>
        <v>8.7480000000000011</v>
      </c>
    </row>
    <row r="328" spans="1:14">
      <c r="A328" s="1" t="s">
        <v>602</v>
      </c>
      <c r="B328" t="s">
        <v>613</v>
      </c>
      <c r="C328" t="s">
        <v>79</v>
      </c>
      <c r="D328">
        <v>17</v>
      </c>
      <c r="E328" t="s">
        <v>21</v>
      </c>
      <c r="F328">
        <v>310</v>
      </c>
      <c r="G328">
        <v>19.68</v>
      </c>
      <c r="H328">
        <v>5</v>
      </c>
      <c r="I328">
        <f>CLIENTS_CHURN345[[#This Row],[Anciennete_Mois]]/12</f>
        <v>1.4166666666666667</v>
      </c>
      <c r="J328">
        <f>CLIENTS_CHURN345[[#This Row],[Duree_Cumulee_Panne_Min]]/60</f>
        <v>5.166666666666667</v>
      </c>
      <c r="K328" t="str">
        <f>IF(CLIENTS_CHURN345[[#This Row],[Type_Forfait]]="Pro Monde","B2B","B2C")</f>
        <v>B2C</v>
      </c>
      <c r="L328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328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328" s="1">
        <f>CLIENTS_CHURN345[[#This Row],[Facture_Mensuelle]]*CLIENTS_CHURN345[[#This Row],[Colonne12]]</f>
        <v>8.8559999999999999</v>
      </c>
    </row>
    <row r="329" spans="1:14">
      <c r="A329" s="1" t="s">
        <v>499</v>
      </c>
      <c r="B329" t="s">
        <v>538</v>
      </c>
      <c r="C329" t="s">
        <v>63</v>
      </c>
      <c r="D329">
        <v>39</v>
      </c>
      <c r="E329" t="s">
        <v>11</v>
      </c>
      <c r="F329">
        <v>54</v>
      </c>
      <c r="G329">
        <v>88.84</v>
      </c>
      <c r="H329">
        <v>0</v>
      </c>
      <c r="I329">
        <f>CLIENTS_CHURN345[[#This Row],[Anciennete_Mois]]/12</f>
        <v>3.25</v>
      </c>
      <c r="J329">
        <f>CLIENTS_CHURN345[[#This Row],[Duree_Cumulee_Panne_Min]]/60</f>
        <v>0.9</v>
      </c>
      <c r="K329" t="str">
        <f>IF(CLIENTS_CHURN345[[#This Row],[Type_Forfait]]="Pro Monde","B2B","B2C")</f>
        <v>B2B</v>
      </c>
      <c r="L329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10%</v>
      </c>
      <c r="M329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0.1</v>
      </c>
      <c r="N329" s="1">
        <f>CLIENTS_CHURN345[[#This Row],[Facture_Mensuelle]]*CLIENTS_CHURN345[[#This Row],[Colonne12]]</f>
        <v>8.8840000000000003</v>
      </c>
    </row>
    <row r="330" spans="1:14">
      <c r="A330" s="1" t="s">
        <v>499</v>
      </c>
      <c r="B330" t="s">
        <v>531</v>
      </c>
      <c r="C330" t="s">
        <v>20</v>
      </c>
      <c r="D330">
        <v>19</v>
      </c>
      <c r="E330" t="s">
        <v>32</v>
      </c>
      <c r="F330">
        <v>270</v>
      </c>
      <c r="G330">
        <v>19.760000000000002</v>
      </c>
      <c r="H330">
        <v>3</v>
      </c>
      <c r="I330">
        <f>CLIENTS_CHURN345[[#This Row],[Anciennete_Mois]]/12</f>
        <v>1.5833333333333333</v>
      </c>
      <c r="J330">
        <f>CLIENTS_CHURN345[[#This Row],[Duree_Cumulee_Panne_Min]]/60</f>
        <v>4.5</v>
      </c>
      <c r="K330" t="str">
        <f>IF(CLIENTS_CHURN345[[#This Row],[Type_Forfait]]="Pro Monde","B2B","B2C")</f>
        <v>B2C</v>
      </c>
      <c r="L330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330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330" s="1">
        <f>CLIENTS_CHURN345[[#This Row],[Facture_Mensuelle]]*CLIENTS_CHURN345[[#This Row],[Colonne12]]</f>
        <v>8.8920000000000012</v>
      </c>
    </row>
    <row r="331" spans="1:14">
      <c r="A331" s="1" t="s">
        <v>191</v>
      </c>
      <c r="B331" t="s">
        <v>213</v>
      </c>
      <c r="C331" t="s">
        <v>76</v>
      </c>
      <c r="D331">
        <v>27</v>
      </c>
      <c r="E331" t="s">
        <v>32</v>
      </c>
      <c r="F331">
        <v>369</v>
      </c>
      <c r="G331">
        <v>19.78</v>
      </c>
      <c r="H331">
        <v>1</v>
      </c>
      <c r="I331">
        <f>CLIENTS_CHURN345[[#This Row],[Anciennete_Mois]]/12</f>
        <v>2.25</v>
      </c>
      <c r="J331">
        <f>CLIENTS_CHURN345[[#This Row],[Duree_Cumulee_Panne_Min]]/60</f>
        <v>6.15</v>
      </c>
      <c r="K331" t="str">
        <f>IF(CLIENTS_CHURN345[[#This Row],[Type_Forfait]]="Pro Monde","B2B","B2C")</f>
        <v>B2C</v>
      </c>
      <c r="L331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331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331" s="1">
        <f>CLIENTS_CHURN345[[#This Row],[Facture_Mensuelle]]*CLIENTS_CHURN345[[#This Row],[Colonne12]]</f>
        <v>8.9010000000000016</v>
      </c>
    </row>
    <row r="332" spans="1:14">
      <c r="A332" s="1" t="s">
        <v>395</v>
      </c>
      <c r="B332" t="s">
        <v>442</v>
      </c>
      <c r="C332" t="s">
        <v>10</v>
      </c>
      <c r="D332">
        <v>35</v>
      </c>
      <c r="E332" t="s">
        <v>11</v>
      </c>
      <c r="F332">
        <v>496</v>
      </c>
      <c r="G332">
        <v>19.78</v>
      </c>
      <c r="H332">
        <v>5</v>
      </c>
      <c r="I332">
        <f>CLIENTS_CHURN345[[#This Row],[Anciennete_Mois]]/12</f>
        <v>2.9166666666666665</v>
      </c>
      <c r="J332">
        <f>CLIENTS_CHURN345[[#This Row],[Duree_Cumulee_Panne_Min]]/60</f>
        <v>8.2666666666666675</v>
      </c>
      <c r="K332" t="str">
        <f>IF(CLIENTS_CHURN345[[#This Row],[Type_Forfait]]="Pro Monde","B2B","B2C")</f>
        <v>B2B</v>
      </c>
      <c r="L332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332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332" s="1">
        <f>CLIENTS_CHURN345[[#This Row],[Facture_Mensuelle]]*CLIENTS_CHURN345[[#This Row],[Colonne12]]</f>
        <v>8.9010000000000016</v>
      </c>
    </row>
    <row r="333" spans="1:14">
      <c r="A333" s="1" t="s">
        <v>8</v>
      </c>
      <c r="B333" t="s">
        <v>55</v>
      </c>
      <c r="C333" t="s">
        <v>16</v>
      </c>
      <c r="D333">
        <v>63</v>
      </c>
      <c r="E333" t="s">
        <v>11</v>
      </c>
      <c r="F333">
        <v>205</v>
      </c>
      <c r="G333">
        <v>89.19</v>
      </c>
      <c r="H333">
        <v>0</v>
      </c>
      <c r="I333">
        <f>CLIENTS_CHURN345[[#This Row],[Anciennete_Mois]]/12</f>
        <v>5.25</v>
      </c>
      <c r="J333">
        <f>CLIENTS_CHURN345[[#This Row],[Duree_Cumulee_Panne_Min]]/60</f>
        <v>3.4166666666666665</v>
      </c>
      <c r="K333" t="str">
        <f>IF(CLIENTS_CHURN345[[#This Row],[Type_Forfait]]="Pro Monde","B2B","B2C")</f>
        <v>B2B</v>
      </c>
      <c r="L333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10%</v>
      </c>
      <c r="M333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0.1</v>
      </c>
      <c r="N333" s="1">
        <f>CLIENTS_CHURN345[[#This Row],[Facture_Mensuelle]]*CLIENTS_CHURN345[[#This Row],[Colonne12]]</f>
        <v>8.9190000000000005</v>
      </c>
    </row>
    <row r="334" spans="1:14">
      <c r="A334" s="1" t="s">
        <v>8</v>
      </c>
      <c r="B334" t="s">
        <v>83</v>
      </c>
      <c r="C334" t="s">
        <v>31</v>
      </c>
      <c r="D334">
        <v>72</v>
      </c>
      <c r="E334" t="s">
        <v>11</v>
      </c>
      <c r="F334">
        <v>160</v>
      </c>
      <c r="G334">
        <v>90.13</v>
      </c>
      <c r="H334">
        <v>2</v>
      </c>
      <c r="I334">
        <f>CLIENTS_CHURN345[[#This Row],[Anciennete_Mois]]/12</f>
        <v>6</v>
      </c>
      <c r="J334">
        <f>CLIENTS_CHURN345[[#This Row],[Duree_Cumulee_Panne_Min]]/60</f>
        <v>2.6666666666666665</v>
      </c>
      <c r="K334" t="str">
        <f>IF(CLIENTS_CHURN345[[#This Row],[Type_Forfait]]="Pro Monde","B2B","B2C")</f>
        <v>B2B</v>
      </c>
      <c r="L334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10%</v>
      </c>
      <c r="M334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0.1</v>
      </c>
      <c r="N334" s="1">
        <f>CLIENTS_CHURN345[[#This Row],[Facture_Mensuelle]]*CLIENTS_CHURN345[[#This Row],[Colonne12]]</f>
        <v>9.0129999999999999</v>
      </c>
    </row>
    <row r="335" spans="1:14">
      <c r="A335" s="1" t="s">
        <v>756</v>
      </c>
      <c r="B335" t="s">
        <v>775</v>
      </c>
      <c r="C335" t="s">
        <v>18</v>
      </c>
      <c r="D335">
        <v>25</v>
      </c>
      <c r="E335" t="s">
        <v>11</v>
      </c>
      <c r="F335">
        <v>66</v>
      </c>
      <c r="G335">
        <v>90.14</v>
      </c>
      <c r="H335">
        <v>5</v>
      </c>
      <c r="I335">
        <f>CLIENTS_CHURN345[[#This Row],[Anciennete_Mois]]/12</f>
        <v>2.0833333333333335</v>
      </c>
      <c r="J335">
        <f>CLIENTS_CHURN345[[#This Row],[Duree_Cumulee_Panne_Min]]/60</f>
        <v>1.1000000000000001</v>
      </c>
      <c r="K335" t="str">
        <f>IF(CLIENTS_CHURN345[[#This Row],[Type_Forfait]]="Pro Monde","B2B","B2C")</f>
        <v>B2B</v>
      </c>
      <c r="L335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10%</v>
      </c>
      <c r="M335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0.1</v>
      </c>
      <c r="N335" s="1">
        <f>CLIENTS_CHURN345[[#This Row],[Facture_Mensuelle]]*CLIENTS_CHURN345[[#This Row],[Colonne12]]</f>
        <v>9.0140000000000011</v>
      </c>
    </row>
    <row r="336" spans="1:14">
      <c r="A336" s="1" t="s">
        <v>499</v>
      </c>
      <c r="B336" t="s">
        <v>522</v>
      </c>
      <c r="C336" t="s">
        <v>61</v>
      </c>
      <c r="D336">
        <v>37</v>
      </c>
      <c r="E336" t="s">
        <v>11</v>
      </c>
      <c r="F336">
        <v>37</v>
      </c>
      <c r="G336">
        <v>92.72</v>
      </c>
      <c r="H336">
        <v>0</v>
      </c>
      <c r="I336">
        <f>CLIENTS_CHURN345[[#This Row],[Anciennete_Mois]]/12</f>
        <v>3.0833333333333335</v>
      </c>
      <c r="J336">
        <f>CLIENTS_CHURN345[[#This Row],[Duree_Cumulee_Panne_Min]]/60</f>
        <v>0.6166666666666667</v>
      </c>
      <c r="K336" t="str">
        <f>IF(CLIENTS_CHURN345[[#This Row],[Type_Forfait]]="Pro Monde","B2B","B2C")</f>
        <v>B2B</v>
      </c>
      <c r="L336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10%</v>
      </c>
      <c r="M336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0.1</v>
      </c>
      <c r="N336" s="1">
        <f>CLIENTS_CHURN345[[#This Row],[Facture_Mensuelle]]*CLIENTS_CHURN345[[#This Row],[Colonne12]]</f>
        <v>9.2720000000000002</v>
      </c>
    </row>
    <row r="337" spans="1:14">
      <c r="A337" s="1" t="s">
        <v>756</v>
      </c>
      <c r="B337" t="s">
        <v>783</v>
      </c>
      <c r="C337" t="s">
        <v>92</v>
      </c>
      <c r="D337">
        <v>90</v>
      </c>
      <c r="E337" t="s">
        <v>21</v>
      </c>
      <c r="F337">
        <v>412</v>
      </c>
      <c r="G337">
        <v>20.62</v>
      </c>
      <c r="H337">
        <v>2</v>
      </c>
      <c r="I337">
        <f>CLIENTS_CHURN345[[#This Row],[Anciennete_Mois]]/12</f>
        <v>7.5</v>
      </c>
      <c r="J337">
        <f>CLIENTS_CHURN345[[#This Row],[Duree_Cumulee_Panne_Min]]/60</f>
        <v>6.8666666666666663</v>
      </c>
      <c r="K337" t="str">
        <f>IF(CLIENTS_CHURN345[[#This Row],[Type_Forfait]]="Pro Monde","B2B","B2C")</f>
        <v>B2C</v>
      </c>
      <c r="L337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337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337" s="1">
        <f>CLIENTS_CHURN345[[#This Row],[Facture_Mensuelle]]*CLIENTS_CHURN345[[#This Row],[Colonne12]]</f>
        <v>9.2789999999999999</v>
      </c>
    </row>
    <row r="338" spans="1:14">
      <c r="A338" s="1" t="s">
        <v>705</v>
      </c>
      <c r="B338" t="s">
        <v>740</v>
      </c>
      <c r="C338" t="s">
        <v>52</v>
      </c>
      <c r="D338">
        <v>1</v>
      </c>
      <c r="E338" t="s">
        <v>32</v>
      </c>
      <c r="F338">
        <v>429</v>
      </c>
      <c r="G338">
        <v>20.96</v>
      </c>
      <c r="H338">
        <v>5</v>
      </c>
      <c r="I338">
        <f>CLIENTS_CHURN345[[#This Row],[Anciennete_Mois]]/12</f>
        <v>8.3333333333333329E-2</v>
      </c>
      <c r="J338">
        <f>CLIENTS_CHURN345[[#This Row],[Duree_Cumulee_Panne_Min]]/60</f>
        <v>7.15</v>
      </c>
      <c r="K338" t="str">
        <f>IF(CLIENTS_CHURN345[[#This Row],[Type_Forfait]]="Pro Monde","B2B","B2C")</f>
        <v>B2C</v>
      </c>
      <c r="L338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338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338" s="1">
        <f>CLIENTS_CHURN345[[#This Row],[Facture_Mensuelle]]*CLIENTS_CHURN345[[#This Row],[Colonne12]]</f>
        <v>9.4320000000000004</v>
      </c>
    </row>
    <row r="339" spans="1:14">
      <c r="A339" s="1" t="s">
        <v>551</v>
      </c>
      <c r="B339" t="s">
        <v>573</v>
      </c>
      <c r="C339" t="s">
        <v>95</v>
      </c>
      <c r="D339">
        <v>59</v>
      </c>
      <c r="E339" t="s">
        <v>11</v>
      </c>
      <c r="F339">
        <v>72</v>
      </c>
      <c r="G339">
        <v>94.51</v>
      </c>
      <c r="H339">
        <v>2</v>
      </c>
      <c r="I339">
        <f>CLIENTS_CHURN345[[#This Row],[Anciennete_Mois]]/12</f>
        <v>4.916666666666667</v>
      </c>
      <c r="J339">
        <f>CLIENTS_CHURN345[[#This Row],[Duree_Cumulee_Panne_Min]]/60</f>
        <v>1.2</v>
      </c>
      <c r="K339" t="str">
        <f>IF(CLIENTS_CHURN345[[#This Row],[Type_Forfait]]="Pro Monde","B2B","B2C")</f>
        <v>B2B</v>
      </c>
      <c r="L339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10%</v>
      </c>
      <c r="M339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0.1</v>
      </c>
      <c r="N339" s="1">
        <f>CLIENTS_CHURN345[[#This Row],[Facture_Mensuelle]]*CLIENTS_CHURN345[[#This Row],[Colonne12]]</f>
        <v>9.4510000000000005</v>
      </c>
    </row>
    <row r="340" spans="1:14">
      <c r="A340" s="1" t="s">
        <v>344</v>
      </c>
      <c r="B340" t="s">
        <v>364</v>
      </c>
      <c r="C340" t="s">
        <v>107</v>
      </c>
      <c r="D340">
        <v>5</v>
      </c>
      <c r="E340" t="s">
        <v>21</v>
      </c>
      <c r="F340">
        <v>337</v>
      </c>
      <c r="G340">
        <v>21.07</v>
      </c>
      <c r="H340">
        <v>4</v>
      </c>
      <c r="I340">
        <f>CLIENTS_CHURN345[[#This Row],[Anciennete_Mois]]/12</f>
        <v>0.41666666666666669</v>
      </c>
      <c r="J340">
        <f>CLIENTS_CHURN345[[#This Row],[Duree_Cumulee_Panne_Min]]/60</f>
        <v>5.6166666666666663</v>
      </c>
      <c r="K340" t="str">
        <f>IF(CLIENTS_CHURN345[[#This Row],[Type_Forfait]]="Pro Monde","B2B","B2C")</f>
        <v>B2C</v>
      </c>
      <c r="L340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340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340" s="1">
        <f>CLIENTS_CHURN345[[#This Row],[Facture_Mensuelle]]*CLIENTS_CHURN345[[#This Row],[Colonne12]]</f>
        <v>9.4815000000000005</v>
      </c>
    </row>
    <row r="341" spans="1:14">
      <c r="A341" s="1" t="s">
        <v>8</v>
      </c>
      <c r="B341" t="s">
        <v>9</v>
      </c>
      <c r="C341" t="s">
        <v>10</v>
      </c>
      <c r="D341">
        <v>91</v>
      </c>
      <c r="E341" t="s">
        <v>11</v>
      </c>
      <c r="F341">
        <v>358</v>
      </c>
      <c r="G341">
        <v>21.14</v>
      </c>
      <c r="H341">
        <v>5</v>
      </c>
      <c r="I341">
        <f>CLIENTS_CHURN345[[#This Row],[Anciennete_Mois]]/12</f>
        <v>7.583333333333333</v>
      </c>
      <c r="J341">
        <f>CLIENTS_CHURN345[[#This Row],[Duree_Cumulee_Panne_Min]]/60</f>
        <v>5.9666666666666668</v>
      </c>
      <c r="K341" t="str">
        <f>IF(CLIENTS_CHURN345[[#This Row],[Type_Forfait]]="Pro Monde","B2B","B2C")</f>
        <v>B2B</v>
      </c>
      <c r="L341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341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341" s="1">
        <f>CLIENTS_CHURN345[[#This Row],[Facture_Mensuelle]]*CLIENTS_CHURN345[[#This Row],[Colonne12]]</f>
        <v>9.5129999999999999</v>
      </c>
    </row>
    <row r="342" spans="1:14">
      <c r="A342" s="1" t="s">
        <v>344</v>
      </c>
      <c r="B342" t="s">
        <v>345</v>
      </c>
      <c r="C342" t="s">
        <v>36</v>
      </c>
      <c r="D342">
        <v>77</v>
      </c>
      <c r="E342" t="s">
        <v>32</v>
      </c>
      <c r="F342">
        <v>488</v>
      </c>
      <c r="G342">
        <v>21.17</v>
      </c>
      <c r="H342">
        <v>0</v>
      </c>
      <c r="I342">
        <f>CLIENTS_CHURN345[[#This Row],[Anciennete_Mois]]/12</f>
        <v>6.416666666666667</v>
      </c>
      <c r="J342">
        <f>CLIENTS_CHURN345[[#This Row],[Duree_Cumulee_Panne_Min]]/60</f>
        <v>8.1333333333333329</v>
      </c>
      <c r="K342" t="str">
        <f>IF(CLIENTS_CHURN345[[#This Row],[Type_Forfait]]="Pro Monde","B2B","B2C")</f>
        <v>B2C</v>
      </c>
      <c r="L342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342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342" s="1">
        <f>CLIENTS_CHURN345[[#This Row],[Facture_Mensuelle]]*CLIENTS_CHURN345[[#This Row],[Colonne12]]</f>
        <v>9.5265000000000004</v>
      </c>
    </row>
    <row r="343" spans="1:14">
      <c r="A343" s="1" t="s">
        <v>602</v>
      </c>
      <c r="B343" t="s">
        <v>614</v>
      </c>
      <c r="C343" t="s">
        <v>20</v>
      </c>
      <c r="D343">
        <v>71</v>
      </c>
      <c r="E343" t="s">
        <v>11</v>
      </c>
      <c r="F343">
        <v>111</v>
      </c>
      <c r="G343">
        <v>95.53</v>
      </c>
      <c r="H343">
        <v>3</v>
      </c>
      <c r="I343">
        <f>CLIENTS_CHURN345[[#This Row],[Anciennete_Mois]]/12</f>
        <v>5.916666666666667</v>
      </c>
      <c r="J343">
        <f>CLIENTS_CHURN345[[#This Row],[Duree_Cumulee_Panne_Min]]/60</f>
        <v>1.85</v>
      </c>
      <c r="K343" t="str">
        <f>IF(CLIENTS_CHURN345[[#This Row],[Type_Forfait]]="Pro Monde","B2B","B2C")</f>
        <v>B2B</v>
      </c>
      <c r="L343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10%</v>
      </c>
      <c r="M343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0.1</v>
      </c>
      <c r="N343" s="1">
        <f>CLIENTS_CHURN345[[#This Row],[Facture_Mensuelle]]*CLIENTS_CHURN345[[#This Row],[Colonne12]]</f>
        <v>9.5530000000000008</v>
      </c>
    </row>
    <row r="344" spans="1:14">
      <c r="A344" s="1" t="s">
        <v>551</v>
      </c>
      <c r="B344" t="s">
        <v>588</v>
      </c>
      <c r="C344" t="s">
        <v>111</v>
      </c>
      <c r="D344">
        <v>66</v>
      </c>
      <c r="E344" t="s">
        <v>11</v>
      </c>
      <c r="F344">
        <v>152</v>
      </c>
      <c r="G344">
        <v>95.71</v>
      </c>
      <c r="H344">
        <v>3</v>
      </c>
      <c r="I344">
        <f>CLIENTS_CHURN345[[#This Row],[Anciennete_Mois]]/12</f>
        <v>5.5</v>
      </c>
      <c r="J344">
        <f>CLIENTS_CHURN345[[#This Row],[Duree_Cumulee_Panne_Min]]/60</f>
        <v>2.5333333333333332</v>
      </c>
      <c r="K344" t="str">
        <f>IF(CLIENTS_CHURN345[[#This Row],[Type_Forfait]]="Pro Monde","B2B","B2C")</f>
        <v>B2B</v>
      </c>
      <c r="L344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10%</v>
      </c>
      <c r="M344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0.1</v>
      </c>
      <c r="N344" s="1">
        <f>CLIENTS_CHURN345[[#This Row],[Facture_Mensuelle]]*CLIENTS_CHURN345[[#This Row],[Colonne12]]</f>
        <v>9.5709999999999997</v>
      </c>
    </row>
    <row r="345" spans="1:14">
      <c r="A345" s="1" t="s">
        <v>653</v>
      </c>
      <c r="B345" t="s">
        <v>669</v>
      </c>
      <c r="C345" t="s">
        <v>65</v>
      </c>
      <c r="D345">
        <v>93</v>
      </c>
      <c r="E345" t="s">
        <v>11</v>
      </c>
      <c r="F345">
        <v>56</v>
      </c>
      <c r="G345">
        <v>96.31</v>
      </c>
      <c r="H345">
        <v>4</v>
      </c>
      <c r="I345">
        <f>CLIENTS_CHURN345[[#This Row],[Anciennete_Mois]]/12</f>
        <v>7.75</v>
      </c>
      <c r="J345">
        <f>CLIENTS_CHURN345[[#This Row],[Duree_Cumulee_Panne_Min]]/60</f>
        <v>0.93333333333333335</v>
      </c>
      <c r="K345" t="str">
        <f>IF(CLIENTS_CHURN345[[#This Row],[Type_Forfait]]="Pro Monde","B2B","B2C")</f>
        <v>B2B</v>
      </c>
      <c r="L345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10%</v>
      </c>
      <c r="M345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0.1</v>
      </c>
      <c r="N345" s="1">
        <f>CLIENTS_CHURN345[[#This Row],[Facture_Mensuelle]]*CLIENTS_CHURN345[[#This Row],[Colonne12]]</f>
        <v>9.6310000000000002</v>
      </c>
    </row>
    <row r="346" spans="1:14">
      <c r="A346" s="1" t="s">
        <v>140</v>
      </c>
      <c r="B346" t="s">
        <v>154</v>
      </c>
      <c r="C346" t="s">
        <v>24</v>
      </c>
      <c r="D346">
        <v>79</v>
      </c>
      <c r="E346" t="s">
        <v>21</v>
      </c>
      <c r="F346">
        <v>403</v>
      </c>
      <c r="G346">
        <v>21.49</v>
      </c>
      <c r="H346">
        <v>0</v>
      </c>
      <c r="I346">
        <f>CLIENTS_CHURN345[[#This Row],[Anciennete_Mois]]/12</f>
        <v>6.583333333333333</v>
      </c>
      <c r="J346">
        <f>CLIENTS_CHURN345[[#This Row],[Duree_Cumulee_Panne_Min]]/60</f>
        <v>6.7166666666666668</v>
      </c>
      <c r="K346" t="str">
        <f>IF(CLIENTS_CHURN345[[#This Row],[Type_Forfait]]="Pro Monde","B2B","B2C")</f>
        <v>B2C</v>
      </c>
      <c r="L346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346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346" s="1">
        <f>CLIENTS_CHURN345[[#This Row],[Facture_Mensuelle]]*CLIENTS_CHURN345[[#This Row],[Colonne12]]</f>
        <v>9.6704999999999988</v>
      </c>
    </row>
    <row r="347" spans="1:14">
      <c r="A347" s="1" t="s">
        <v>756</v>
      </c>
      <c r="B347" t="s">
        <v>765</v>
      </c>
      <c r="C347" t="s">
        <v>36</v>
      </c>
      <c r="D347">
        <v>75</v>
      </c>
      <c r="E347" t="s">
        <v>14</v>
      </c>
      <c r="F347">
        <v>370</v>
      </c>
      <c r="G347">
        <v>21.67</v>
      </c>
      <c r="H347">
        <v>0</v>
      </c>
      <c r="I347">
        <f>CLIENTS_CHURN345[[#This Row],[Anciennete_Mois]]/12</f>
        <v>6.25</v>
      </c>
      <c r="J347">
        <f>CLIENTS_CHURN345[[#This Row],[Duree_Cumulee_Panne_Min]]/60</f>
        <v>6.166666666666667</v>
      </c>
      <c r="K347" t="str">
        <f>IF(CLIENTS_CHURN345[[#This Row],[Type_Forfait]]="Pro Monde","B2B","B2C")</f>
        <v>B2C</v>
      </c>
      <c r="L347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347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347" s="1">
        <f>CLIENTS_CHURN345[[#This Row],[Facture_Mensuelle]]*CLIENTS_CHURN345[[#This Row],[Colonne12]]</f>
        <v>9.7515000000000018</v>
      </c>
    </row>
    <row r="348" spans="1:14">
      <c r="A348" s="1" t="s">
        <v>499</v>
      </c>
      <c r="B348" t="s">
        <v>547</v>
      </c>
      <c r="C348" t="s">
        <v>65</v>
      </c>
      <c r="D348">
        <v>118</v>
      </c>
      <c r="E348" t="s">
        <v>11</v>
      </c>
      <c r="F348">
        <v>80</v>
      </c>
      <c r="G348">
        <v>97.58</v>
      </c>
      <c r="H348">
        <v>3</v>
      </c>
      <c r="I348">
        <f>CLIENTS_CHURN345[[#This Row],[Anciennete_Mois]]/12</f>
        <v>9.8333333333333339</v>
      </c>
      <c r="J348">
        <f>CLIENTS_CHURN345[[#This Row],[Duree_Cumulee_Panne_Min]]/60</f>
        <v>1.3333333333333333</v>
      </c>
      <c r="K348" t="str">
        <f>IF(CLIENTS_CHURN345[[#This Row],[Type_Forfait]]="Pro Monde","B2B","B2C")</f>
        <v>B2B</v>
      </c>
      <c r="L348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10%</v>
      </c>
      <c r="M348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0.1</v>
      </c>
      <c r="N348" s="1">
        <f>CLIENTS_CHURN345[[#This Row],[Facture_Mensuelle]]*CLIENTS_CHURN345[[#This Row],[Colonne12]]</f>
        <v>9.7580000000000009</v>
      </c>
    </row>
    <row r="349" spans="1:14">
      <c r="A349" s="1" t="s">
        <v>499</v>
      </c>
      <c r="B349" t="s">
        <v>545</v>
      </c>
      <c r="C349" t="s">
        <v>52</v>
      </c>
      <c r="D349">
        <v>85</v>
      </c>
      <c r="E349" t="s">
        <v>11</v>
      </c>
      <c r="F349">
        <v>75</v>
      </c>
      <c r="G349">
        <v>98.01</v>
      </c>
      <c r="H349">
        <v>1</v>
      </c>
      <c r="I349">
        <f>CLIENTS_CHURN345[[#This Row],[Anciennete_Mois]]/12</f>
        <v>7.083333333333333</v>
      </c>
      <c r="J349">
        <f>CLIENTS_CHURN345[[#This Row],[Duree_Cumulee_Panne_Min]]/60</f>
        <v>1.25</v>
      </c>
      <c r="K349" t="str">
        <f>IF(CLIENTS_CHURN345[[#This Row],[Type_Forfait]]="Pro Monde","B2B","B2C")</f>
        <v>B2B</v>
      </c>
      <c r="L349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10%</v>
      </c>
      <c r="M349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0.1</v>
      </c>
      <c r="N349" s="1">
        <f>CLIENTS_CHURN345[[#This Row],[Facture_Mensuelle]]*CLIENTS_CHURN345[[#This Row],[Colonne12]]</f>
        <v>9.8010000000000019</v>
      </c>
    </row>
    <row r="350" spans="1:14">
      <c r="A350" s="1" t="s">
        <v>551</v>
      </c>
      <c r="B350" t="s">
        <v>598</v>
      </c>
      <c r="C350" t="s">
        <v>76</v>
      </c>
      <c r="D350">
        <v>99</v>
      </c>
      <c r="E350" t="s">
        <v>11</v>
      </c>
      <c r="F350">
        <v>42</v>
      </c>
      <c r="G350">
        <v>98.77</v>
      </c>
      <c r="H350">
        <v>3</v>
      </c>
      <c r="I350">
        <f>CLIENTS_CHURN345[[#This Row],[Anciennete_Mois]]/12</f>
        <v>8.25</v>
      </c>
      <c r="J350">
        <f>CLIENTS_CHURN345[[#This Row],[Duree_Cumulee_Panne_Min]]/60</f>
        <v>0.7</v>
      </c>
      <c r="K350" t="str">
        <f>IF(CLIENTS_CHURN345[[#This Row],[Type_Forfait]]="Pro Monde","B2B","B2C")</f>
        <v>B2B</v>
      </c>
      <c r="L350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10%</v>
      </c>
      <c r="M350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0.1</v>
      </c>
      <c r="N350" s="1">
        <f>CLIENTS_CHURN345[[#This Row],[Facture_Mensuelle]]*CLIENTS_CHURN345[[#This Row],[Colonne12]]</f>
        <v>9.8770000000000007</v>
      </c>
    </row>
    <row r="351" spans="1:14">
      <c r="A351" s="1" t="s">
        <v>140</v>
      </c>
      <c r="B351" t="s">
        <v>173</v>
      </c>
      <c r="C351" t="s">
        <v>40</v>
      </c>
      <c r="D351">
        <v>87</v>
      </c>
      <c r="E351" t="s">
        <v>11</v>
      </c>
      <c r="F351">
        <v>442</v>
      </c>
      <c r="G351">
        <v>22.39</v>
      </c>
      <c r="H351">
        <v>3</v>
      </c>
      <c r="I351">
        <f>CLIENTS_CHURN345[[#This Row],[Anciennete_Mois]]/12</f>
        <v>7.25</v>
      </c>
      <c r="J351">
        <f>CLIENTS_CHURN345[[#This Row],[Duree_Cumulee_Panne_Min]]/60</f>
        <v>7.3666666666666663</v>
      </c>
      <c r="K351" t="str">
        <f>IF(CLIENTS_CHURN345[[#This Row],[Type_Forfait]]="Pro Monde","B2B","B2C")</f>
        <v>B2B</v>
      </c>
      <c r="L351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351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351" s="1">
        <f>CLIENTS_CHURN345[[#This Row],[Facture_Mensuelle]]*CLIENTS_CHURN345[[#This Row],[Colonne12]]</f>
        <v>10.0755</v>
      </c>
    </row>
    <row r="352" spans="1:14">
      <c r="A352" s="1" t="s">
        <v>85</v>
      </c>
      <c r="B352" t="s">
        <v>113</v>
      </c>
      <c r="C352" t="s">
        <v>45</v>
      </c>
      <c r="D352">
        <v>86</v>
      </c>
      <c r="E352" t="s">
        <v>14</v>
      </c>
      <c r="F352">
        <v>460</v>
      </c>
      <c r="G352">
        <v>22.81</v>
      </c>
      <c r="H352">
        <v>4</v>
      </c>
      <c r="I352">
        <f>CLIENTS_CHURN345[[#This Row],[Anciennete_Mois]]/12</f>
        <v>7.166666666666667</v>
      </c>
      <c r="J352">
        <f>CLIENTS_CHURN345[[#This Row],[Duree_Cumulee_Panne_Min]]/60</f>
        <v>7.666666666666667</v>
      </c>
      <c r="K352" t="str">
        <f>IF(CLIENTS_CHURN345[[#This Row],[Type_Forfait]]="Pro Monde","B2B","B2C")</f>
        <v>B2C</v>
      </c>
      <c r="L352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352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352" s="1">
        <f>CLIENTS_CHURN345[[#This Row],[Facture_Mensuelle]]*CLIENTS_CHURN345[[#This Row],[Colonne12]]</f>
        <v>10.2645</v>
      </c>
    </row>
    <row r="353" spans="1:14">
      <c r="A353" s="1" t="s">
        <v>140</v>
      </c>
      <c r="B353" t="s">
        <v>181</v>
      </c>
      <c r="C353" t="s">
        <v>107</v>
      </c>
      <c r="D353">
        <v>56</v>
      </c>
      <c r="E353" t="s">
        <v>14</v>
      </c>
      <c r="F353">
        <v>333</v>
      </c>
      <c r="G353">
        <v>23.01</v>
      </c>
      <c r="H353">
        <v>2</v>
      </c>
      <c r="I353">
        <f>CLIENTS_CHURN345[[#This Row],[Anciennete_Mois]]/12</f>
        <v>4.666666666666667</v>
      </c>
      <c r="J353">
        <f>CLIENTS_CHURN345[[#This Row],[Duree_Cumulee_Panne_Min]]/60</f>
        <v>5.55</v>
      </c>
      <c r="K353" t="str">
        <f>IF(CLIENTS_CHURN345[[#This Row],[Type_Forfait]]="Pro Monde","B2B","B2C")</f>
        <v>B2C</v>
      </c>
      <c r="L353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353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353" s="1">
        <f>CLIENTS_CHURN345[[#This Row],[Facture_Mensuelle]]*CLIENTS_CHURN345[[#This Row],[Colonne12]]</f>
        <v>10.354500000000002</v>
      </c>
    </row>
    <row r="354" spans="1:14">
      <c r="A354" s="1" t="s">
        <v>140</v>
      </c>
      <c r="B354" t="s">
        <v>184</v>
      </c>
      <c r="C354" t="s">
        <v>38</v>
      </c>
      <c r="D354">
        <v>55</v>
      </c>
      <c r="E354" t="s">
        <v>14</v>
      </c>
      <c r="F354">
        <v>407</v>
      </c>
      <c r="G354">
        <v>23.11</v>
      </c>
      <c r="H354">
        <v>0</v>
      </c>
      <c r="I354">
        <f>CLIENTS_CHURN345[[#This Row],[Anciennete_Mois]]/12</f>
        <v>4.583333333333333</v>
      </c>
      <c r="J354">
        <f>CLIENTS_CHURN345[[#This Row],[Duree_Cumulee_Panne_Min]]/60</f>
        <v>6.7833333333333332</v>
      </c>
      <c r="K354" t="str">
        <f>IF(CLIENTS_CHURN345[[#This Row],[Type_Forfait]]="Pro Monde","B2B","B2C")</f>
        <v>B2C</v>
      </c>
      <c r="L354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354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354" s="1">
        <f>CLIENTS_CHURN345[[#This Row],[Facture_Mensuelle]]*CLIENTS_CHURN345[[#This Row],[Colonne12]]</f>
        <v>10.3995</v>
      </c>
    </row>
    <row r="355" spans="1:14">
      <c r="A355" s="1" t="s">
        <v>551</v>
      </c>
      <c r="B355" t="s">
        <v>590</v>
      </c>
      <c r="C355" t="s">
        <v>10</v>
      </c>
      <c r="D355">
        <v>57</v>
      </c>
      <c r="E355" t="s">
        <v>14</v>
      </c>
      <c r="F355">
        <v>447</v>
      </c>
      <c r="G355">
        <v>23.27</v>
      </c>
      <c r="H355">
        <v>3</v>
      </c>
      <c r="I355">
        <f>CLIENTS_CHURN345[[#This Row],[Anciennete_Mois]]/12</f>
        <v>4.75</v>
      </c>
      <c r="J355">
        <f>CLIENTS_CHURN345[[#This Row],[Duree_Cumulee_Panne_Min]]/60</f>
        <v>7.45</v>
      </c>
      <c r="K355" t="str">
        <f>IF(CLIENTS_CHURN345[[#This Row],[Type_Forfait]]="Pro Monde","B2B","B2C")</f>
        <v>B2C</v>
      </c>
      <c r="L355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355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355" s="1">
        <f>CLIENTS_CHURN345[[#This Row],[Facture_Mensuelle]]*CLIENTS_CHURN345[[#This Row],[Colonne12]]</f>
        <v>10.471500000000001</v>
      </c>
    </row>
    <row r="356" spans="1:14">
      <c r="A356" s="1" t="s">
        <v>447</v>
      </c>
      <c r="B356" t="s">
        <v>482</v>
      </c>
      <c r="C356" t="s">
        <v>29</v>
      </c>
      <c r="D356">
        <v>88</v>
      </c>
      <c r="E356" t="s">
        <v>14</v>
      </c>
      <c r="F356">
        <v>474</v>
      </c>
      <c r="G356">
        <v>23.35</v>
      </c>
      <c r="H356">
        <v>5</v>
      </c>
      <c r="I356">
        <f>CLIENTS_CHURN345[[#This Row],[Anciennete_Mois]]/12</f>
        <v>7.333333333333333</v>
      </c>
      <c r="J356">
        <f>CLIENTS_CHURN345[[#This Row],[Duree_Cumulee_Panne_Min]]/60</f>
        <v>7.9</v>
      </c>
      <c r="K356" t="str">
        <f>IF(CLIENTS_CHURN345[[#This Row],[Type_Forfait]]="Pro Monde","B2B","B2C")</f>
        <v>B2C</v>
      </c>
      <c r="L356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356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356" s="1">
        <f>CLIENTS_CHURN345[[#This Row],[Facture_Mensuelle]]*CLIENTS_CHURN345[[#This Row],[Colonne12]]</f>
        <v>10.5075</v>
      </c>
    </row>
    <row r="357" spans="1:14">
      <c r="A357" s="1" t="s">
        <v>395</v>
      </c>
      <c r="B357" t="s">
        <v>397</v>
      </c>
      <c r="C357" t="s">
        <v>57</v>
      </c>
      <c r="D357">
        <v>106</v>
      </c>
      <c r="E357" t="s">
        <v>11</v>
      </c>
      <c r="F357">
        <v>429</v>
      </c>
      <c r="G357">
        <v>23.83</v>
      </c>
      <c r="H357">
        <v>1</v>
      </c>
      <c r="I357">
        <f>CLIENTS_CHURN345[[#This Row],[Anciennete_Mois]]/12</f>
        <v>8.8333333333333339</v>
      </c>
      <c r="J357">
        <f>CLIENTS_CHURN345[[#This Row],[Duree_Cumulee_Panne_Min]]/60</f>
        <v>7.15</v>
      </c>
      <c r="K357" t="str">
        <f>IF(CLIENTS_CHURN345[[#This Row],[Type_Forfait]]="Pro Monde","B2B","B2C")</f>
        <v>B2B</v>
      </c>
      <c r="L357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357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357" s="1">
        <f>CLIENTS_CHURN345[[#This Row],[Facture_Mensuelle]]*CLIENTS_CHURN345[[#This Row],[Colonne12]]</f>
        <v>10.7235</v>
      </c>
    </row>
    <row r="358" spans="1:14">
      <c r="A358" s="1" t="s">
        <v>499</v>
      </c>
      <c r="B358" t="s">
        <v>540</v>
      </c>
      <c r="C358" t="s">
        <v>38</v>
      </c>
      <c r="D358">
        <v>77</v>
      </c>
      <c r="E358" t="s">
        <v>21</v>
      </c>
      <c r="F358">
        <v>375</v>
      </c>
      <c r="G358">
        <v>24.03</v>
      </c>
      <c r="H358">
        <v>1</v>
      </c>
      <c r="I358">
        <f>CLIENTS_CHURN345[[#This Row],[Anciennete_Mois]]/12</f>
        <v>6.416666666666667</v>
      </c>
      <c r="J358">
        <f>CLIENTS_CHURN345[[#This Row],[Duree_Cumulee_Panne_Min]]/60</f>
        <v>6.25</v>
      </c>
      <c r="K358" t="str">
        <f>IF(CLIENTS_CHURN345[[#This Row],[Type_Forfait]]="Pro Monde","B2B","B2C")</f>
        <v>B2C</v>
      </c>
      <c r="L358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358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358" s="1">
        <f>CLIENTS_CHURN345[[#This Row],[Facture_Mensuelle]]*CLIENTS_CHURN345[[#This Row],[Colonne12]]</f>
        <v>10.813500000000001</v>
      </c>
    </row>
    <row r="359" spans="1:14">
      <c r="A359" s="1" t="s">
        <v>499</v>
      </c>
      <c r="B359" t="s">
        <v>504</v>
      </c>
      <c r="C359" t="s">
        <v>24</v>
      </c>
      <c r="D359">
        <v>35</v>
      </c>
      <c r="E359" t="s">
        <v>11</v>
      </c>
      <c r="F359">
        <v>445</v>
      </c>
      <c r="G359">
        <v>24.11</v>
      </c>
      <c r="H359">
        <v>2</v>
      </c>
      <c r="I359">
        <f>CLIENTS_CHURN345[[#This Row],[Anciennete_Mois]]/12</f>
        <v>2.9166666666666665</v>
      </c>
      <c r="J359">
        <f>CLIENTS_CHURN345[[#This Row],[Duree_Cumulee_Panne_Min]]/60</f>
        <v>7.416666666666667</v>
      </c>
      <c r="K359" t="str">
        <f>IF(CLIENTS_CHURN345[[#This Row],[Type_Forfait]]="Pro Monde","B2B","B2C")</f>
        <v>B2B</v>
      </c>
      <c r="L359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359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359" s="1">
        <f>CLIENTS_CHURN345[[#This Row],[Facture_Mensuelle]]*CLIENTS_CHURN345[[#This Row],[Colonne12]]</f>
        <v>10.849500000000001</v>
      </c>
    </row>
    <row r="360" spans="1:14">
      <c r="A360" s="1" t="s">
        <v>344</v>
      </c>
      <c r="B360" t="s">
        <v>380</v>
      </c>
      <c r="C360" t="s">
        <v>65</v>
      </c>
      <c r="D360">
        <v>40</v>
      </c>
      <c r="E360" t="s">
        <v>32</v>
      </c>
      <c r="F360">
        <v>237</v>
      </c>
      <c r="G360">
        <v>24.51</v>
      </c>
      <c r="H360">
        <v>1</v>
      </c>
      <c r="I360">
        <f>CLIENTS_CHURN345[[#This Row],[Anciennete_Mois]]/12</f>
        <v>3.3333333333333335</v>
      </c>
      <c r="J360">
        <f>CLIENTS_CHURN345[[#This Row],[Duree_Cumulee_Panne_Min]]/60</f>
        <v>3.95</v>
      </c>
      <c r="K360" t="str">
        <f>IF(CLIENTS_CHURN345[[#This Row],[Type_Forfait]]="Pro Monde","B2B","B2C")</f>
        <v>B2C</v>
      </c>
      <c r="L360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360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360" s="1">
        <f>CLIENTS_CHURN345[[#This Row],[Facture_Mensuelle]]*CLIENTS_CHURN345[[#This Row],[Colonne12]]</f>
        <v>11.029500000000001</v>
      </c>
    </row>
    <row r="361" spans="1:14">
      <c r="A361" s="1" t="s">
        <v>85</v>
      </c>
      <c r="B361" t="s">
        <v>124</v>
      </c>
      <c r="C361" t="s">
        <v>43</v>
      </c>
      <c r="D361">
        <v>36</v>
      </c>
      <c r="E361" t="s">
        <v>14</v>
      </c>
      <c r="F361">
        <v>247</v>
      </c>
      <c r="G361">
        <v>24.53</v>
      </c>
      <c r="H361">
        <v>2</v>
      </c>
      <c r="I361">
        <f>CLIENTS_CHURN345[[#This Row],[Anciennete_Mois]]/12</f>
        <v>3</v>
      </c>
      <c r="J361">
        <f>CLIENTS_CHURN345[[#This Row],[Duree_Cumulee_Panne_Min]]/60</f>
        <v>4.1166666666666663</v>
      </c>
      <c r="K361" t="str">
        <f>IF(CLIENTS_CHURN345[[#This Row],[Type_Forfait]]="Pro Monde","B2B","B2C")</f>
        <v>B2C</v>
      </c>
      <c r="L361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361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361" s="1">
        <f>CLIENTS_CHURN345[[#This Row],[Facture_Mensuelle]]*CLIENTS_CHURN345[[#This Row],[Colonne12]]</f>
        <v>11.038500000000001</v>
      </c>
    </row>
    <row r="362" spans="1:14">
      <c r="A362" s="1" t="s">
        <v>395</v>
      </c>
      <c r="B362" t="s">
        <v>419</v>
      </c>
      <c r="C362" t="s">
        <v>79</v>
      </c>
      <c r="D362">
        <v>115</v>
      </c>
      <c r="E362" t="s">
        <v>21</v>
      </c>
      <c r="F362">
        <v>467</v>
      </c>
      <c r="G362">
        <v>24.57</v>
      </c>
      <c r="H362">
        <v>3</v>
      </c>
      <c r="I362">
        <f>CLIENTS_CHURN345[[#This Row],[Anciennete_Mois]]/12</f>
        <v>9.5833333333333339</v>
      </c>
      <c r="J362">
        <f>CLIENTS_CHURN345[[#This Row],[Duree_Cumulee_Panne_Min]]/60</f>
        <v>7.7833333333333332</v>
      </c>
      <c r="K362" t="str">
        <f>IF(CLIENTS_CHURN345[[#This Row],[Type_Forfait]]="Pro Monde","B2B","B2C")</f>
        <v>B2C</v>
      </c>
      <c r="L362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362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362" s="1">
        <f>CLIENTS_CHURN345[[#This Row],[Facture_Mensuelle]]*CLIENTS_CHURN345[[#This Row],[Colonne12]]</f>
        <v>11.0565</v>
      </c>
    </row>
    <row r="363" spans="1:14">
      <c r="A363" s="1" t="s">
        <v>499</v>
      </c>
      <c r="B363" t="s">
        <v>549</v>
      </c>
      <c r="C363" t="s">
        <v>18</v>
      </c>
      <c r="D363">
        <v>100</v>
      </c>
      <c r="E363" t="s">
        <v>21</v>
      </c>
      <c r="F363">
        <v>240</v>
      </c>
      <c r="G363">
        <v>24.83</v>
      </c>
      <c r="H363">
        <v>4</v>
      </c>
      <c r="I363">
        <f>CLIENTS_CHURN345[[#This Row],[Anciennete_Mois]]/12</f>
        <v>8.3333333333333339</v>
      </c>
      <c r="J363">
        <f>CLIENTS_CHURN345[[#This Row],[Duree_Cumulee_Panne_Min]]/60</f>
        <v>4</v>
      </c>
      <c r="K363" t="str">
        <f>IF(CLIENTS_CHURN345[[#This Row],[Type_Forfait]]="Pro Monde","B2B","B2C")</f>
        <v>B2C</v>
      </c>
      <c r="L363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363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363" s="1">
        <f>CLIENTS_CHURN345[[#This Row],[Facture_Mensuelle]]*CLIENTS_CHURN345[[#This Row],[Colonne12]]</f>
        <v>11.173499999999999</v>
      </c>
    </row>
    <row r="364" spans="1:14">
      <c r="A364" s="1" t="s">
        <v>85</v>
      </c>
      <c r="B364" t="s">
        <v>134</v>
      </c>
      <c r="C364" t="s">
        <v>71</v>
      </c>
      <c r="D364">
        <v>50</v>
      </c>
      <c r="E364" t="s">
        <v>14</v>
      </c>
      <c r="F364">
        <v>258</v>
      </c>
      <c r="G364">
        <v>25.06</v>
      </c>
      <c r="H364">
        <v>4</v>
      </c>
      <c r="I364">
        <f>CLIENTS_CHURN345[[#This Row],[Anciennete_Mois]]/12</f>
        <v>4.166666666666667</v>
      </c>
      <c r="J364">
        <f>CLIENTS_CHURN345[[#This Row],[Duree_Cumulee_Panne_Min]]/60</f>
        <v>4.3</v>
      </c>
      <c r="K364" t="str">
        <f>IF(CLIENTS_CHURN345[[#This Row],[Type_Forfait]]="Pro Monde","B2B","B2C")</f>
        <v>B2C</v>
      </c>
      <c r="L364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364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364" s="1">
        <f>CLIENTS_CHURN345[[#This Row],[Facture_Mensuelle]]*CLIENTS_CHURN345[[#This Row],[Colonne12]]</f>
        <v>11.276999999999999</v>
      </c>
    </row>
    <row r="365" spans="1:14">
      <c r="A365" s="1" t="s">
        <v>705</v>
      </c>
      <c r="B365" t="s">
        <v>728</v>
      </c>
      <c r="C365" t="s">
        <v>40</v>
      </c>
      <c r="D365">
        <v>86</v>
      </c>
      <c r="E365" t="s">
        <v>11</v>
      </c>
      <c r="F365">
        <v>353</v>
      </c>
      <c r="G365">
        <v>25.37</v>
      </c>
      <c r="H365">
        <v>1</v>
      </c>
      <c r="I365">
        <f>CLIENTS_CHURN345[[#This Row],[Anciennete_Mois]]/12</f>
        <v>7.166666666666667</v>
      </c>
      <c r="J365">
        <f>CLIENTS_CHURN345[[#This Row],[Duree_Cumulee_Panne_Min]]/60</f>
        <v>5.8833333333333337</v>
      </c>
      <c r="K365" t="str">
        <f>IF(CLIENTS_CHURN345[[#This Row],[Type_Forfait]]="Pro Monde","B2B","B2C")</f>
        <v>B2B</v>
      </c>
      <c r="L365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365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365" s="1">
        <f>CLIENTS_CHURN345[[#This Row],[Facture_Mensuelle]]*CLIENTS_CHURN345[[#This Row],[Colonne12]]</f>
        <v>11.416500000000001</v>
      </c>
    </row>
    <row r="366" spans="1:14">
      <c r="A366" s="1" t="s">
        <v>653</v>
      </c>
      <c r="B366" t="s">
        <v>661</v>
      </c>
      <c r="C366" t="s">
        <v>57</v>
      </c>
      <c r="D366">
        <v>119</v>
      </c>
      <c r="E366" t="s">
        <v>21</v>
      </c>
      <c r="F366">
        <v>475</v>
      </c>
      <c r="G366">
        <v>25.98</v>
      </c>
      <c r="H366">
        <v>4</v>
      </c>
      <c r="I366">
        <f>CLIENTS_CHURN345[[#This Row],[Anciennete_Mois]]/12</f>
        <v>9.9166666666666661</v>
      </c>
      <c r="J366">
        <f>CLIENTS_CHURN345[[#This Row],[Duree_Cumulee_Panne_Min]]/60</f>
        <v>7.916666666666667</v>
      </c>
      <c r="K366" t="str">
        <f>IF(CLIENTS_CHURN345[[#This Row],[Type_Forfait]]="Pro Monde","B2B","B2C")</f>
        <v>B2C</v>
      </c>
      <c r="L366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366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366" s="1">
        <f>CLIENTS_CHURN345[[#This Row],[Facture_Mensuelle]]*CLIENTS_CHURN345[[#This Row],[Colonne12]]</f>
        <v>11.691000000000001</v>
      </c>
    </row>
    <row r="367" spans="1:14">
      <c r="A367" s="1" t="s">
        <v>344</v>
      </c>
      <c r="B367" t="s">
        <v>375</v>
      </c>
      <c r="C367" t="s">
        <v>20</v>
      </c>
      <c r="D367">
        <v>103</v>
      </c>
      <c r="E367" t="s">
        <v>32</v>
      </c>
      <c r="F367">
        <v>354</v>
      </c>
      <c r="G367">
        <v>26.19</v>
      </c>
      <c r="H367">
        <v>4</v>
      </c>
      <c r="I367">
        <f>CLIENTS_CHURN345[[#This Row],[Anciennete_Mois]]/12</f>
        <v>8.5833333333333339</v>
      </c>
      <c r="J367">
        <f>CLIENTS_CHURN345[[#This Row],[Duree_Cumulee_Panne_Min]]/60</f>
        <v>5.9</v>
      </c>
      <c r="K367" t="str">
        <f>IF(CLIENTS_CHURN345[[#This Row],[Type_Forfait]]="Pro Monde","B2B","B2C")</f>
        <v>B2C</v>
      </c>
      <c r="L367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367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367" s="1">
        <f>CLIENTS_CHURN345[[#This Row],[Facture_Mensuelle]]*CLIENTS_CHURN345[[#This Row],[Colonne12]]</f>
        <v>11.785500000000001</v>
      </c>
    </row>
    <row r="368" spans="1:14">
      <c r="A368" s="1" t="s">
        <v>447</v>
      </c>
      <c r="B368" t="s">
        <v>468</v>
      </c>
      <c r="C368" t="s">
        <v>45</v>
      </c>
      <c r="D368">
        <v>104</v>
      </c>
      <c r="E368" t="s">
        <v>11</v>
      </c>
      <c r="F368">
        <v>421</v>
      </c>
      <c r="G368">
        <v>26.24</v>
      </c>
      <c r="H368">
        <v>3</v>
      </c>
      <c r="I368">
        <f>CLIENTS_CHURN345[[#This Row],[Anciennete_Mois]]/12</f>
        <v>8.6666666666666661</v>
      </c>
      <c r="J368">
        <f>CLIENTS_CHURN345[[#This Row],[Duree_Cumulee_Panne_Min]]/60</f>
        <v>7.0166666666666666</v>
      </c>
      <c r="K368" t="str">
        <f>IF(CLIENTS_CHURN345[[#This Row],[Type_Forfait]]="Pro Monde","B2B","B2C")</f>
        <v>B2B</v>
      </c>
      <c r="L368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368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368" s="1">
        <f>CLIENTS_CHURN345[[#This Row],[Facture_Mensuelle]]*CLIENTS_CHURN345[[#This Row],[Colonne12]]</f>
        <v>11.808</v>
      </c>
    </row>
    <row r="369" spans="1:14">
      <c r="A369" s="1" t="s">
        <v>344</v>
      </c>
      <c r="B369" t="s">
        <v>386</v>
      </c>
      <c r="C369" t="s">
        <v>52</v>
      </c>
      <c r="D369">
        <v>59</v>
      </c>
      <c r="E369" t="s">
        <v>11</v>
      </c>
      <c r="F369">
        <v>369</v>
      </c>
      <c r="G369">
        <v>26.64</v>
      </c>
      <c r="H369">
        <v>4</v>
      </c>
      <c r="I369">
        <f>CLIENTS_CHURN345[[#This Row],[Anciennete_Mois]]/12</f>
        <v>4.916666666666667</v>
      </c>
      <c r="J369">
        <f>CLIENTS_CHURN345[[#This Row],[Duree_Cumulee_Panne_Min]]/60</f>
        <v>6.15</v>
      </c>
      <c r="K369" t="str">
        <f>IF(CLIENTS_CHURN345[[#This Row],[Type_Forfait]]="Pro Monde","B2B","B2C")</f>
        <v>B2B</v>
      </c>
      <c r="L369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369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369" s="1">
        <f>CLIENTS_CHURN345[[#This Row],[Facture_Mensuelle]]*CLIENTS_CHURN345[[#This Row],[Colonne12]]</f>
        <v>11.988000000000001</v>
      </c>
    </row>
    <row r="370" spans="1:14">
      <c r="A370" s="1" t="s">
        <v>602</v>
      </c>
      <c r="B370" t="s">
        <v>640</v>
      </c>
      <c r="C370" t="s">
        <v>13</v>
      </c>
      <c r="D370">
        <v>4</v>
      </c>
      <c r="E370" t="s">
        <v>11</v>
      </c>
      <c r="F370">
        <v>372</v>
      </c>
      <c r="G370">
        <v>26.73</v>
      </c>
      <c r="H370">
        <v>3</v>
      </c>
      <c r="I370">
        <f>CLIENTS_CHURN345[[#This Row],[Anciennete_Mois]]/12</f>
        <v>0.33333333333333331</v>
      </c>
      <c r="J370">
        <f>CLIENTS_CHURN345[[#This Row],[Duree_Cumulee_Panne_Min]]/60</f>
        <v>6.2</v>
      </c>
      <c r="K370" t="str">
        <f>IF(CLIENTS_CHURN345[[#This Row],[Type_Forfait]]="Pro Monde","B2B","B2C")</f>
        <v>B2B</v>
      </c>
      <c r="L370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370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370" s="1">
        <f>CLIENTS_CHURN345[[#This Row],[Facture_Mensuelle]]*CLIENTS_CHURN345[[#This Row],[Colonne12]]</f>
        <v>12.028500000000001</v>
      </c>
    </row>
    <row r="371" spans="1:14">
      <c r="A371" s="1" t="s">
        <v>395</v>
      </c>
      <c r="B371" t="s">
        <v>413</v>
      </c>
      <c r="C371" t="s">
        <v>57</v>
      </c>
      <c r="D371">
        <v>23</v>
      </c>
      <c r="E371" t="s">
        <v>32</v>
      </c>
      <c r="F371">
        <v>268</v>
      </c>
      <c r="G371">
        <v>26.75</v>
      </c>
      <c r="H371">
        <v>3</v>
      </c>
      <c r="I371">
        <f>CLIENTS_CHURN345[[#This Row],[Anciennete_Mois]]/12</f>
        <v>1.9166666666666667</v>
      </c>
      <c r="J371">
        <f>CLIENTS_CHURN345[[#This Row],[Duree_Cumulee_Panne_Min]]/60</f>
        <v>4.4666666666666668</v>
      </c>
      <c r="K371" t="str">
        <f>IF(CLIENTS_CHURN345[[#This Row],[Type_Forfait]]="Pro Monde","B2B","B2C")</f>
        <v>B2C</v>
      </c>
      <c r="L371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371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371" s="1">
        <f>CLIENTS_CHURN345[[#This Row],[Facture_Mensuelle]]*CLIENTS_CHURN345[[#This Row],[Colonne12]]</f>
        <v>12.0375</v>
      </c>
    </row>
    <row r="372" spans="1:14">
      <c r="A372" s="1" t="s">
        <v>395</v>
      </c>
      <c r="B372" t="s">
        <v>405</v>
      </c>
      <c r="C372" t="s">
        <v>52</v>
      </c>
      <c r="D372">
        <v>24</v>
      </c>
      <c r="E372" t="s">
        <v>21</v>
      </c>
      <c r="F372">
        <v>392</v>
      </c>
      <c r="G372">
        <v>27.06</v>
      </c>
      <c r="H372">
        <v>1</v>
      </c>
      <c r="I372">
        <f>CLIENTS_CHURN345[[#This Row],[Anciennete_Mois]]/12</f>
        <v>2</v>
      </c>
      <c r="J372">
        <f>CLIENTS_CHURN345[[#This Row],[Duree_Cumulee_Panne_Min]]/60</f>
        <v>6.5333333333333332</v>
      </c>
      <c r="K372" t="str">
        <f>IF(CLIENTS_CHURN345[[#This Row],[Type_Forfait]]="Pro Monde","B2B","B2C")</f>
        <v>B2C</v>
      </c>
      <c r="L372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372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372" s="1">
        <f>CLIENTS_CHURN345[[#This Row],[Facture_Mensuelle]]*CLIENTS_CHURN345[[#This Row],[Colonne12]]</f>
        <v>12.177</v>
      </c>
    </row>
    <row r="373" spans="1:14">
      <c r="A373" s="1" t="s">
        <v>499</v>
      </c>
      <c r="B373" t="s">
        <v>535</v>
      </c>
      <c r="C373" t="s">
        <v>29</v>
      </c>
      <c r="D373">
        <v>41</v>
      </c>
      <c r="E373" t="s">
        <v>32</v>
      </c>
      <c r="F373">
        <v>383</v>
      </c>
      <c r="G373">
        <v>27.53</v>
      </c>
      <c r="H373">
        <v>4</v>
      </c>
      <c r="I373">
        <f>CLIENTS_CHURN345[[#This Row],[Anciennete_Mois]]/12</f>
        <v>3.4166666666666665</v>
      </c>
      <c r="J373">
        <f>CLIENTS_CHURN345[[#This Row],[Duree_Cumulee_Panne_Min]]/60</f>
        <v>6.3833333333333337</v>
      </c>
      <c r="K373" t="str">
        <f>IF(CLIENTS_CHURN345[[#This Row],[Type_Forfait]]="Pro Monde","B2B","B2C")</f>
        <v>B2C</v>
      </c>
      <c r="L373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373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373" s="1">
        <f>CLIENTS_CHURN345[[#This Row],[Facture_Mensuelle]]*CLIENTS_CHURN345[[#This Row],[Colonne12]]</f>
        <v>12.388500000000001</v>
      </c>
    </row>
    <row r="374" spans="1:14">
      <c r="A374" s="1" t="s">
        <v>756</v>
      </c>
      <c r="B374" t="s">
        <v>805</v>
      </c>
      <c r="C374" t="s">
        <v>38</v>
      </c>
      <c r="D374">
        <v>10</v>
      </c>
      <c r="E374" t="s">
        <v>21</v>
      </c>
      <c r="F374">
        <v>418</v>
      </c>
      <c r="G374">
        <v>27.66</v>
      </c>
      <c r="H374">
        <v>2</v>
      </c>
      <c r="I374">
        <f>CLIENTS_CHURN345[[#This Row],[Anciennete_Mois]]/12</f>
        <v>0.83333333333333337</v>
      </c>
      <c r="J374">
        <f>CLIENTS_CHURN345[[#This Row],[Duree_Cumulee_Panne_Min]]/60</f>
        <v>6.9666666666666668</v>
      </c>
      <c r="K374" t="str">
        <f>IF(CLIENTS_CHURN345[[#This Row],[Type_Forfait]]="Pro Monde","B2B","B2C")</f>
        <v>B2C</v>
      </c>
      <c r="L374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374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374" s="1">
        <f>CLIENTS_CHURN345[[#This Row],[Facture_Mensuelle]]*CLIENTS_CHURN345[[#This Row],[Colonne12]]</f>
        <v>12.447000000000001</v>
      </c>
    </row>
    <row r="375" spans="1:14">
      <c r="A375" s="1" t="s">
        <v>602</v>
      </c>
      <c r="B375" t="s">
        <v>603</v>
      </c>
      <c r="C375" t="s">
        <v>95</v>
      </c>
      <c r="D375">
        <v>17</v>
      </c>
      <c r="E375" t="s">
        <v>32</v>
      </c>
      <c r="F375">
        <v>499</v>
      </c>
      <c r="G375">
        <v>27.81</v>
      </c>
      <c r="H375">
        <v>2</v>
      </c>
      <c r="I375">
        <f>CLIENTS_CHURN345[[#This Row],[Anciennete_Mois]]/12</f>
        <v>1.4166666666666667</v>
      </c>
      <c r="J375">
        <f>CLIENTS_CHURN345[[#This Row],[Duree_Cumulee_Panne_Min]]/60</f>
        <v>8.3166666666666664</v>
      </c>
      <c r="K375" t="str">
        <f>IF(CLIENTS_CHURN345[[#This Row],[Type_Forfait]]="Pro Monde","B2B","B2C")</f>
        <v>B2C</v>
      </c>
      <c r="L375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375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375" s="1">
        <f>CLIENTS_CHURN345[[#This Row],[Facture_Mensuelle]]*CLIENTS_CHURN345[[#This Row],[Colonne12]]</f>
        <v>12.5145</v>
      </c>
    </row>
    <row r="376" spans="1:14">
      <c r="A376" s="1" t="s">
        <v>395</v>
      </c>
      <c r="B376" t="s">
        <v>398</v>
      </c>
      <c r="C376" t="s">
        <v>63</v>
      </c>
      <c r="D376">
        <v>50</v>
      </c>
      <c r="E376" t="s">
        <v>14</v>
      </c>
      <c r="F376">
        <v>435</v>
      </c>
      <c r="G376">
        <v>27.86</v>
      </c>
      <c r="H376">
        <v>3</v>
      </c>
      <c r="I376">
        <f>CLIENTS_CHURN345[[#This Row],[Anciennete_Mois]]/12</f>
        <v>4.166666666666667</v>
      </c>
      <c r="J376">
        <f>CLIENTS_CHURN345[[#This Row],[Duree_Cumulee_Panne_Min]]/60</f>
        <v>7.25</v>
      </c>
      <c r="K376" t="str">
        <f>IF(CLIENTS_CHURN345[[#This Row],[Type_Forfait]]="Pro Monde","B2B","B2C")</f>
        <v>B2C</v>
      </c>
      <c r="L376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376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376" s="1">
        <f>CLIENTS_CHURN345[[#This Row],[Facture_Mensuelle]]*CLIENTS_CHURN345[[#This Row],[Colonne12]]</f>
        <v>12.537000000000001</v>
      </c>
    </row>
    <row r="377" spans="1:14">
      <c r="A377" s="1" t="s">
        <v>602</v>
      </c>
      <c r="B377" t="s">
        <v>622</v>
      </c>
      <c r="C377" t="s">
        <v>40</v>
      </c>
      <c r="D377">
        <v>16</v>
      </c>
      <c r="E377" t="s">
        <v>32</v>
      </c>
      <c r="F377">
        <v>274</v>
      </c>
      <c r="G377">
        <v>27.97</v>
      </c>
      <c r="H377">
        <v>4</v>
      </c>
      <c r="I377">
        <f>CLIENTS_CHURN345[[#This Row],[Anciennete_Mois]]/12</f>
        <v>1.3333333333333333</v>
      </c>
      <c r="J377">
        <f>CLIENTS_CHURN345[[#This Row],[Duree_Cumulee_Panne_Min]]/60</f>
        <v>4.5666666666666664</v>
      </c>
      <c r="K377" t="str">
        <f>IF(CLIENTS_CHURN345[[#This Row],[Type_Forfait]]="Pro Monde","B2B","B2C")</f>
        <v>B2C</v>
      </c>
      <c r="L377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377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377" s="1">
        <f>CLIENTS_CHURN345[[#This Row],[Facture_Mensuelle]]*CLIENTS_CHURN345[[#This Row],[Colonne12]]</f>
        <v>12.586499999999999</v>
      </c>
    </row>
    <row r="378" spans="1:14">
      <c r="A378" s="1" t="s">
        <v>140</v>
      </c>
      <c r="B378" t="s">
        <v>176</v>
      </c>
      <c r="C378" t="s">
        <v>31</v>
      </c>
      <c r="D378">
        <v>64</v>
      </c>
      <c r="E378" t="s">
        <v>11</v>
      </c>
      <c r="F378">
        <v>300</v>
      </c>
      <c r="G378">
        <v>28.11</v>
      </c>
      <c r="H378">
        <v>2</v>
      </c>
      <c r="I378">
        <f>CLIENTS_CHURN345[[#This Row],[Anciennete_Mois]]/12</f>
        <v>5.333333333333333</v>
      </c>
      <c r="J378">
        <f>CLIENTS_CHURN345[[#This Row],[Duree_Cumulee_Panne_Min]]/60</f>
        <v>5</v>
      </c>
      <c r="K378" t="str">
        <f>IF(CLIENTS_CHURN345[[#This Row],[Type_Forfait]]="Pro Monde","B2B","B2C")</f>
        <v>B2B</v>
      </c>
      <c r="L378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378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378" s="1">
        <f>CLIENTS_CHURN345[[#This Row],[Facture_Mensuelle]]*CLIENTS_CHURN345[[#This Row],[Colonne12]]</f>
        <v>12.6495</v>
      </c>
    </row>
    <row r="379" spans="1:14">
      <c r="A379" s="1" t="s">
        <v>191</v>
      </c>
      <c r="B379" t="s">
        <v>194</v>
      </c>
      <c r="C379" t="s">
        <v>63</v>
      </c>
      <c r="D379">
        <v>102</v>
      </c>
      <c r="E379" t="s">
        <v>32</v>
      </c>
      <c r="F379">
        <v>402</v>
      </c>
      <c r="G379">
        <v>28.38</v>
      </c>
      <c r="H379">
        <v>5</v>
      </c>
      <c r="I379">
        <f>CLIENTS_CHURN345[[#This Row],[Anciennete_Mois]]/12</f>
        <v>8.5</v>
      </c>
      <c r="J379">
        <f>CLIENTS_CHURN345[[#This Row],[Duree_Cumulee_Panne_Min]]/60</f>
        <v>6.7</v>
      </c>
      <c r="K379" t="str">
        <f>IF(CLIENTS_CHURN345[[#This Row],[Type_Forfait]]="Pro Monde","B2B","B2C")</f>
        <v>B2C</v>
      </c>
      <c r="L379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379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379" s="1">
        <f>CLIENTS_CHURN345[[#This Row],[Facture_Mensuelle]]*CLIENTS_CHURN345[[#This Row],[Colonne12]]</f>
        <v>12.770999999999999</v>
      </c>
    </row>
    <row r="380" spans="1:14">
      <c r="A380" s="1" t="s">
        <v>705</v>
      </c>
      <c r="B380" t="s">
        <v>715</v>
      </c>
      <c r="C380" t="s">
        <v>16</v>
      </c>
      <c r="D380">
        <v>76</v>
      </c>
      <c r="E380" t="s">
        <v>32</v>
      </c>
      <c r="F380">
        <v>413</v>
      </c>
      <c r="G380">
        <v>28.39</v>
      </c>
      <c r="H380">
        <v>3</v>
      </c>
      <c r="I380">
        <f>CLIENTS_CHURN345[[#This Row],[Anciennete_Mois]]/12</f>
        <v>6.333333333333333</v>
      </c>
      <c r="J380">
        <f>CLIENTS_CHURN345[[#This Row],[Duree_Cumulee_Panne_Min]]/60</f>
        <v>6.8833333333333337</v>
      </c>
      <c r="K380" t="str">
        <f>IF(CLIENTS_CHURN345[[#This Row],[Type_Forfait]]="Pro Monde","B2B","B2C")</f>
        <v>B2C</v>
      </c>
      <c r="L380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380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380" s="1">
        <f>CLIENTS_CHURN345[[#This Row],[Facture_Mensuelle]]*CLIENTS_CHURN345[[#This Row],[Colonne12]]</f>
        <v>12.775500000000001</v>
      </c>
    </row>
    <row r="381" spans="1:14">
      <c r="A381" s="1" t="s">
        <v>705</v>
      </c>
      <c r="B381" t="s">
        <v>724</v>
      </c>
      <c r="C381" t="s">
        <v>38</v>
      </c>
      <c r="D381">
        <v>67</v>
      </c>
      <c r="E381" t="s">
        <v>32</v>
      </c>
      <c r="F381">
        <v>262</v>
      </c>
      <c r="G381">
        <v>28.46</v>
      </c>
      <c r="H381">
        <v>3</v>
      </c>
      <c r="I381">
        <f>CLIENTS_CHURN345[[#This Row],[Anciennete_Mois]]/12</f>
        <v>5.583333333333333</v>
      </c>
      <c r="J381">
        <f>CLIENTS_CHURN345[[#This Row],[Duree_Cumulee_Panne_Min]]/60</f>
        <v>4.3666666666666663</v>
      </c>
      <c r="K381" t="str">
        <f>IF(CLIENTS_CHURN345[[#This Row],[Type_Forfait]]="Pro Monde","B2B","B2C")</f>
        <v>B2C</v>
      </c>
      <c r="L381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381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381" s="1">
        <f>CLIENTS_CHURN345[[#This Row],[Facture_Mensuelle]]*CLIENTS_CHURN345[[#This Row],[Colonne12]]</f>
        <v>12.807</v>
      </c>
    </row>
    <row r="382" spans="1:14">
      <c r="A382" s="1" t="s">
        <v>653</v>
      </c>
      <c r="B382" t="s">
        <v>700</v>
      </c>
      <c r="C382" t="s">
        <v>40</v>
      </c>
      <c r="D382">
        <v>89</v>
      </c>
      <c r="E382" t="s">
        <v>14</v>
      </c>
      <c r="F382">
        <v>474</v>
      </c>
      <c r="G382">
        <v>28.51</v>
      </c>
      <c r="H382">
        <v>5</v>
      </c>
      <c r="I382">
        <f>CLIENTS_CHURN345[[#This Row],[Anciennete_Mois]]/12</f>
        <v>7.416666666666667</v>
      </c>
      <c r="J382">
        <f>CLIENTS_CHURN345[[#This Row],[Duree_Cumulee_Panne_Min]]/60</f>
        <v>7.9</v>
      </c>
      <c r="K382" t="str">
        <f>IF(CLIENTS_CHURN345[[#This Row],[Type_Forfait]]="Pro Monde","B2B","B2C")</f>
        <v>B2C</v>
      </c>
      <c r="L382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382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382" s="1">
        <f>CLIENTS_CHURN345[[#This Row],[Facture_Mensuelle]]*CLIENTS_CHURN345[[#This Row],[Colonne12]]</f>
        <v>12.829500000000001</v>
      </c>
    </row>
    <row r="383" spans="1:14">
      <c r="A383" s="1" t="s">
        <v>344</v>
      </c>
      <c r="B383" t="s">
        <v>392</v>
      </c>
      <c r="C383" t="s">
        <v>36</v>
      </c>
      <c r="D383">
        <v>41</v>
      </c>
      <c r="E383" t="s">
        <v>14</v>
      </c>
      <c r="F383">
        <v>398</v>
      </c>
      <c r="G383">
        <v>28.56</v>
      </c>
      <c r="H383">
        <v>2</v>
      </c>
      <c r="I383">
        <f>CLIENTS_CHURN345[[#This Row],[Anciennete_Mois]]/12</f>
        <v>3.4166666666666665</v>
      </c>
      <c r="J383">
        <f>CLIENTS_CHURN345[[#This Row],[Duree_Cumulee_Panne_Min]]/60</f>
        <v>6.6333333333333337</v>
      </c>
      <c r="K383" t="str">
        <f>IF(CLIENTS_CHURN345[[#This Row],[Type_Forfait]]="Pro Monde","B2B","B2C")</f>
        <v>B2C</v>
      </c>
      <c r="L383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383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383" s="1">
        <f>CLIENTS_CHURN345[[#This Row],[Facture_Mensuelle]]*CLIENTS_CHURN345[[#This Row],[Colonne12]]</f>
        <v>12.852</v>
      </c>
    </row>
    <row r="384" spans="1:14">
      <c r="A384" s="1" t="s">
        <v>85</v>
      </c>
      <c r="B384" t="s">
        <v>91</v>
      </c>
      <c r="C384" t="s">
        <v>92</v>
      </c>
      <c r="D384">
        <v>102</v>
      </c>
      <c r="E384" t="s">
        <v>11</v>
      </c>
      <c r="F384">
        <v>283</v>
      </c>
      <c r="G384">
        <v>28.98</v>
      </c>
      <c r="H384">
        <v>3</v>
      </c>
      <c r="I384">
        <f>CLIENTS_CHURN345[[#This Row],[Anciennete_Mois]]/12</f>
        <v>8.5</v>
      </c>
      <c r="J384">
        <f>CLIENTS_CHURN345[[#This Row],[Duree_Cumulee_Panne_Min]]/60</f>
        <v>4.7166666666666668</v>
      </c>
      <c r="K384" t="str">
        <f>IF(CLIENTS_CHURN345[[#This Row],[Type_Forfait]]="Pro Monde","B2B","B2C")</f>
        <v>B2B</v>
      </c>
      <c r="L384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384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384" s="1">
        <f>CLIENTS_CHURN345[[#This Row],[Facture_Mensuelle]]*CLIENTS_CHURN345[[#This Row],[Colonne12]]</f>
        <v>13.041</v>
      </c>
    </row>
    <row r="385" spans="1:14">
      <c r="A385" s="1" t="s">
        <v>85</v>
      </c>
      <c r="B385" t="s">
        <v>103</v>
      </c>
      <c r="C385" t="s">
        <v>31</v>
      </c>
      <c r="D385">
        <v>114</v>
      </c>
      <c r="E385" t="s">
        <v>32</v>
      </c>
      <c r="F385">
        <v>283</v>
      </c>
      <c r="G385">
        <v>29.15</v>
      </c>
      <c r="H385">
        <v>3</v>
      </c>
      <c r="I385">
        <f>CLIENTS_CHURN345[[#This Row],[Anciennete_Mois]]/12</f>
        <v>9.5</v>
      </c>
      <c r="J385">
        <f>CLIENTS_CHURN345[[#This Row],[Duree_Cumulee_Panne_Min]]/60</f>
        <v>4.7166666666666668</v>
      </c>
      <c r="K385" t="str">
        <f>IF(CLIENTS_CHURN345[[#This Row],[Type_Forfait]]="Pro Monde","B2B","B2C")</f>
        <v>B2C</v>
      </c>
      <c r="L385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385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385" s="1">
        <f>CLIENTS_CHURN345[[#This Row],[Facture_Mensuelle]]*CLIENTS_CHURN345[[#This Row],[Colonne12]]</f>
        <v>13.1175</v>
      </c>
    </row>
    <row r="386" spans="1:14">
      <c r="A386" s="1" t="s">
        <v>395</v>
      </c>
      <c r="B386" t="s">
        <v>426</v>
      </c>
      <c r="C386" t="s">
        <v>57</v>
      </c>
      <c r="D386">
        <v>117</v>
      </c>
      <c r="E386" t="s">
        <v>21</v>
      </c>
      <c r="F386">
        <v>338</v>
      </c>
      <c r="G386">
        <v>29.18</v>
      </c>
      <c r="H386">
        <v>5</v>
      </c>
      <c r="I386">
        <f>CLIENTS_CHURN345[[#This Row],[Anciennete_Mois]]/12</f>
        <v>9.75</v>
      </c>
      <c r="J386">
        <f>CLIENTS_CHURN345[[#This Row],[Duree_Cumulee_Panne_Min]]/60</f>
        <v>5.6333333333333337</v>
      </c>
      <c r="K386" t="str">
        <f>IF(CLIENTS_CHURN345[[#This Row],[Type_Forfait]]="Pro Monde","B2B","B2C")</f>
        <v>B2C</v>
      </c>
      <c r="L386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386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386" s="1">
        <f>CLIENTS_CHURN345[[#This Row],[Facture_Mensuelle]]*CLIENTS_CHURN345[[#This Row],[Colonne12]]</f>
        <v>13.131</v>
      </c>
    </row>
    <row r="387" spans="1:14">
      <c r="A387" s="1" t="s">
        <v>140</v>
      </c>
      <c r="B387" t="s">
        <v>189</v>
      </c>
      <c r="C387" t="s">
        <v>40</v>
      </c>
      <c r="D387">
        <v>113</v>
      </c>
      <c r="E387" t="s">
        <v>32</v>
      </c>
      <c r="F387">
        <v>246</v>
      </c>
      <c r="G387">
        <v>29.18</v>
      </c>
      <c r="H387">
        <v>2</v>
      </c>
      <c r="I387">
        <f>CLIENTS_CHURN345[[#This Row],[Anciennete_Mois]]/12</f>
        <v>9.4166666666666661</v>
      </c>
      <c r="J387">
        <f>CLIENTS_CHURN345[[#This Row],[Duree_Cumulee_Panne_Min]]/60</f>
        <v>4.0999999999999996</v>
      </c>
      <c r="K387" t="str">
        <f>IF(CLIENTS_CHURN345[[#This Row],[Type_Forfait]]="Pro Monde","B2B","B2C")</f>
        <v>B2C</v>
      </c>
      <c r="L387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387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387" s="1">
        <f>CLIENTS_CHURN345[[#This Row],[Facture_Mensuelle]]*CLIENTS_CHURN345[[#This Row],[Colonne12]]</f>
        <v>13.131</v>
      </c>
    </row>
    <row r="388" spans="1:14">
      <c r="A388" s="1" t="s">
        <v>8</v>
      </c>
      <c r="B388" t="s">
        <v>19</v>
      </c>
      <c r="C388" t="s">
        <v>20</v>
      </c>
      <c r="D388">
        <v>101</v>
      </c>
      <c r="E388" t="s">
        <v>21</v>
      </c>
      <c r="F388">
        <v>358</v>
      </c>
      <c r="G388">
        <v>29.24</v>
      </c>
      <c r="H388">
        <v>3</v>
      </c>
      <c r="I388">
        <f>CLIENTS_CHURN345[[#This Row],[Anciennete_Mois]]/12</f>
        <v>8.4166666666666661</v>
      </c>
      <c r="J388">
        <f>CLIENTS_CHURN345[[#This Row],[Duree_Cumulee_Panne_Min]]/60</f>
        <v>5.9666666666666668</v>
      </c>
      <c r="K388" t="str">
        <f>IF(CLIENTS_CHURN345[[#This Row],[Type_Forfait]]="Pro Monde","B2B","B2C")</f>
        <v>B2C</v>
      </c>
      <c r="L388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388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388" s="1">
        <f>CLIENTS_CHURN345[[#This Row],[Facture_Mensuelle]]*CLIENTS_CHURN345[[#This Row],[Colonne12]]</f>
        <v>13.157999999999999</v>
      </c>
    </row>
    <row r="389" spans="1:14">
      <c r="A389" s="1" t="s">
        <v>602</v>
      </c>
      <c r="B389" t="s">
        <v>626</v>
      </c>
      <c r="C389" t="s">
        <v>52</v>
      </c>
      <c r="D389">
        <v>2</v>
      </c>
      <c r="E389" t="s">
        <v>11</v>
      </c>
      <c r="F389">
        <v>481</v>
      </c>
      <c r="G389">
        <v>29.37</v>
      </c>
      <c r="H389">
        <v>4</v>
      </c>
      <c r="I389">
        <f>CLIENTS_CHURN345[[#This Row],[Anciennete_Mois]]/12</f>
        <v>0.16666666666666666</v>
      </c>
      <c r="J389">
        <f>CLIENTS_CHURN345[[#This Row],[Duree_Cumulee_Panne_Min]]/60</f>
        <v>8.0166666666666675</v>
      </c>
      <c r="K389" t="str">
        <f>IF(CLIENTS_CHURN345[[#This Row],[Type_Forfait]]="Pro Monde","B2B","B2C")</f>
        <v>B2B</v>
      </c>
      <c r="L389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389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389" s="1">
        <f>CLIENTS_CHURN345[[#This Row],[Facture_Mensuelle]]*CLIENTS_CHURN345[[#This Row],[Colonne12]]</f>
        <v>13.2165</v>
      </c>
    </row>
    <row r="390" spans="1:14">
      <c r="A390" s="1" t="s">
        <v>395</v>
      </c>
      <c r="B390" t="s">
        <v>440</v>
      </c>
      <c r="C390" t="s">
        <v>95</v>
      </c>
      <c r="D390">
        <v>35</v>
      </c>
      <c r="E390" t="s">
        <v>21</v>
      </c>
      <c r="F390">
        <v>421</v>
      </c>
      <c r="G390">
        <v>29.57</v>
      </c>
      <c r="H390">
        <v>5</v>
      </c>
      <c r="I390">
        <f>CLIENTS_CHURN345[[#This Row],[Anciennete_Mois]]/12</f>
        <v>2.9166666666666665</v>
      </c>
      <c r="J390">
        <f>CLIENTS_CHURN345[[#This Row],[Duree_Cumulee_Panne_Min]]/60</f>
        <v>7.0166666666666666</v>
      </c>
      <c r="K390" t="str">
        <f>IF(CLIENTS_CHURN345[[#This Row],[Type_Forfait]]="Pro Monde","B2B","B2C")</f>
        <v>B2C</v>
      </c>
      <c r="L390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390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390" s="1">
        <f>CLIENTS_CHURN345[[#This Row],[Facture_Mensuelle]]*CLIENTS_CHURN345[[#This Row],[Colonne12]]</f>
        <v>13.3065</v>
      </c>
    </row>
    <row r="391" spans="1:14">
      <c r="A391" s="1" t="s">
        <v>653</v>
      </c>
      <c r="B391" t="s">
        <v>666</v>
      </c>
      <c r="C391" t="s">
        <v>95</v>
      </c>
      <c r="D391">
        <v>56</v>
      </c>
      <c r="E391" t="s">
        <v>32</v>
      </c>
      <c r="F391">
        <v>123</v>
      </c>
      <c r="G391">
        <v>29.76</v>
      </c>
      <c r="H391">
        <v>5</v>
      </c>
      <c r="I391">
        <f>CLIENTS_CHURN345[[#This Row],[Anciennete_Mois]]/12</f>
        <v>4.666666666666667</v>
      </c>
      <c r="J391">
        <f>CLIENTS_CHURN345[[#This Row],[Duree_Cumulee_Panne_Min]]/60</f>
        <v>2.0499999999999998</v>
      </c>
      <c r="K391" t="str">
        <f>IF(CLIENTS_CHURN345[[#This Row],[Type_Forfait]]="Pro Monde","B2B","B2C")</f>
        <v>B2C</v>
      </c>
      <c r="L391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391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391" s="1">
        <f>CLIENTS_CHURN345[[#This Row],[Facture_Mensuelle]]*CLIENTS_CHURN345[[#This Row],[Colonne12]]</f>
        <v>13.392000000000001</v>
      </c>
    </row>
    <row r="392" spans="1:14">
      <c r="A392" s="1" t="s">
        <v>705</v>
      </c>
      <c r="B392" t="s">
        <v>741</v>
      </c>
      <c r="C392" t="s">
        <v>36</v>
      </c>
      <c r="D392">
        <v>86</v>
      </c>
      <c r="E392" t="s">
        <v>32</v>
      </c>
      <c r="F392">
        <v>278</v>
      </c>
      <c r="G392">
        <v>30.12</v>
      </c>
      <c r="H392">
        <v>0</v>
      </c>
      <c r="I392">
        <f>CLIENTS_CHURN345[[#This Row],[Anciennete_Mois]]/12</f>
        <v>7.166666666666667</v>
      </c>
      <c r="J392">
        <f>CLIENTS_CHURN345[[#This Row],[Duree_Cumulee_Panne_Min]]/60</f>
        <v>4.6333333333333337</v>
      </c>
      <c r="K392" t="str">
        <f>IF(CLIENTS_CHURN345[[#This Row],[Type_Forfait]]="Pro Monde","B2B","B2C")</f>
        <v>B2C</v>
      </c>
      <c r="L392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392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392" s="1">
        <f>CLIENTS_CHURN345[[#This Row],[Facture_Mensuelle]]*CLIENTS_CHURN345[[#This Row],[Colonne12]]</f>
        <v>13.554</v>
      </c>
    </row>
    <row r="393" spans="1:14">
      <c r="A393" s="1" t="s">
        <v>293</v>
      </c>
      <c r="B393" t="s">
        <v>301</v>
      </c>
      <c r="C393" t="s">
        <v>20</v>
      </c>
      <c r="D393">
        <v>47</v>
      </c>
      <c r="E393" t="s">
        <v>21</v>
      </c>
      <c r="F393">
        <v>340</v>
      </c>
      <c r="G393">
        <v>31.02</v>
      </c>
      <c r="H393">
        <v>5</v>
      </c>
      <c r="I393">
        <f>CLIENTS_CHURN345[[#This Row],[Anciennete_Mois]]/12</f>
        <v>3.9166666666666665</v>
      </c>
      <c r="J393">
        <f>CLIENTS_CHURN345[[#This Row],[Duree_Cumulee_Panne_Min]]/60</f>
        <v>5.666666666666667</v>
      </c>
      <c r="K393" t="str">
        <f>IF(CLIENTS_CHURN345[[#This Row],[Type_Forfait]]="Pro Monde","B2B","B2C")</f>
        <v>B2C</v>
      </c>
      <c r="L393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393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393" s="1">
        <f>CLIENTS_CHURN345[[#This Row],[Facture_Mensuelle]]*CLIENTS_CHURN345[[#This Row],[Colonne12]]</f>
        <v>13.959</v>
      </c>
    </row>
    <row r="394" spans="1:14">
      <c r="A394" s="1" t="s">
        <v>8</v>
      </c>
      <c r="B394" t="s">
        <v>22</v>
      </c>
      <c r="C394" t="s">
        <v>20</v>
      </c>
      <c r="D394">
        <v>110</v>
      </c>
      <c r="E394" t="s">
        <v>21</v>
      </c>
      <c r="F394">
        <v>454</v>
      </c>
      <c r="G394">
        <v>31.05</v>
      </c>
      <c r="H394">
        <v>1</v>
      </c>
      <c r="I394">
        <f>CLIENTS_CHURN345[[#This Row],[Anciennete_Mois]]/12</f>
        <v>9.1666666666666661</v>
      </c>
      <c r="J394">
        <f>CLIENTS_CHURN345[[#This Row],[Duree_Cumulee_Panne_Min]]/60</f>
        <v>7.5666666666666664</v>
      </c>
      <c r="K394" t="str">
        <f>IF(CLIENTS_CHURN345[[#This Row],[Type_Forfait]]="Pro Monde","B2B","B2C")</f>
        <v>B2C</v>
      </c>
      <c r="L394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394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394" s="1">
        <f>CLIENTS_CHURN345[[#This Row],[Facture_Mensuelle]]*CLIENTS_CHURN345[[#This Row],[Colonne12]]</f>
        <v>13.9725</v>
      </c>
    </row>
    <row r="395" spans="1:14">
      <c r="A395" s="1" t="s">
        <v>8</v>
      </c>
      <c r="B395" t="s">
        <v>23</v>
      </c>
      <c r="C395" t="s">
        <v>24</v>
      </c>
      <c r="D395">
        <v>97</v>
      </c>
      <c r="E395" t="s">
        <v>11</v>
      </c>
      <c r="F395">
        <v>319</v>
      </c>
      <c r="G395">
        <v>31.25</v>
      </c>
      <c r="H395">
        <v>1</v>
      </c>
      <c r="I395">
        <f>CLIENTS_CHURN345[[#This Row],[Anciennete_Mois]]/12</f>
        <v>8.0833333333333339</v>
      </c>
      <c r="J395">
        <f>CLIENTS_CHURN345[[#This Row],[Duree_Cumulee_Panne_Min]]/60</f>
        <v>5.3166666666666664</v>
      </c>
      <c r="K395" t="str">
        <f>IF(CLIENTS_CHURN345[[#This Row],[Type_Forfait]]="Pro Monde","B2B","B2C")</f>
        <v>B2B</v>
      </c>
      <c r="L395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395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395" s="1">
        <f>CLIENTS_CHURN345[[#This Row],[Facture_Mensuelle]]*CLIENTS_CHURN345[[#This Row],[Colonne12]]</f>
        <v>14.0625</v>
      </c>
    </row>
    <row r="396" spans="1:14">
      <c r="A396" s="1" t="s">
        <v>140</v>
      </c>
      <c r="B396" t="s">
        <v>152</v>
      </c>
      <c r="C396" t="s">
        <v>18</v>
      </c>
      <c r="D396">
        <v>109</v>
      </c>
      <c r="E396" t="s">
        <v>11</v>
      </c>
      <c r="F396">
        <v>480</v>
      </c>
      <c r="G396">
        <v>31.36</v>
      </c>
      <c r="H396">
        <v>0</v>
      </c>
      <c r="I396">
        <f>CLIENTS_CHURN345[[#This Row],[Anciennete_Mois]]/12</f>
        <v>9.0833333333333339</v>
      </c>
      <c r="J396">
        <f>CLIENTS_CHURN345[[#This Row],[Duree_Cumulee_Panne_Min]]/60</f>
        <v>8</v>
      </c>
      <c r="K396" t="str">
        <f>IF(CLIENTS_CHURN345[[#This Row],[Type_Forfait]]="Pro Monde","B2B","B2C")</f>
        <v>B2B</v>
      </c>
      <c r="L396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396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396" s="1">
        <f>CLIENTS_CHURN345[[#This Row],[Facture_Mensuelle]]*CLIENTS_CHURN345[[#This Row],[Colonne12]]</f>
        <v>14.112</v>
      </c>
    </row>
    <row r="397" spans="1:14">
      <c r="A397" s="1" t="s">
        <v>756</v>
      </c>
      <c r="B397" t="s">
        <v>795</v>
      </c>
      <c r="C397" t="s">
        <v>36</v>
      </c>
      <c r="D397">
        <v>72</v>
      </c>
      <c r="E397" t="s">
        <v>14</v>
      </c>
      <c r="F397">
        <v>427</v>
      </c>
      <c r="G397">
        <v>31.44</v>
      </c>
      <c r="H397">
        <v>2</v>
      </c>
      <c r="I397">
        <f>CLIENTS_CHURN345[[#This Row],[Anciennete_Mois]]/12</f>
        <v>6</v>
      </c>
      <c r="J397">
        <f>CLIENTS_CHURN345[[#This Row],[Duree_Cumulee_Panne_Min]]/60</f>
        <v>7.1166666666666663</v>
      </c>
      <c r="K397" t="str">
        <f>IF(CLIENTS_CHURN345[[#This Row],[Type_Forfait]]="Pro Monde","B2B","B2C")</f>
        <v>B2C</v>
      </c>
      <c r="L397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397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397" s="1">
        <f>CLIENTS_CHURN345[[#This Row],[Facture_Mensuelle]]*CLIENTS_CHURN345[[#This Row],[Colonne12]]</f>
        <v>14.148000000000001</v>
      </c>
    </row>
    <row r="398" spans="1:14">
      <c r="A398" s="1" t="s">
        <v>653</v>
      </c>
      <c r="B398" t="s">
        <v>657</v>
      </c>
      <c r="C398" t="s">
        <v>76</v>
      </c>
      <c r="D398">
        <v>43</v>
      </c>
      <c r="E398" t="s">
        <v>32</v>
      </c>
      <c r="F398">
        <v>27</v>
      </c>
      <c r="G398">
        <v>31.48</v>
      </c>
      <c r="H398">
        <v>5</v>
      </c>
      <c r="I398">
        <f>CLIENTS_CHURN345[[#This Row],[Anciennete_Mois]]/12</f>
        <v>3.5833333333333335</v>
      </c>
      <c r="J398">
        <f>CLIENTS_CHURN345[[#This Row],[Duree_Cumulee_Panne_Min]]/60</f>
        <v>0.45</v>
      </c>
      <c r="K398" t="str">
        <f>IF(CLIENTS_CHURN345[[#This Row],[Type_Forfait]]="Pro Monde","B2B","B2C")</f>
        <v>B2C</v>
      </c>
      <c r="L398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398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398" s="1">
        <f>CLIENTS_CHURN345[[#This Row],[Facture_Mensuelle]]*CLIENTS_CHURN345[[#This Row],[Colonne12]]</f>
        <v>14.166</v>
      </c>
    </row>
    <row r="399" spans="1:14">
      <c r="A399" s="1" t="s">
        <v>293</v>
      </c>
      <c r="B399" t="s">
        <v>325</v>
      </c>
      <c r="C399" t="s">
        <v>26</v>
      </c>
      <c r="D399">
        <v>50</v>
      </c>
      <c r="E399" t="s">
        <v>21</v>
      </c>
      <c r="F399">
        <v>446</v>
      </c>
      <c r="G399">
        <v>31.56</v>
      </c>
      <c r="H399">
        <v>5</v>
      </c>
      <c r="I399">
        <f>CLIENTS_CHURN345[[#This Row],[Anciennete_Mois]]/12</f>
        <v>4.166666666666667</v>
      </c>
      <c r="J399">
        <f>CLIENTS_CHURN345[[#This Row],[Duree_Cumulee_Panne_Min]]/60</f>
        <v>7.4333333333333336</v>
      </c>
      <c r="K399" t="str">
        <f>IF(CLIENTS_CHURN345[[#This Row],[Type_Forfait]]="Pro Monde","B2B","B2C")</f>
        <v>B2C</v>
      </c>
      <c r="L399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399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399" s="1">
        <f>CLIENTS_CHURN345[[#This Row],[Facture_Mensuelle]]*CLIENTS_CHURN345[[#This Row],[Colonne12]]</f>
        <v>14.202</v>
      </c>
    </row>
    <row r="400" spans="1:14">
      <c r="A400" s="1" t="s">
        <v>602</v>
      </c>
      <c r="B400" t="s">
        <v>609</v>
      </c>
      <c r="C400" t="s">
        <v>92</v>
      </c>
      <c r="D400">
        <v>56</v>
      </c>
      <c r="E400" t="s">
        <v>32</v>
      </c>
      <c r="F400">
        <v>354</v>
      </c>
      <c r="G400">
        <v>32.08</v>
      </c>
      <c r="H400">
        <v>1</v>
      </c>
      <c r="I400">
        <f>CLIENTS_CHURN345[[#This Row],[Anciennete_Mois]]/12</f>
        <v>4.666666666666667</v>
      </c>
      <c r="J400">
        <f>CLIENTS_CHURN345[[#This Row],[Duree_Cumulee_Panne_Min]]/60</f>
        <v>5.9</v>
      </c>
      <c r="K400" t="str">
        <f>IF(CLIENTS_CHURN345[[#This Row],[Type_Forfait]]="Pro Monde","B2B","B2C")</f>
        <v>B2C</v>
      </c>
      <c r="L400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00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00" s="1">
        <f>CLIENTS_CHURN345[[#This Row],[Facture_Mensuelle]]*CLIENTS_CHURN345[[#This Row],[Colonne12]]</f>
        <v>14.436</v>
      </c>
    </row>
    <row r="401" spans="1:14">
      <c r="A401" s="1" t="s">
        <v>242</v>
      </c>
      <c r="B401" t="s">
        <v>260</v>
      </c>
      <c r="C401" t="s">
        <v>13</v>
      </c>
      <c r="D401">
        <v>13</v>
      </c>
      <c r="E401" t="s">
        <v>11</v>
      </c>
      <c r="F401">
        <v>347</v>
      </c>
      <c r="G401">
        <v>32.35</v>
      </c>
      <c r="H401">
        <v>2</v>
      </c>
      <c r="I401">
        <f>CLIENTS_CHURN345[[#This Row],[Anciennete_Mois]]/12</f>
        <v>1.0833333333333333</v>
      </c>
      <c r="J401">
        <f>CLIENTS_CHURN345[[#This Row],[Duree_Cumulee_Panne_Min]]/60</f>
        <v>5.7833333333333332</v>
      </c>
      <c r="K401" t="str">
        <f>IF(CLIENTS_CHURN345[[#This Row],[Type_Forfait]]="Pro Monde","B2B","B2C")</f>
        <v>B2B</v>
      </c>
      <c r="L401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01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01" s="1">
        <f>CLIENTS_CHURN345[[#This Row],[Facture_Mensuelle]]*CLIENTS_CHURN345[[#This Row],[Colonne12]]</f>
        <v>14.557500000000001</v>
      </c>
    </row>
    <row r="402" spans="1:14">
      <c r="A402" s="1" t="s">
        <v>756</v>
      </c>
      <c r="B402" t="s">
        <v>773</v>
      </c>
      <c r="C402" t="s">
        <v>111</v>
      </c>
      <c r="D402">
        <v>95</v>
      </c>
      <c r="E402" t="s">
        <v>32</v>
      </c>
      <c r="F402">
        <v>313</v>
      </c>
      <c r="G402">
        <v>32.49</v>
      </c>
      <c r="H402">
        <v>1</v>
      </c>
      <c r="I402">
        <f>CLIENTS_CHURN345[[#This Row],[Anciennete_Mois]]/12</f>
        <v>7.916666666666667</v>
      </c>
      <c r="J402">
        <f>CLIENTS_CHURN345[[#This Row],[Duree_Cumulee_Panne_Min]]/60</f>
        <v>5.2166666666666668</v>
      </c>
      <c r="K402" t="str">
        <f>IF(CLIENTS_CHURN345[[#This Row],[Type_Forfait]]="Pro Monde","B2B","B2C")</f>
        <v>B2C</v>
      </c>
      <c r="L402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02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02" s="1">
        <f>CLIENTS_CHURN345[[#This Row],[Facture_Mensuelle]]*CLIENTS_CHURN345[[#This Row],[Colonne12]]</f>
        <v>14.620500000000002</v>
      </c>
    </row>
    <row r="403" spans="1:14">
      <c r="A403" s="1" t="s">
        <v>602</v>
      </c>
      <c r="B403" t="s">
        <v>639</v>
      </c>
      <c r="C403" t="s">
        <v>65</v>
      </c>
      <c r="D403">
        <v>81</v>
      </c>
      <c r="E403" t="s">
        <v>11</v>
      </c>
      <c r="F403">
        <v>443</v>
      </c>
      <c r="G403">
        <v>32.78</v>
      </c>
      <c r="H403">
        <v>1</v>
      </c>
      <c r="I403">
        <f>CLIENTS_CHURN345[[#This Row],[Anciennete_Mois]]/12</f>
        <v>6.75</v>
      </c>
      <c r="J403">
        <f>CLIENTS_CHURN345[[#This Row],[Duree_Cumulee_Panne_Min]]/60</f>
        <v>7.3833333333333337</v>
      </c>
      <c r="K403" t="str">
        <f>IF(CLIENTS_CHURN345[[#This Row],[Type_Forfait]]="Pro Monde","B2B","B2C")</f>
        <v>B2B</v>
      </c>
      <c r="L403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03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03" s="1">
        <f>CLIENTS_CHURN345[[#This Row],[Facture_Mensuelle]]*CLIENTS_CHURN345[[#This Row],[Colonne12]]</f>
        <v>14.751000000000001</v>
      </c>
    </row>
    <row r="404" spans="1:14">
      <c r="A404" s="1" t="s">
        <v>447</v>
      </c>
      <c r="B404" t="s">
        <v>496</v>
      </c>
      <c r="C404" t="s">
        <v>31</v>
      </c>
      <c r="D404">
        <v>7</v>
      </c>
      <c r="E404" t="s">
        <v>11</v>
      </c>
      <c r="F404">
        <v>268</v>
      </c>
      <c r="G404">
        <v>33.04</v>
      </c>
      <c r="H404">
        <v>5</v>
      </c>
      <c r="I404">
        <f>CLIENTS_CHURN345[[#This Row],[Anciennete_Mois]]/12</f>
        <v>0.58333333333333337</v>
      </c>
      <c r="J404">
        <f>CLIENTS_CHURN345[[#This Row],[Duree_Cumulee_Panne_Min]]/60</f>
        <v>4.4666666666666668</v>
      </c>
      <c r="K404" t="str">
        <f>IF(CLIENTS_CHURN345[[#This Row],[Type_Forfait]]="Pro Monde","B2B","B2C")</f>
        <v>B2B</v>
      </c>
      <c r="L404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04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04" s="1">
        <f>CLIENTS_CHURN345[[#This Row],[Facture_Mensuelle]]*CLIENTS_CHURN345[[#This Row],[Colonne12]]</f>
        <v>14.868</v>
      </c>
    </row>
    <row r="405" spans="1:14">
      <c r="A405" s="1" t="s">
        <v>8</v>
      </c>
      <c r="B405" t="s">
        <v>30</v>
      </c>
      <c r="C405" t="s">
        <v>31</v>
      </c>
      <c r="D405">
        <v>86</v>
      </c>
      <c r="E405" t="s">
        <v>32</v>
      </c>
      <c r="F405">
        <v>471</v>
      </c>
      <c r="G405">
        <v>33.380000000000003</v>
      </c>
      <c r="H405">
        <v>4</v>
      </c>
      <c r="I405">
        <f>CLIENTS_CHURN345[[#This Row],[Anciennete_Mois]]/12</f>
        <v>7.166666666666667</v>
      </c>
      <c r="J405">
        <f>CLIENTS_CHURN345[[#This Row],[Duree_Cumulee_Panne_Min]]/60</f>
        <v>7.85</v>
      </c>
      <c r="K405" t="str">
        <f>IF(CLIENTS_CHURN345[[#This Row],[Type_Forfait]]="Pro Monde","B2B","B2C")</f>
        <v>B2C</v>
      </c>
      <c r="L405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05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05" s="1">
        <f>CLIENTS_CHURN345[[#This Row],[Facture_Mensuelle]]*CLIENTS_CHURN345[[#This Row],[Colonne12]]</f>
        <v>15.021000000000001</v>
      </c>
    </row>
    <row r="406" spans="1:14">
      <c r="A406" s="1" t="s">
        <v>447</v>
      </c>
      <c r="B406" t="s">
        <v>480</v>
      </c>
      <c r="C406" t="s">
        <v>43</v>
      </c>
      <c r="D406">
        <v>45</v>
      </c>
      <c r="E406" t="s">
        <v>21</v>
      </c>
      <c r="F406">
        <v>356</v>
      </c>
      <c r="G406">
        <v>33.76</v>
      </c>
      <c r="H406">
        <v>0</v>
      </c>
      <c r="I406">
        <f>CLIENTS_CHURN345[[#This Row],[Anciennete_Mois]]/12</f>
        <v>3.75</v>
      </c>
      <c r="J406">
        <f>CLIENTS_CHURN345[[#This Row],[Duree_Cumulee_Panne_Min]]/60</f>
        <v>5.9333333333333336</v>
      </c>
      <c r="K406" t="str">
        <f>IF(CLIENTS_CHURN345[[#This Row],[Type_Forfait]]="Pro Monde","B2B","B2C")</f>
        <v>B2C</v>
      </c>
      <c r="L406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06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06" s="1">
        <f>CLIENTS_CHURN345[[#This Row],[Facture_Mensuelle]]*CLIENTS_CHURN345[[#This Row],[Colonne12]]</f>
        <v>15.192</v>
      </c>
    </row>
    <row r="407" spans="1:14">
      <c r="A407" s="1" t="s">
        <v>85</v>
      </c>
      <c r="B407" t="s">
        <v>133</v>
      </c>
      <c r="C407" t="s">
        <v>36</v>
      </c>
      <c r="D407">
        <v>72</v>
      </c>
      <c r="E407" t="s">
        <v>11</v>
      </c>
      <c r="F407">
        <v>333</v>
      </c>
      <c r="G407">
        <v>34.57</v>
      </c>
      <c r="H407">
        <v>2</v>
      </c>
      <c r="I407">
        <f>CLIENTS_CHURN345[[#This Row],[Anciennete_Mois]]/12</f>
        <v>6</v>
      </c>
      <c r="J407">
        <f>CLIENTS_CHURN345[[#This Row],[Duree_Cumulee_Panne_Min]]/60</f>
        <v>5.55</v>
      </c>
      <c r="K407" t="str">
        <f>IF(CLIENTS_CHURN345[[#This Row],[Type_Forfait]]="Pro Monde","B2B","B2C")</f>
        <v>B2B</v>
      </c>
      <c r="L407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07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07" s="1">
        <f>CLIENTS_CHURN345[[#This Row],[Facture_Mensuelle]]*CLIENTS_CHURN345[[#This Row],[Colonne12]]</f>
        <v>15.5565</v>
      </c>
    </row>
    <row r="408" spans="1:14">
      <c r="A408" s="1" t="s">
        <v>344</v>
      </c>
      <c r="B408" t="s">
        <v>382</v>
      </c>
      <c r="C408" t="s">
        <v>36</v>
      </c>
      <c r="D408">
        <v>69</v>
      </c>
      <c r="E408" t="s">
        <v>32</v>
      </c>
      <c r="F408">
        <v>486</v>
      </c>
      <c r="G408">
        <v>34.770000000000003</v>
      </c>
      <c r="H408">
        <v>0</v>
      </c>
      <c r="I408">
        <f>CLIENTS_CHURN345[[#This Row],[Anciennete_Mois]]/12</f>
        <v>5.75</v>
      </c>
      <c r="J408">
        <f>CLIENTS_CHURN345[[#This Row],[Duree_Cumulee_Panne_Min]]/60</f>
        <v>8.1</v>
      </c>
      <c r="K408" t="str">
        <f>IF(CLIENTS_CHURN345[[#This Row],[Type_Forfait]]="Pro Monde","B2B","B2C")</f>
        <v>B2C</v>
      </c>
      <c r="L408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08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08" s="1">
        <f>CLIENTS_CHURN345[[#This Row],[Facture_Mensuelle]]*CLIENTS_CHURN345[[#This Row],[Colonne12]]</f>
        <v>15.646500000000001</v>
      </c>
    </row>
    <row r="409" spans="1:14">
      <c r="A409" s="1" t="s">
        <v>242</v>
      </c>
      <c r="B409" t="s">
        <v>270</v>
      </c>
      <c r="C409" t="s">
        <v>52</v>
      </c>
      <c r="D409">
        <v>85</v>
      </c>
      <c r="E409" t="s">
        <v>32</v>
      </c>
      <c r="F409">
        <v>274</v>
      </c>
      <c r="G409">
        <v>35.03</v>
      </c>
      <c r="H409">
        <v>1</v>
      </c>
      <c r="I409">
        <f>CLIENTS_CHURN345[[#This Row],[Anciennete_Mois]]/12</f>
        <v>7.083333333333333</v>
      </c>
      <c r="J409">
        <f>CLIENTS_CHURN345[[#This Row],[Duree_Cumulee_Panne_Min]]/60</f>
        <v>4.5666666666666664</v>
      </c>
      <c r="K409" t="str">
        <f>IF(CLIENTS_CHURN345[[#This Row],[Type_Forfait]]="Pro Monde","B2B","B2C")</f>
        <v>B2C</v>
      </c>
      <c r="L409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09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09" s="1">
        <f>CLIENTS_CHURN345[[#This Row],[Facture_Mensuelle]]*CLIENTS_CHURN345[[#This Row],[Colonne12]]</f>
        <v>15.763500000000001</v>
      </c>
    </row>
    <row r="410" spans="1:14">
      <c r="A410" s="1" t="s">
        <v>447</v>
      </c>
      <c r="B410" t="s">
        <v>481</v>
      </c>
      <c r="C410" t="s">
        <v>13</v>
      </c>
      <c r="D410">
        <v>1</v>
      </c>
      <c r="E410" t="s">
        <v>32</v>
      </c>
      <c r="F410">
        <v>368</v>
      </c>
      <c r="G410">
        <v>35.17</v>
      </c>
      <c r="H410">
        <v>1</v>
      </c>
      <c r="I410">
        <f>CLIENTS_CHURN345[[#This Row],[Anciennete_Mois]]/12</f>
        <v>8.3333333333333329E-2</v>
      </c>
      <c r="J410">
        <f>CLIENTS_CHURN345[[#This Row],[Duree_Cumulee_Panne_Min]]/60</f>
        <v>6.1333333333333337</v>
      </c>
      <c r="K410" t="str">
        <f>IF(CLIENTS_CHURN345[[#This Row],[Type_Forfait]]="Pro Monde","B2B","B2C")</f>
        <v>B2C</v>
      </c>
      <c r="L410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10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10" s="1">
        <f>CLIENTS_CHURN345[[#This Row],[Facture_Mensuelle]]*CLIENTS_CHURN345[[#This Row],[Colonne12]]</f>
        <v>15.826500000000001</v>
      </c>
    </row>
    <row r="411" spans="1:14">
      <c r="A411" s="1" t="s">
        <v>756</v>
      </c>
      <c r="B411" t="s">
        <v>787</v>
      </c>
      <c r="C411" t="s">
        <v>36</v>
      </c>
      <c r="D411">
        <v>68</v>
      </c>
      <c r="E411" t="s">
        <v>11</v>
      </c>
      <c r="F411">
        <v>282</v>
      </c>
      <c r="G411">
        <v>35.43</v>
      </c>
      <c r="H411">
        <v>1</v>
      </c>
      <c r="I411">
        <f>CLIENTS_CHURN345[[#This Row],[Anciennete_Mois]]/12</f>
        <v>5.666666666666667</v>
      </c>
      <c r="J411">
        <f>CLIENTS_CHURN345[[#This Row],[Duree_Cumulee_Panne_Min]]/60</f>
        <v>4.7</v>
      </c>
      <c r="K411" t="str">
        <f>IF(CLIENTS_CHURN345[[#This Row],[Type_Forfait]]="Pro Monde","B2B","B2C")</f>
        <v>B2B</v>
      </c>
      <c r="L411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11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11" s="1">
        <f>CLIENTS_CHURN345[[#This Row],[Facture_Mensuelle]]*CLIENTS_CHURN345[[#This Row],[Colonne12]]</f>
        <v>15.9435</v>
      </c>
    </row>
    <row r="412" spans="1:14">
      <c r="A412" s="1" t="s">
        <v>499</v>
      </c>
      <c r="B412" t="s">
        <v>511</v>
      </c>
      <c r="C412" t="s">
        <v>63</v>
      </c>
      <c r="D412">
        <v>43</v>
      </c>
      <c r="E412" t="s">
        <v>32</v>
      </c>
      <c r="F412">
        <v>193</v>
      </c>
      <c r="G412">
        <v>35.81</v>
      </c>
      <c r="H412">
        <v>0</v>
      </c>
      <c r="I412">
        <f>CLIENTS_CHURN345[[#This Row],[Anciennete_Mois]]/12</f>
        <v>3.5833333333333335</v>
      </c>
      <c r="J412">
        <f>CLIENTS_CHURN345[[#This Row],[Duree_Cumulee_Panne_Min]]/60</f>
        <v>3.2166666666666668</v>
      </c>
      <c r="K412" t="str">
        <f>IF(CLIENTS_CHURN345[[#This Row],[Type_Forfait]]="Pro Monde","B2B","B2C")</f>
        <v>B2C</v>
      </c>
      <c r="L412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12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12" s="1">
        <f>CLIENTS_CHURN345[[#This Row],[Facture_Mensuelle]]*CLIENTS_CHURN345[[#This Row],[Colonne12]]</f>
        <v>16.114500000000003</v>
      </c>
    </row>
    <row r="413" spans="1:14">
      <c r="A413" s="1" t="s">
        <v>395</v>
      </c>
      <c r="B413" t="s">
        <v>403</v>
      </c>
      <c r="C413" t="s">
        <v>107</v>
      </c>
      <c r="D413">
        <v>47</v>
      </c>
      <c r="E413" t="s">
        <v>11</v>
      </c>
      <c r="F413">
        <v>378</v>
      </c>
      <c r="G413">
        <v>36.42</v>
      </c>
      <c r="H413">
        <v>1</v>
      </c>
      <c r="I413">
        <f>CLIENTS_CHURN345[[#This Row],[Anciennete_Mois]]/12</f>
        <v>3.9166666666666665</v>
      </c>
      <c r="J413">
        <f>CLIENTS_CHURN345[[#This Row],[Duree_Cumulee_Panne_Min]]/60</f>
        <v>6.3</v>
      </c>
      <c r="K413" t="str">
        <f>IF(CLIENTS_CHURN345[[#This Row],[Type_Forfait]]="Pro Monde","B2B","B2C")</f>
        <v>B2B</v>
      </c>
      <c r="L413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13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13" s="1">
        <f>CLIENTS_CHURN345[[#This Row],[Facture_Mensuelle]]*CLIENTS_CHURN345[[#This Row],[Colonne12]]</f>
        <v>16.389000000000003</v>
      </c>
    </row>
    <row r="414" spans="1:14">
      <c r="A414" s="1" t="s">
        <v>447</v>
      </c>
      <c r="B414" t="s">
        <v>459</v>
      </c>
      <c r="C414" t="s">
        <v>40</v>
      </c>
      <c r="D414">
        <v>32</v>
      </c>
      <c r="E414" t="s">
        <v>21</v>
      </c>
      <c r="F414">
        <v>475</v>
      </c>
      <c r="G414">
        <v>36.54</v>
      </c>
      <c r="H414">
        <v>3</v>
      </c>
      <c r="I414">
        <f>CLIENTS_CHURN345[[#This Row],[Anciennete_Mois]]/12</f>
        <v>2.6666666666666665</v>
      </c>
      <c r="J414">
        <f>CLIENTS_CHURN345[[#This Row],[Duree_Cumulee_Panne_Min]]/60</f>
        <v>7.916666666666667</v>
      </c>
      <c r="K414" t="str">
        <f>IF(CLIENTS_CHURN345[[#This Row],[Type_Forfait]]="Pro Monde","B2B","B2C")</f>
        <v>B2C</v>
      </c>
      <c r="L414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14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14" s="1">
        <f>CLIENTS_CHURN345[[#This Row],[Facture_Mensuelle]]*CLIENTS_CHURN345[[#This Row],[Colonne12]]</f>
        <v>16.443000000000001</v>
      </c>
    </row>
    <row r="415" spans="1:14">
      <c r="A415" s="1" t="s">
        <v>8</v>
      </c>
      <c r="B415" t="s">
        <v>15</v>
      </c>
      <c r="C415" t="s">
        <v>16</v>
      </c>
      <c r="D415">
        <v>14</v>
      </c>
      <c r="E415" t="s">
        <v>14</v>
      </c>
      <c r="F415">
        <v>415</v>
      </c>
      <c r="G415">
        <v>36.93</v>
      </c>
      <c r="H415">
        <v>5</v>
      </c>
      <c r="I415">
        <f>CLIENTS_CHURN345[[#This Row],[Anciennete_Mois]]/12</f>
        <v>1.1666666666666667</v>
      </c>
      <c r="J415">
        <f>CLIENTS_CHURN345[[#This Row],[Duree_Cumulee_Panne_Min]]/60</f>
        <v>6.916666666666667</v>
      </c>
      <c r="K415" t="str">
        <f>IF(CLIENTS_CHURN345[[#This Row],[Type_Forfait]]="Pro Monde","B2B","B2C")</f>
        <v>B2C</v>
      </c>
      <c r="L415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15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15" s="1">
        <f>CLIENTS_CHURN345[[#This Row],[Facture_Mensuelle]]*CLIENTS_CHURN345[[#This Row],[Colonne12]]</f>
        <v>16.618500000000001</v>
      </c>
    </row>
    <row r="416" spans="1:14">
      <c r="A416" s="1" t="s">
        <v>395</v>
      </c>
      <c r="B416" t="s">
        <v>414</v>
      </c>
      <c r="C416" t="s">
        <v>40</v>
      </c>
      <c r="D416">
        <v>74</v>
      </c>
      <c r="E416" t="s">
        <v>21</v>
      </c>
      <c r="F416">
        <v>253</v>
      </c>
      <c r="G416">
        <v>36.94</v>
      </c>
      <c r="H416">
        <v>5</v>
      </c>
      <c r="I416">
        <f>CLIENTS_CHURN345[[#This Row],[Anciennete_Mois]]/12</f>
        <v>6.166666666666667</v>
      </c>
      <c r="J416">
        <f>CLIENTS_CHURN345[[#This Row],[Duree_Cumulee_Panne_Min]]/60</f>
        <v>4.2166666666666668</v>
      </c>
      <c r="K416" t="str">
        <f>IF(CLIENTS_CHURN345[[#This Row],[Type_Forfait]]="Pro Monde","B2B","B2C")</f>
        <v>B2C</v>
      </c>
      <c r="L416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16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16" s="1">
        <f>CLIENTS_CHURN345[[#This Row],[Facture_Mensuelle]]*CLIENTS_CHURN345[[#This Row],[Colonne12]]</f>
        <v>16.623000000000001</v>
      </c>
    </row>
    <row r="417" spans="1:14">
      <c r="A417" s="1" t="s">
        <v>140</v>
      </c>
      <c r="B417" t="s">
        <v>157</v>
      </c>
      <c r="C417" t="s">
        <v>92</v>
      </c>
      <c r="D417">
        <v>118</v>
      </c>
      <c r="E417" t="s">
        <v>21</v>
      </c>
      <c r="F417">
        <v>430</v>
      </c>
      <c r="G417">
        <v>36.97</v>
      </c>
      <c r="H417">
        <v>2</v>
      </c>
      <c r="I417">
        <f>CLIENTS_CHURN345[[#This Row],[Anciennete_Mois]]/12</f>
        <v>9.8333333333333339</v>
      </c>
      <c r="J417">
        <f>CLIENTS_CHURN345[[#This Row],[Duree_Cumulee_Panne_Min]]/60</f>
        <v>7.166666666666667</v>
      </c>
      <c r="K417" t="str">
        <f>IF(CLIENTS_CHURN345[[#This Row],[Type_Forfait]]="Pro Monde","B2B","B2C")</f>
        <v>B2C</v>
      </c>
      <c r="L417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17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17" s="1">
        <f>CLIENTS_CHURN345[[#This Row],[Facture_Mensuelle]]*CLIENTS_CHURN345[[#This Row],[Colonne12]]</f>
        <v>16.636500000000002</v>
      </c>
    </row>
    <row r="418" spans="1:14">
      <c r="A418" s="1" t="s">
        <v>705</v>
      </c>
      <c r="B418" t="s">
        <v>713</v>
      </c>
      <c r="C418" t="s">
        <v>107</v>
      </c>
      <c r="D418">
        <v>63</v>
      </c>
      <c r="E418" t="s">
        <v>11</v>
      </c>
      <c r="F418">
        <v>449</v>
      </c>
      <c r="G418">
        <v>37.08</v>
      </c>
      <c r="H418">
        <v>0</v>
      </c>
      <c r="I418">
        <f>CLIENTS_CHURN345[[#This Row],[Anciennete_Mois]]/12</f>
        <v>5.25</v>
      </c>
      <c r="J418">
        <f>CLIENTS_CHURN345[[#This Row],[Duree_Cumulee_Panne_Min]]/60</f>
        <v>7.4833333333333334</v>
      </c>
      <c r="K418" t="str">
        <f>IF(CLIENTS_CHURN345[[#This Row],[Type_Forfait]]="Pro Monde","B2B","B2C")</f>
        <v>B2B</v>
      </c>
      <c r="L418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18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18" s="1">
        <f>CLIENTS_CHURN345[[#This Row],[Facture_Mensuelle]]*CLIENTS_CHURN345[[#This Row],[Colonne12]]</f>
        <v>16.686</v>
      </c>
    </row>
    <row r="419" spans="1:14">
      <c r="A419" s="1" t="s">
        <v>8</v>
      </c>
      <c r="B419" t="s">
        <v>66</v>
      </c>
      <c r="C419" t="s">
        <v>26</v>
      </c>
      <c r="D419">
        <v>110</v>
      </c>
      <c r="E419" t="s">
        <v>11</v>
      </c>
      <c r="F419">
        <v>423</v>
      </c>
      <c r="G419">
        <v>37.35</v>
      </c>
      <c r="H419">
        <v>4</v>
      </c>
      <c r="I419">
        <f>CLIENTS_CHURN345[[#This Row],[Anciennete_Mois]]/12</f>
        <v>9.1666666666666661</v>
      </c>
      <c r="J419">
        <f>CLIENTS_CHURN345[[#This Row],[Duree_Cumulee_Panne_Min]]/60</f>
        <v>7.05</v>
      </c>
      <c r="K419" t="str">
        <f>IF(CLIENTS_CHURN345[[#This Row],[Type_Forfait]]="Pro Monde","B2B","B2C")</f>
        <v>B2B</v>
      </c>
      <c r="L419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19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19" s="1">
        <f>CLIENTS_CHURN345[[#This Row],[Facture_Mensuelle]]*CLIENTS_CHURN345[[#This Row],[Colonne12]]</f>
        <v>16.807500000000001</v>
      </c>
    </row>
    <row r="420" spans="1:14">
      <c r="A420" s="1" t="s">
        <v>395</v>
      </c>
      <c r="B420" t="s">
        <v>410</v>
      </c>
      <c r="C420" t="s">
        <v>26</v>
      </c>
      <c r="D420">
        <v>19</v>
      </c>
      <c r="E420" t="s">
        <v>21</v>
      </c>
      <c r="F420">
        <v>450</v>
      </c>
      <c r="G420">
        <v>37.43</v>
      </c>
      <c r="H420">
        <v>2</v>
      </c>
      <c r="I420">
        <f>CLIENTS_CHURN345[[#This Row],[Anciennete_Mois]]/12</f>
        <v>1.5833333333333333</v>
      </c>
      <c r="J420">
        <f>CLIENTS_CHURN345[[#This Row],[Duree_Cumulee_Panne_Min]]/60</f>
        <v>7.5</v>
      </c>
      <c r="K420" t="str">
        <f>IF(CLIENTS_CHURN345[[#This Row],[Type_Forfait]]="Pro Monde","B2B","B2C")</f>
        <v>B2C</v>
      </c>
      <c r="L420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20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20" s="1">
        <f>CLIENTS_CHURN345[[#This Row],[Facture_Mensuelle]]*CLIENTS_CHURN345[[#This Row],[Colonne12]]</f>
        <v>16.843499999999999</v>
      </c>
    </row>
    <row r="421" spans="1:14">
      <c r="A421" s="1" t="s">
        <v>653</v>
      </c>
      <c r="B421" t="s">
        <v>686</v>
      </c>
      <c r="C421" t="s">
        <v>63</v>
      </c>
      <c r="D421">
        <v>10</v>
      </c>
      <c r="E421" t="s">
        <v>21</v>
      </c>
      <c r="F421">
        <v>260</v>
      </c>
      <c r="G421">
        <v>37.479999999999997</v>
      </c>
      <c r="H421">
        <v>2</v>
      </c>
      <c r="I421">
        <f>CLIENTS_CHURN345[[#This Row],[Anciennete_Mois]]/12</f>
        <v>0.83333333333333337</v>
      </c>
      <c r="J421">
        <f>CLIENTS_CHURN345[[#This Row],[Duree_Cumulee_Panne_Min]]/60</f>
        <v>4.333333333333333</v>
      </c>
      <c r="K421" t="str">
        <f>IF(CLIENTS_CHURN345[[#This Row],[Type_Forfait]]="Pro Monde","B2B","B2C")</f>
        <v>B2C</v>
      </c>
      <c r="L421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21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21" s="1">
        <f>CLIENTS_CHURN345[[#This Row],[Facture_Mensuelle]]*CLIENTS_CHURN345[[#This Row],[Colonne12]]</f>
        <v>16.866</v>
      </c>
    </row>
    <row r="422" spans="1:14">
      <c r="A422" s="1" t="s">
        <v>499</v>
      </c>
      <c r="B422" t="s">
        <v>528</v>
      </c>
      <c r="C422" t="s">
        <v>13</v>
      </c>
      <c r="D422">
        <v>74</v>
      </c>
      <c r="E422" t="s">
        <v>21</v>
      </c>
      <c r="F422">
        <v>330</v>
      </c>
      <c r="G422">
        <v>37.82</v>
      </c>
      <c r="H422">
        <v>5</v>
      </c>
      <c r="I422">
        <f>CLIENTS_CHURN345[[#This Row],[Anciennete_Mois]]/12</f>
        <v>6.166666666666667</v>
      </c>
      <c r="J422">
        <f>CLIENTS_CHURN345[[#This Row],[Duree_Cumulee_Panne_Min]]/60</f>
        <v>5.5</v>
      </c>
      <c r="K422" t="str">
        <f>IF(CLIENTS_CHURN345[[#This Row],[Type_Forfait]]="Pro Monde","B2B","B2C")</f>
        <v>B2C</v>
      </c>
      <c r="L422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22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22" s="1">
        <f>CLIENTS_CHURN345[[#This Row],[Facture_Mensuelle]]*CLIENTS_CHURN345[[#This Row],[Colonne12]]</f>
        <v>17.019000000000002</v>
      </c>
    </row>
    <row r="423" spans="1:14">
      <c r="A423" s="1" t="s">
        <v>447</v>
      </c>
      <c r="B423" t="s">
        <v>462</v>
      </c>
      <c r="C423" t="s">
        <v>52</v>
      </c>
      <c r="D423">
        <v>96</v>
      </c>
      <c r="E423" t="s">
        <v>32</v>
      </c>
      <c r="F423">
        <v>273</v>
      </c>
      <c r="G423">
        <v>37.909999999999997</v>
      </c>
      <c r="H423">
        <v>2</v>
      </c>
      <c r="I423">
        <f>CLIENTS_CHURN345[[#This Row],[Anciennete_Mois]]/12</f>
        <v>8</v>
      </c>
      <c r="J423">
        <f>CLIENTS_CHURN345[[#This Row],[Duree_Cumulee_Panne_Min]]/60</f>
        <v>4.55</v>
      </c>
      <c r="K423" t="str">
        <f>IF(CLIENTS_CHURN345[[#This Row],[Type_Forfait]]="Pro Monde","B2B","B2C")</f>
        <v>B2C</v>
      </c>
      <c r="L423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23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23" s="1">
        <f>CLIENTS_CHURN345[[#This Row],[Facture_Mensuelle]]*CLIENTS_CHURN345[[#This Row],[Colonne12]]</f>
        <v>17.0595</v>
      </c>
    </row>
    <row r="424" spans="1:14">
      <c r="A424" s="1" t="s">
        <v>756</v>
      </c>
      <c r="B424" t="s">
        <v>801</v>
      </c>
      <c r="C424" t="s">
        <v>40</v>
      </c>
      <c r="D424">
        <v>104</v>
      </c>
      <c r="E424" t="s">
        <v>14</v>
      </c>
      <c r="F424">
        <v>245</v>
      </c>
      <c r="G424">
        <v>38.270000000000003</v>
      </c>
      <c r="H424">
        <v>0</v>
      </c>
      <c r="I424">
        <f>CLIENTS_CHURN345[[#This Row],[Anciennete_Mois]]/12</f>
        <v>8.6666666666666661</v>
      </c>
      <c r="J424">
        <f>CLIENTS_CHURN345[[#This Row],[Duree_Cumulee_Panne_Min]]/60</f>
        <v>4.083333333333333</v>
      </c>
      <c r="K424" t="str">
        <f>IF(CLIENTS_CHURN345[[#This Row],[Type_Forfait]]="Pro Monde","B2B","B2C")</f>
        <v>B2C</v>
      </c>
      <c r="L424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24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24" s="1">
        <f>CLIENTS_CHURN345[[#This Row],[Facture_Mensuelle]]*CLIENTS_CHURN345[[#This Row],[Colonne12]]</f>
        <v>17.221500000000002</v>
      </c>
    </row>
    <row r="425" spans="1:14">
      <c r="A425" s="1" t="s">
        <v>293</v>
      </c>
      <c r="B425" t="s">
        <v>296</v>
      </c>
      <c r="C425" t="s">
        <v>52</v>
      </c>
      <c r="D425">
        <v>16</v>
      </c>
      <c r="E425" t="s">
        <v>14</v>
      </c>
      <c r="F425">
        <v>461</v>
      </c>
      <c r="G425">
        <v>38.369999999999997</v>
      </c>
      <c r="H425">
        <v>4</v>
      </c>
      <c r="I425">
        <f>CLIENTS_CHURN345[[#This Row],[Anciennete_Mois]]/12</f>
        <v>1.3333333333333333</v>
      </c>
      <c r="J425">
        <f>CLIENTS_CHURN345[[#This Row],[Duree_Cumulee_Panne_Min]]/60</f>
        <v>7.6833333333333336</v>
      </c>
      <c r="K425" t="str">
        <f>IF(CLIENTS_CHURN345[[#This Row],[Type_Forfait]]="Pro Monde","B2B","B2C")</f>
        <v>B2C</v>
      </c>
      <c r="L425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25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25" s="1">
        <f>CLIENTS_CHURN345[[#This Row],[Facture_Mensuelle]]*CLIENTS_CHURN345[[#This Row],[Colonne12]]</f>
        <v>17.266500000000001</v>
      </c>
    </row>
    <row r="426" spans="1:14">
      <c r="A426" s="1" t="s">
        <v>85</v>
      </c>
      <c r="B426" t="s">
        <v>86</v>
      </c>
      <c r="C426" t="s">
        <v>71</v>
      </c>
      <c r="D426">
        <v>25</v>
      </c>
      <c r="E426" t="s">
        <v>32</v>
      </c>
      <c r="F426">
        <v>64</v>
      </c>
      <c r="G426">
        <v>38.950000000000003</v>
      </c>
      <c r="H426">
        <v>5</v>
      </c>
      <c r="I426">
        <f>CLIENTS_CHURN345[[#This Row],[Anciennete_Mois]]/12</f>
        <v>2.0833333333333335</v>
      </c>
      <c r="J426">
        <f>CLIENTS_CHURN345[[#This Row],[Duree_Cumulee_Panne_Min]]/60</f>
        <v>1.0666666666666667</v>
      </c>
      <c r="K426" t="str">
        <f>IF(CLIENTS_CHURN345[[#This Row],[Type_Forfait]]="Pro Monde","B2B","B2C")</f>
        <v>B2C</v>
      </c>
      <c r="L426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26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26" s="1">
        <f>CLIENTS_CHURN345[[#This Row],[Facture_Mensuelle]]*CLIENTS_CHURN345[[#This Row],[Colonne12]]</f>
        <v>17.527500000000003</v>
      </c>
    </row>
    <row r="427" spans="1:14">
      <c r="A427" s="1" t="s">
        <v>447</v>
      </c>
      <c r="B427" t="s">
        <v>483</v>
      </c>
      <c r="C427" t="s">
        <v>16</v>
      </c>
      <c r="D427">
        <v>35</v>
      </c>
      <c r="E427" t="s">
        <v>11</v>
      </c>
      <c r="F427">
        <v>292</v>
      </c>
      <c r="G427">
        <v>39.21</v>
      </c>
      <c r="H427">
        <v>1</v>
      </c>
      <c r="I427">
        <f>CLIENTS_CHURN345[[#This Row],[Anciennete_Mois]]/12</f>
        <v>2.9166666666666665</v>
      </c>
      <c r="J427">
        <f>CLIENTS_CHURN345[[#This Row],[Duree_Cumulee_Panne_Min]]/60</f>
        <v>4.8666666666666663</v>
      </c>
      <c r="K427" t="str">
        <f>IF(CLIENTS_CHURN345[[#This Row],[Type_Forfait]]="Pro Monde","B2B","B2C")</f>
        <v>B2B</v>
      </c>
      <c r="L427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27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27" s="1">
        <f>CLIENTS_CHURN345[[#This Row],[Facture_Mensuelle]]*CLIENTS_CHURN345[[#This Row],[Colonne12]]</f>
        <v>17.644500000000001</v>
      </c>
    </row>
    <row r="428" spans="1:14">
      <c r="A428" s="1" t="s">
        <v>395</v>
      </c>
      <c r="B428" t="s">
        <v>411</v>
      </c>
      <c r="C428" t="s">
        <v>36</v>
      </c>
      <c r="D428">
        <v>14</v>
      </c>
      <c r="E428" t="s">
        <v>11</v>
      </c>
      <c r="F428">
        <v>345</v>
      </c>
      <c r="G428">
        <v>39.57</v>
      </c>
      <c r="H428">
        <v>3</v>
      </c>
      <c r="I428">
        <f>CLIENTS_CHURN345[[#This Row],[Anciennete_Mois]]/12</f>
        <v>1.1666666666666667</v>
      </c>
      <c r="J428">
        <f>CLIENTS_CHURN345[[#This Row],[Duree_Cumulee_Panne_Min]]/60</f>
        <v>5.75</v>
      </c>
      <c r="K428" t="str">
        <f>IF(CLIENTS_CHURN345[[#This Row],[Type_Forfait]]="Pro Monde","B2B","B2C")</f>
        <v>B2B</v>
      </c>
      <c r="L428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28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28" s="1">
        <f>CLIENTS_CHURN345[[#This Row],[Facture_Mensuelle]]*CLIENTS_CHURN345[[#This Row],[Colonne12]]</f>
        <v>17.8065</v>
      </c>
    </row>
    <row r="429" spans="1:14">
      <c r="A429" s="1" t="s">
        <v>242</v>
      </c>
      <c r="B429" t="s">
        <v>290</v>
      </c>
      <c r="C429" t="s">
        <v>43</v>
      </c>
      <c r="D429">
        <v>71</v>
      </c>
      <c r="E429" t="s">
        <v>14</v>
      </c>
      <c r="F429">
        <v>364</v>
      </c>
      <c r="G429">
        <v>39.58</v>
      </c>
      <c r="H429">
        <v>1</v>
      </c>
      <c r="I429">
        <f>CLIENTS_CHURN345[[#This Row],[Anciennete_Mois]]/12</f>
        <v>5.916666666666667</v>
      </c>
      <c r="J429">
        <f>CLIENTS_CHURN345[[#This Row],[Duree_Cumulee_Panne_Min]]/60</f>
        <v>6.0666666666666664</v>
      </c>
      <c r="K429" t="str">
        <f>IF(CLIENTS_CHURN345[[#This Row],[Type_Forfait]]="Pro Monde","B2B","B2C")</f>
        <v>B2C</v>
      </c>
      <c r="L429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29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29" s="1">
        <f>CLIENTS_CHURN345[[#This Row],[Facture_Mensuelle]]*CLIENTS_CHURN345[[#This Row],[Colonne12]]</f>
        <v>17.811</v>
      </c>
    </row>
    <row r="430" spans="1:14">
      <c r="A430" s="1" t="s">
        <v>191</v>
      </c>
      <c r="B430" t="s">
        <v>241</v>
      </c>
      <c r="C430" t="s">
        <v>24</v>
      </c>
      <c r="D430">
        <v>61</v>
      </c>
      <c r="E430" t="s">
        <v>14</v>
      </c>
      <c r="F430">
        <v>383</v>
      </c>
      <c r="G430">
        <v>39.72</v>
      </c>
      <c r="H430">
        <v>4</v>
      </c>
      <c r="I430">
        <f>CLIENTS_CHURN345[[#This Row],[Anciennete_Mois]]/12</f>
        <v>5.083333333333333</v>
      </c>
      <c r="J430">
        <f>CLIENTS_CHURN345[[#This Row],[Duree_Cumulee_Panne_Min]]/60</f>
        <v>6.3833333333333337</v>
      </c>
      <c r="K430" t="str">
        <f>IF(CLIENTS_CHURN345[[#This Row],[Type_Forfait]]="Pro Monde","B2B","B2C")</f>
        <v>B2C</v>
      </c>
      <c r="L430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30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30" s="1">
        <f>CLIENTS_CHURN345[[#This Row],[Facture_Mensuelle]]*CLIENTS_CHURN345[[#This Row],[Colonne12]]</f>
        <v>17.873999999999999</v>
      </c>
    </row>
    <row r="431" spans="1:14">
      <c r="A431" s="1" t="s">
        <v>242</v>
      </c>
      <c r="B431" t="s">
        <v>256</v>
      </c>
      <c r="C431" t="s">
        <v>111</v>
      </c>
      <c r="D431">
        <v>21</v>
      </c>
      <c r="E431" t="s">
        <v>14</v>
      </c>
      <c r="F431">
        <v>307</v>
      </c>
      <c r="G431">
        <v>39.81</v>
      </c>
      <c r="H431">
        <v>5</v>
      </c>
      <c r="I431">
        <f>CLIENTS_CHURN345[[#This Row],[Anciennete_Mois]]/12</f>
        <v>1.75</v>
      </c>
      <c r="J431">
        <f>CLIENTS_CHURN345[[#This Row],[Duree_Cumulee_Panne_Min]]/60</f>
        <v>5.1166666666666663</v>
      </c>
      <c r="K431" t="str">
        <f>IF(CLIENTS_CHURN345[[#This Row],[Type_Forfait]]="Pro Monde","B2B","B2C")</f>
        <v>B2C</v>
      </c>
      <c r="L431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31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31" s="1">
        <f>CLIENTS_CHURN345[[#This Row],[Facture_Mensuelle]]*CLIENTS_CHURN345[[#This Row],[Colonne12]]</f>
        <v>17.9145</v>
      </c>
    </row>
    <row r="432" spans="1:14">
      <c r="A432" s="1" t="s">
        <v>653</v>
      </c>
      <c r="B432" t="s">
        <v>695</v>
      </c>
      <c r="C432" t="s">
        <v>43</v>
      </c>
      <c r="D432">
        <v>22</v>
      </c>
      <c r="E432" t="s">
        <v>11</v>
      </c>
      <c r="F432">
        <v>374</v>
      </c>
      <c r="G432">
        <v>40.06</v>
      </c>
      <c r="H432">
        <v>5</v>
      </c>
      <c r="I432">
        <f>CLIENTS_CHURN345[[#This Row],[Anciennete_Mois]]/12</f>
        <v>1.8333333333333333</v>
      </c>
      <c r="J432">
        <f>CLIENTS_CHURN345[[#This Row],[Duree_Cumulee_Panne_Min]]/60</f>
        <v>6.2333333333333334</v>
      </c>
      <c r="K432" t="str">
        <f>IF(CLIENTS_CHURN345[[#This Row],[Type_Forfait]]="Pro Monde","B2B","B2C")</f>
        <v>B2B</v>
      </c>
      <c r="L432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32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32" s="1">
        <f>CLIENTS_CHURN345[[#This Row],[Facture_Mensuelle]]*CLIENTS_CHURN345[[#This Row],[Colonne12]]</f>
        <v>18.027000000000001</v>
      </c>
    </row>
    <row r="433" spans="1:14">
      <c r="A433" s="1" t="s">
        <v>293</v>
      </c>
      <c r="B433" t="s">
        <v>327</v>
      </c>
      <c r="C433" t="s">
        <v>65</v>
      </c>
      <c r="D433">
        <v>114</v>
      </c>
      <c r="E433" t="s">
        <v>14</v>
      </c>
      <c r="F433">
        <v>388</v>
      </c>
      <c r="G433">
        <v>40.29</v>
      </c>
      <c r="H433">
        <v>5</v>
      </c>
      <c r="I433">
        <f>CLIENTS_CHURN345[[#This Row],[Anciennete_Mois]]/12</f>
        <v>9.5</v>
      </c>
      <c r="J433">
        <f>CLIENTS_CHURN345[[#This Row],[Duree_Cumulee_Panne_Min]]/60</f>
        <v>6.4666666666666668</v>
      </c>
      <c r="K433" t="str">
        <f>IF(CLIENTS_CHURN345[[#This Row],[Type_Forfait]]="Pro Monde","B2B","B2C")</f>
        <v>B2C</v>
      </c>
      <c r="L433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33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33" s="1">
        <f>CLIENTS_CHURN345[[#This Row],[Facture_Mensuelle]]*CLIENTS_CHURN345[[#This Row],[Colonne12]]</f>
        <v>18.130500000000001</v>
      </c>
    </row>
    <row r="434" spans="1:14">
      <c r="A434" s="1" t="s">
        <v>8</v>
      </c>
      <c r="B434" t="s">
        <v>28</v>
      </c>
      <c r="C434" t="s">
        <v>29</v>
      </c>
      <c r="D434">
        <v>108</v>
      </c>
      <c r="E434" t="s">
        <v>21</v>
      </c>
      <c r="F434">
        <v>278</v>
      </c>
      <c r="G434">
        <v>40.51</v>
      </c>
      <c r="H434">
        <v>3</v>
      </c>
      <c r="I434">
        <f>CLIENTS_CHURN345[[#This Row],[Anciennete_Mois]]/12</f>
        <v>9</v>
      </c>
      <c r="J434">
        <f>CLIENTS_CHURN345[[#This Row],[Duree_Cumulee_Panne_Min]]/60</f>
        <v>4.6333333333333337</v>
      </c>
      <c r="K434" t="str">
        <f>IF(CLIENTS_CHURN345[[#This Row],[Type_Forfait]]="Pro Monde","B2B","B2C")</f>
        <v>B2C</v>
      </c>
      <c r="L434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34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34" s="1">
        <f>CLIENTS_CHURN345[[#This Row],[Facture_Mensuelle]]*CLIENTS_CHURN345[[#This Row],[Colonne12]]</f>
        <v>18.229499999999998</v>
      </c>
    </row>
    <row r="435" spans="1:14">
      <c r="A435" s="1" t="s">
        <v>756</v>
      </c>
      <c r="B435" t="s">
        <v>777</v>
      </c>
      <c r="C435" t="s">
        <v>45</v>
      </c>
      <c r="D435">
        <v>82</v>
      </c>
      <c r="E435" t="s">
        <v>11</v>
      </c>
      <c r="F435">
        <v>312</v>
      </c>
      <c r="G435">
        <v>40.880000000000003</v>
      </c>
      <c r="H435">
        <v>0</v>
      </c>
      <c r="I435">
        <f>CLIENTS_CHURN345[[#This Row],[Anciennete_Mois]]/12</f>
        <v>6.833333333333333</v>
      </c>
      <c r="J435">
        <f>CLIENTS_CHURN345[[#This Row],[Duree_Cumulee_Panne_Min]]/60</f>
        <v>5.2</v>
      </c>
      <c r="K435" t="str">
        <f>IF(CLIENTS_CHURN345[[#This Row],[Type_Forfait]]="Pro Monde","B2B","B2C")</f>
        <v>B2B</v>
      </c>
      <c r="L435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35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35" s="1">
        <f>CLIENTS_CHURN345[[#This Row],[Facture_Mensuelle]]*CLIENTS_CHURN345[[#This Row],[Colonne12]]</f>
        <v>18.396000000000001</v>
      </c>
    </row>
    <row r="436" spans="1:14">
      <c r="A436" s="1" t="s">
        <v>551</v>
      </c>
      <c r="B436" t="s">
        <v>572</v>
      </c>
      <c r="C436" t="s">
        <v>71</v>
      </c>
      <c r="D436">
        <v>47</v>
      </c>
      <c r="E436" t="s">
        <v>21</v>
      </c>
      <c r="F436">
        <v>385</v>
      </c>
      <c r="G436">
        <v>41.33</v>
      </c>
      <c r="H436">
        <v>0</v>
      </c>
      <c r="I436">
        <f>CLIENTS_CHURN345[[#This Row],[Anciennete_Mois]]/12</f>
        <v>3.9166666666666665</v>
      </c>
      <c r="J436">
        <f>CLIENTS_CHURN345[[#This Row],[Duree_Cumulee_Panne_Min]]/60</f>
        <v>6.416666666666667</v>
      </c>
      <c r="K436" t="str">
        <f>IF(CLIENTS_CHURN345[[#This Row],[Type_Forfait]]="Pro Monde","B2B","B2C")</f>
        <v>B2C</v>
      </c>
      <c r="L436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36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36" s="1">
        <f>CLIENTS_CHURN345[[#This Row],[Facture_Mensuelle]]*CLIENTS_CHURN345[[#This Row],[Colonne12]]</f>
        <v>18.598500000000001</v>
      </c>
    </row>
    <row r="437" spans="1:14">
      <c r="A437" s="1" t="s">
        <v>756</v>
      </c>
      <c r="B437" t="s">
        <v>771</v>
      </c>
      <c r="C437" t="s">
        <v>26</v>
      </c>
      <c r="D437">
        <v>18</v>
      </c>
      <c r="E437" t="s">
        <v>14</v>
      </c>
      <c r="F437">
        <v>463</v>
      </c>
      <c r="G437">
        <v>41.66</v>
      </c>
      <c r="H437">
        <v>4</v>
      </c>
      <c r="I437">
        <f>CLIENTS_CHURN345[[#This Row],[Anciennete_Mois]]/12</f>
        <v>1.5</v>
      </c>
      <c r="J437">
        <f>CLIENTS_CHURN345[[#This Row],[Duree_Cumulee_Panne_Min]]/60</f>
        <v>7.7166666666666668</v>
      </c>
      <c r="K437" t="str">
        <f>IF(CLIENTS_CHURN345[[#This Row],[Type_Forfait]]="Pro Monde","B2B","B2C")</f>
        <v>B2C</v>
      </c>
      <c r="L437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37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37" s="1">
        <f>CLIENTS_CHURN345[[#This Row],[Facture_Mensuelle]]*CLIENTS_CHURN345[[#This Row],[Colonne12]]</f>
        <v>18.747</v>
      </c>
    </row>
    <row r="438" spans="1:14">
      <c r="A438" s="1" t="s">
        <v>395</v>
      </c>
      <c r="B438" t="s">
        <v>407</v>
      </c>
      <c r="C438" t="s">
        <v>18</v>
      </c>
      <c r="D438">
        <v>7</v>
      </c>
      <c r="E438" t="s">
        <v>11</v>
      </c>
      <c r="F438">
        <v>347</v>
      </c>
      <c r="G438">
        <v>41.84</v>
      </c>
      <c r="H438">
        <v>2</v>
      </c>
      <c r="I438">
        <f>CLIENTS_CHURN345[[#This Row],[Anciennete_Mois]]/12</f>
        <v>0.58333333333333337</v>
      </c>
      <c r="J438">
        <f>CLIENTS_CHURN345[[#This Row],[Duree_Cumulee_Panne_Min]]/60</f>
        <v>5.7833333333333332</v>
      </c>
      <c r="K438" t="str">
        <f>IF(CLIENTS_CHURN345[[#This Row],[Type_Forfait]]="Pro Monde","B2B","B2C")</f>
        <v>B2B</v>
      </c>
      <c r="L438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38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38" s="1">
        <f>CLIENTS_CHURN345[[#This Row],[Facture_Mensuelle]]*CLIENTS_CHURN345[[#This Row],[Colonne12]]</f>
        <v>18.828000000000003</v>
      </c>
    </row>
    <row r="439" spans="1:14">
      <c r="A439" s="1" t="s">
        <v>395</v>
      </c>
      <c r="B439" t="s">
        <v>424</v>
      </c>
      <c r="C439" t="s">
        <v>79</v>
      </c>
      <c r="D439">
        <v>101</v>
      </c>
      <c r="E439" t="s">
        <v>32</v>
      </c>
      <c r="F439">
        <v>476</v>
      </c>
      <c r="G439">
        <v>41.85</v>
      </c>
      <c r="H439">
        <v>4</v>
      </c>
      <c r="I439">
        <f>CLIENTS_CHURN345[[#This Row],[Anciennete_Mois]]/12</f>
        <v>8.4166666666666661</v>
      </c>
      <c r="J439">
        <f>CLIENTS_CHURN345[[#This Row],[Duree_Cumulee_Panne_Min]]/60</f>
        <v>7.9333333333333336</v>
      </c>
      <c r="K439" t="str">
        <f>IF(CLIENTS_CHURN345[[#This Row],[Type_Forfait]]="Pro Monde","B2B","B2C")</f>
        <v>B2C</v>
      </c>
      <c r="L439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39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39" s="1">
        <f>CLIENTS_CHURN345[[#This Row],[Facture_Mensuelle]]*CLIENTS_CHURN345[[#This Row],[Colonne12]]</f>
        <v>18.8325</v>
      </c>
    </row>
    <row r="440" spans="1:14">
      <c r="A440" s="1" t="s">
        <v>395</v>
      </c>
      <c r="B440" t="s">
        <v>418</v>
      </c>
      <c r="C440" t="s">
        <v>31</v>
      </c>
      <c r="D440">
        <v>68</v>
      </c>
      <c r="E440" t="s">
        <v>11</v>
      </c>
      <c r="F440">
        <v>462</v>
      </c>
      <c r="G440">
        <v>41.91</v>
      </c>
      <c r="H440">
        <v>1</v>
      </c>
      <c r="I440">
        <f>CLIENTS_CHURN345[[#This Row],[Anciennete_Mois]]/12</f>
        <v>5.666666666666667</v>
      </c>
      <c r="J440">
        <f>CLIENTS_CHURN345[[#This Row],[Duree_Cumulee_Panne_Min]]/60</f>
        <v>7.7</v>
      </c>
      <c r="K440" t="str">
        <f>IF(CLIENTS_CHURN345[[#This Row],[Type_Forfait]]="Pro Monde","B2B","B2C")</f>
        <v>B2B</v>
      </c>
      <c r="L440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40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40" s="1">
        <f>CLIENTS_CHURN345[[#This Row],[Facture_Mensuelle]]*CLIENTS_CHURN345[[#This Row],[Colonne12]]</f>
        <v>18.859500000000001</v>
      </c>
    </row>
    <row r="441" spans="1:14">
      <c r="A441" s="1" t="s">
        <v>551</v>
      </c>
      <c r="B441" t="s">
        <v>584</v>
      </c>
      <c r="C441" t="s">
        <v>111</v>
      </c>
      <c r="D441">
        <v>21</v>
      </c>
      <c r="E441" t="s">
        <v>21</v>
      </c>
      <c r="F441">
        <v>444</v>
      </c>
      <c r="G441">
        <v>41.92</v>
      </c>
      <c r="H441">
        <v>3</v>
      </c>
      <c r="I441">
        <f>CLIENTS_CHURN345[[#This Row],[Anciennete_Mois]]/12</f>
        <v>1.75</v>
      </c>
      <c r="J441">
        <f>CLIENTS_CHURN345[[#This Row],[Duree_Cumulee_Panne_Min]]/60</f>
        <v>7.4</v>
      </c>
      <c r="K441" t="str">
        <f>IF(CLIENTS_CHURN345[[#This Row],[Type_Forfait]]="Pro Monde","B2B","B2C")</f>
        <v>B2C</v>
      </c>
      <c r="L441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41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41" s="1">
        <f>CLIENTS_CHURN345[[#This Row],[Facture_Mensuelle]]*CLIENTS_CHURN345[[#This Row],[Colonne12]]</f>
        <v>18.864000000000001</v>
      </c>
    </row>
    <row r="442" spans="1:14">
      <c r="A442" s="1" t="s">
        <v>447</v>
      </c>
      <c r="B442" t="s">
        <v>489</v>
      </c>
      <c r="C442" t="s">
        <v>61</v>
      </c>
      <c r="D442">
        <v>24</v>
      </c>
      <c r="E442" t="s">
        <v>14</v>
      </c>
      <c r="F442">
        <v>257</v>
      </c>
      <c r="G442">
        <v>41.99</v>
      </c>
      <c r="H442">
        <v>5</v>
      </c>
      <c r="I442">
        <f>CLIENTS_CHURN345[[#This Row],[Anciennete_Mois]]/12</f>
        <v>2</v>
      </c>
      <c r="J442">
        <f>CLIENTS_CHURN345[[#This Row],[Duree_Cumulee_Panne_Min]]/60</f>
        <v>4.2833333333333332</v>
      </c>
      <c r="K442" t="str">
        <f>IF(CLIENTS_CHURN345[[#This Row],[Type_Forfait]]="Pro Monde","B2B","B2C")</f>
        <v>B2C</v>
      </c>
      <c r="L442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42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42" s="1">
        <f>CLIENTS_CHURN345[[#This Row],[Facture_Mensuelle]]*CLIENTS_CHURN345[[#This Row],[Colonne12]]</f>
        <v>18.895500000000002</v>
      </c>
    </row>
    <row r="443" spans="1:14">
      <c r="A443" s="1" t="s">
        <v>395</v>
      </c>
      <c r="B443" t="s">
        <v>399</v>
      </c>
      <c r="C443" t="s">
        <v>26</v>
      </c>
      <c r="D443">
        <v>29</v>
      </c>
      <c r="E443" t="s">
        <v>11</v>
      </c>
      <c r="F443">
        <v>493</v>
      </c>
      <c r="G443">
        <v>42.02</v>
      </c>
      <c r="H443">
        <v>1</v>
      </c>
      <c r="I443">
        <f>CLIENTS_CHURN345[[#This Row],[Anciennete_Mois]]/12</f>
        <v>2.4166666666666665</v>
      </c>
      <c r="J443">
        <f>CLIENTS_CHURN345[[#This Row],[Duree_Cumulee_Panne_Min]]/60</f>
        <v>8.2166666666666668</v>
      </c>
      <c r="K443" t="str">
        <f>IF(CLIENTS_CHURN345[[#This Row],[Type_Forfait]]="Pro Monde","B2B","B2C")</f>
        <v>B2B</v>
      </c>
      <c r="L443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43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43" s="1">
        <f>CLIENTS_CHURN345[[#This Row],[Facture_Mensuelle]]*CLIENTS_CHURN345[[#This Row],[Colonne12]]</f>
        <v>18.909000000000002</v>
      </c>
    </row>
    <row r="444" spans="1:14">
      <c r="A444" s="1" t="s">
        <v>395</v>
      </c>
      <c r="B444" t="s">
        <v>404</v>
      </c>
      <c r="C444" t="s">
        <v>18</v>
      </c>
      <c r="D444">
        <v>41</v>
      </c>
      <c r="E444" t="s">
        <v>14</v>
      </c>
      <c r="F444">
        <v>425</v>
      </c>
      <c r="G444">
        <v>42.33</v>
      </c>
      <c r="H444">
        <v>3</v>
      </c>
      <c r="I444">
        <f>CLIENTS_CHURN345[[#This Row],[Anciennete_Mois]]/12</f>
        <v>3.4166666666666665</v>
      </c>
      <c r="J444">
        <f>CLIENTS_CHURN345[[#This Row],[Duree_Cumulee_Panne_Min]]/60</f>
        <v>7.083333333333333</v>
      </c>
      <c r="K444" t="str">
        <f>IF(CLIENTS_CHURN345[[#This Row],[Type_Forfait]]="Pro Monde","B2B","B2C")</f>
        <v>B2C</v>
      </c>
      <c r="L444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44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44" s="1">
        <f>CLIENTS_CHURN345[[#This Row],[Facture_Mensuelle]]*CLIENTS_CHURN345[[#This Row],[Colonne12]]</f>
        <v>19.048500000000001</v>
      </c>
    </row>
    <row r="445" spans="1:14">
      <c r="A445" s="1" t="s">
        <v>344</v>
      </c>
      <c r="B445" t="s">
        <v>359</v>
      </c>
      <c r="C445" t="s">
        <v>26</v>
      </c>
      <c r="D445">
        <v>109</v>
      </c>
      <c r="E445" t="s">
        <v>21</v>
      </c>
      <c r="F445">
        <v>347</v>
      </c>
      <c r="G445">
        <v>43.06</v>
      </c>
      <c r="H445">
        <v>4</v>
      </c>
      <c r="I445">
        <f>CLIENTS_CHURN345[[#This Row],[Anciennete_Mois]]/12</f>
        <v>9.0833333333333339</v>
      </c>
      <c r="J445">
        <f>CLIENTS_CHURN345[[#This Row],[Duree_Cumulee_Panne_Min]]/60</f>
        <v>5.7833333333333332</v>
      </c>
      <c r="K445" t="str">
        <f>IF(CLIENTS_CHURN345[[#This Row],[Type_Forfait]]="Pro Monde","B2B","B2C")</f>
        <v>B2C</v>
      </c>
      <c r="L445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45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45" s="1">
        <f>CLIENTS_CHURN345[[#This Row],[Facture_Mensuelle]]*CLIENTS_CHURN345[[#This Row],[Colonne12]]</f>
        <v>19.377000000000002</v>
      </c>
    </row>
    <row r="446" spans="1:14">
      <c r="A446" s="1" t="s">
        <v>756</v>
      </c>
      <c r="B446" t="s">
        <v>782</v>
      </c>
      <c r="C446" t="s">
        <v>38</v>
      </c>
      <c r="D446">
        <v>4</v>
      </c>
      <c r="E446" t="s">
        <v>11</v>
      </c>
      <c r="F446">
        <v>449</v>
      </c>
      <c r="G446">
        <v>43.95</v>
      </c>
      <c r="H446">
        <v>2</v>
      </c>
      <c r="I446">
        <f>CLIENTS_CHURN345[[#This Row],[Anciennete_Mois]]/12</f>
        <v>0.33333333333333331</v>
      </c>
      <c r="J446">
        <f>CLIENTS_CHURN345[[#This Row],[Duree_Cumulee_Panne_Min]]/60</f>
        <v>7.4833333333333334</v>
      </c>
      <c r="K446" t="str">
        <f>IF(CLIENTS_CHURN345[[#This Row],[Type_Forfait]]="Pro Monde","B2B","B2C")</f>
        <v>B2B</v>
      </c>
      <c r="L446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46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46" s="1">
        <f>CLIENTS_CHURN345[[#This Row],[Facture_Mensuelle]]*CLIENTS_CHURN345[[#This Row],[Colonne12]]</f>
        <v>19.777500000000003</v>
      </c>
    </row>
    <row r="447" spans="1:14">
      <c r="A447" s="1" t="s">
        <v>551</v>
      </c>
      <c r="B447" t="s">
        <v>558</v>
      </c>
      <c r="C447" t="s">
        <v>65</v>
      </c>
      <c r="D447">
        <v>57</v>
      </c>
      <c r="E447" t="s">
        <v>14</v>
      </c>
      <c r="F447">
        <v>493</v>
      </c>
      <c r="G447">
        <v>43.98</v>
      </c>
      <c r="H447">
        <v>3</v>
      </c>
      <c r="I447">
        <f>CLIENTS_CHURN345[[#This Row],[Anciennete_Mois]]/12</f>
        <v>4.75</v>
      </c>
      <c r="J447">
        <f>CLIENTS_CHURN345[[#This Row],[Duree_Cumulee_Panne_Min]]/60</f>
        <v>8.2166666666666668</v>
      </c>
      <c r="K447" t="str">
        <f>IF(CLIENTS_CHURN345[[#This Row],[Type_Forfait]]="Pro Monde","B2B","B2C")</f>
        <v>B2C</v>
      </c>
      <c r="L447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47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47" s="1">
        <f>CLIENTS_CHURN345[[#This Row],[Facture_Mensuelle]]*CLIENTS_CHURN345[[#This Row],[Colonne12]]</f>
        <v>19.791</v>
      </c>
    </row>
    <row r="448" spans="1:14">
      <c r="A448" s="1" t="s">
        <v>756</v>
      </c>
      <c r="B448" t="s">
        <v>758</v>
      </c>
      <c r="C448" t="s">
        <v>71</v>
      </c>
      <c r="D448">
        <v>108</v>
      </c>
      <c r="E448" t="s">
        <v>14</v>
      </c>
      <c r="F448">
        <v>467</v>
      </c>
      <c r="G448">
        <v>44.84</v>
      </c>
      <c r="H448">
        <v>4</v>
      </c>
      <c r="I448">
        <f>CLIENTS_CHURN345[[#This Row],[Anciennete_Mois]]/12</f>
        <v>9</v>
      </c>
      <c r="J448">
        <f>CLIENTS_CHURN345[[#This Row],[Duree_Cumulee_Panne_Min]]/60</f>
        <v>7.7833333333333332</v>
      </c>
      <c r="K448" t="str">
        <f>IF(CLIENTS_CHURN345[[#This Row],[Type_Forfait]]="Pro Monde","B2B","B2C")</f>
        <v>B2C</v>
      </c>
      <c r="L448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48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48" s="1">
        <f>CLIENTS_CHURN345[[#This Row],[Facture_Mensuelle]]*CLIENTS_CHURN345[[#This Row],[Colonne12]]</f>
        <v>20.178000000000001</v>
      </c>
    </row>
    <row r="449" spans="1:14">
      <c r="A449" s="1" t="s">
        <v>551</v>
      </c>
      <c r="B449" t="s">
        <v>563</v>
      </c>
      <c r="C449" t="s">
        <v>13</v>
      </c>
      <c r="D449">
        <v>36</v>
      </c>
      <c r="E449" t="s">
        <v>21</v>
      </c>
      <c r="F449">
        <v>487</v>
      </c>
      <c r="G449">
        <v>45.02</v>
      </c>
      <c r="H449">
        <v>2</v>
      </c>
      <c r="I449">
        <f>CLIENTS_CHURN345[[#This Row],[Anciennete_Mois]]/12</f>
        <v>3</v>
      </c>
      <c r="J449">
        <f>CLIENTS_CHURN345[[#This Row],[Duree_Cumulee_Panne_Min]]/60</f>
        <v>8.1166666666666671</v>
      </c>
      <c r="K449" t="str">
        <f>IF(CLIENTS_CHURN345[[#This Row],[Type_Forfait]]="Pro Monde","B2B","B2C")</f>
        <v>B2C</v>
      </c>
      <c r="L449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49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49" s="1">
        <f>CLIENTS_CHURN345[[#This Row],[Facture_Mensuelle]]*CLIENTS_CHURN345[[#This Row],[Colonne12]]</f>
        <v>20.259</v>
      </c>
    </row>
    <row r="450" spans="1:14">
      <c r="A450" s="1" t="s">
        <v>191</v>
      </c>
      <c r="B450" t="s">
        <v>229</v>
      </c>
      <c r="C450" t="s">
        <v>29</v>
      </c>
      <c r="D450">
        <v>75</v>
      </c>
      <c r="E450" t="s">
        <v>14</v>
      </c>
      <c r="F450">
        <v>282</v>
      </c>
      <c r="G450">
        <v>45.16</v>
      </c>
      <c r="H450">
        <v>5</v>
      </c>
      <c r="I450">
        <f>CLIENTS_CHURN345[[#This Row],[Anciennete_Mois]]/12</f>
        <v>6.25</v>
      </c>
      <c r="J450">
        <f>CLIENTS_CHURN345[[#This Row],[Duree_Cumulee_Panne_Min]]/60</f>
        <v>4.7</v>
      </c>
      <c r="K450" t="str">
        <f>IF(CLIENTS_CHURN345[[#This Row],[Type_Forfait]]="Pro Monde","B2B","B2C")</f>
        <v>B2C</v>
      </c>
      <c r="L450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50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50" s="1">
        <f>CLIENTS_CHURN345[[#This Row],[Facture_Mensuelle]]*CLIENTS_CHURN345[[#This Row],[Colonne12]]</f>
        <v>20.321999999999999</v>
      </c>
    </row>
    <row r="451" spans="1:14">
      <c r="A451" s="1" t="s">
        <v>705</v>
      </c>
      <c r="B451" t="s">
        <v>752</v>
      </c>
      <c r="C451" t="s">
        <v>95</v>
      </c>
      <c r="D451">
        <v>26</v>
      </c>
      <c r="E451" t="s">
        <v>32</v>
      </c>
      <c r="F451">
        <v>378</v>
      </c>
      <c r="G451">
        <v>45.21</v>
      </c>
      <c r="H451">
        <v>5</v>
      </c>
      <c r="I451">
        <f>CLIENTS_CHURN345[[#This Row],[Anciennete_Mois]]/12</f>
        <v>2.1666666666666665</v>
      </c>
      <c r="J451">
        <f>CLIENTS_CHURN345[[#This Row],[Duree_Cumulee_Panne_Min]]/60</f>
        <v>6.3</v>
      </c>
      <c r="K451" t="str">
        <f>IF(CLIENTS_CHURN345[[#This Row],[Type_Forfait]]="Pro Monde","B2B","B2C")</f>
        <v>B2C</v>
      </c>
      <c r="L451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51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51" s="1">
        <f>CLIENTS_CHURN345[[#This Row],[Facture_Mensuelle]]*CLIENTS_CHURN345[[#This Row],[Colonne12]]</f>
        <v>20.3445</v>
      </c>
    </row>
    <row r="452" spans="1:14">
      <c r="A452" s="1" t="s">
        <v>653</v>
      </c>
      <c r="B452" t="s">
        <v>663</v>
      </c>
      <c r="C452" t="s">
        <v>57</v>
      </c>
      <c r="D452">
        <v>105</v>
      </c>
      <c r="E452" t="s">
        <v>21</v>
      </c>
      <c r="F452">
        <v>271</v>
      </c>
      <c r="G452">
        <v>45.27</v>
      </c>
      <c r="H452">
        <v>2</v>
      </c>
      <c r="I452">
        <f>CLIENTS_CHURN345[[#This Row],[Anciennete_Mois]]/12</f>
        <v>8.75</v>
      </c>
      <c r="J452">
        <f>CLIENTS_CHURN345[[#This Row],[Duree_Cumulee_Panne_Min]]/60</f>
        <v>4.5166666666666666</v>
      </c>
      <c r="K452" t="str">
        <f>IF(CLIENTS_CHURN345[[#This Row],[Type_Forfait]]="Pro Monde","B2B","B2C")</f>
        <v>B2C</v>
      </c>
      <c r="L452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52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52" s="1">
        <f>CLIENTS_CHURN345[[#This Row],[Facture_Mensuelle]]*CLIENTS_CHURN345[[#This Row],[Colonne12]]</f>
        <v>20.371500000000001</v>
      </c>
    </row>
    <row r="453" spans="1:14">
      <c r="A453" s="1" t="s">
        <v>447</v>
      </c>
      <c r="B453" t="s">
        <v>449</v>
      </c>
      <c r="C453" t="s">
        <v>45</v>
      </c>
      <c r="D453">
        <v>15</v>
      </c>
      <c r="E453" t="s">
        <v>32</v>
      </c>
      <c r="F453">
        <v>75</v>
      </c>
      <c r="G453">
        <v>45.59</v>
      </c>
      <c r="H453">
        <v>0</v>
      </c>
      <c r="I453">
        <f>CLIENTS_CHURN345[[#This Row],[Anciennete_Mois]]/12</f>
        <v>1.25</v>
      </c>
      <c r="J453">
        <f>CLIENTS_CHURN345[[#This Row],[Duree_Cumulee_Panne_Min]]/60</f>
        <v>1.25</v>
      </c>
      <c r="K453" t="str">
        <f>IF(CLIENTS_CHURN345[[#This Row],[Type_Forfait]]="Pro Monde","B2B","B2C")</f>
        <v>B2C</v>
      </c>
      <c r="L453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53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53" s="1">
        <f>CLIENTS_CHURN345[[#This Row],[Facture_Mensuelle]]*CLIENTS_CHURN345[[#This Row],[Colonne12]]</f>
        <v>20.515500000000003</v>
      </c>
    </row>
    <row r="454" spans="1:14">
      <c r="A454" s="1" t="s">
        <v>191</v>
      </c>
      <c r="B454" t="s">
        <v>202</v>
      </c>
      <c r="C454" t="s">
        <v>40</v>
      </c>
      <c r="D454">
        <v>67</v>
      </c>
      <c r="E454" t="s">
        <v>32</v>
      </c>
      <c r="F454">
        <v>241</v>
      </c>
      <c r="G454">
        <v>47.72</v>
      </c>
      <c r="H454">
        <v>0</v>
      </c>
      <c r="I454">
        <f>CLIENTS_CHURN345[[#This Row],[Anciennete_Mois]]/12</f>
        <v>5.583333333333333</v>
      </c>
      <c r="J454">
        <f>CLIENTS_CHURN345[[#This Row],[Duree_Cumulee_Panne_Min]]/60</f>
        <v>4.0166666666666666</v>
      </c>
      <c r="K454" t="str">
        <f>IF(CLIENTS_CHURN345[[#This Row],[Type_Forfait]]="Pro Monde","B2B","B2C")</f>
        <v>B2C</v>
      </c>
      <c r="L454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54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54" s="1">
        <f>CLIENTS_CHURN345[[#This Row],[Facture_Mensuelle]]*CLIENTS_CHURN345[[#This Row],[Colonne12]]</f>
        <v>21.474</v>
      </c>
    </row>
    <row r="455" spans="1:14">
      <c r="A455" s="1" t="s">
        <v>551</v>
      </c>
      <c r="B455" t="s">
        <v>569</v>
      </c>
      <c r="C455" t="s">
        <v>43</v>
      </c>
      <c r="D455">
        <v>118</v>
      </c>
      <c r="E455" t="s">
        <v>14</v>
      </c>
      <c r="F455">
        <v>461</v>
      </c>
      <c r="G455">
        <v>47.82</v>
      </c>
      <c r="H455">
        <v>5</v>
      </c>
      <c r="I455">
        <f>CLIENTS_CHURN345[[#This Row],[Anciennete_Mois]]/12</f>
        <v>9.8333333333333339</v>
      </c>
      <c r="J455">
        <f>CLIENTS_CHURN345[[#This Row],[Duree_Cumulee_Panne_Min]]/60</f>
        <v>7.6833333333333336</v>
      </c>
      <c r="K455" t="str">
        <f>IF(CLIENTS_CHURN345[[#This Row],[Type_Forfait]]="Pro Monde","B2B","B2C")</f>
        <v>B2C</v>
      </c>
      <c r="L455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55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55" s="1">
        <f>CLIENTS_CHURN345[[#This Row],[Facture_Mensuelle]]*CLIENTS_CHURN345[[#This Row],[Colonne12]]</f>
        <v>21.519000000000002</v>
      </c>
    </row>
    <row r="456" spans="1:14">
      <c r="A456" s="1" t="s">
        <v>499</v>
      </c>
      <c r="B456" t="s">
        <v>516</v>
      </c>
      <c r="C456" t="s">
        <v>65</v>
      </c>
      <c r="D456">
        <v>14</v>
      </c>
      <c r="E456" t="s">
        <v>21</v>
      </c>
      <c r="F456">
        <v>304</v>
      </c>
      <c r="G456">
        <v>48.13</v>
      </c>
      <c r="H456">
        <v>2</v>
      </c>
      <c r="I456">
        <f>CLIENTS_CHURN345[[#This Row],[Anciennete_Mois]]/12</f>
        <v>1.1666666666666667</v>
      </c>
      <c r="J456">
        <f>CLIENTS_CHURN345[[#This Row],[Duree_Cumulee_Panne_Min]]/60</f>
        <v>5.0666666666666664</v>
      </c>
      <c r="K456" t="str">
        <f>IF(CLIENTS_CHURN345[[#This Row],[Type_Forfait]]="Pro Monde","B2B","B2C")</f>
        <v>B2C</v>
      </c>
      <c r="L456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56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56" s="1">
        <f>CLIENTS_CHURN345[[#This Row],[Facture_Mensuelle]]*CLIENTS_CHURN345[[#This Row],[Colonne12]]</f>
        <v>21.6585</v>
      </c>
    </row>
    <row r="457" spans="1:14">
      <c r="A457" s="1" t="s">
        <v>8</v>
      </c>
      <c r="B457" t="s">
        <v>73</v>
      </c>
      <c r="C457" t="s">
        <v>63</v>
      </c>
      <c r="D457">
        <v>21</v>
      </c>
      <c r="E457" t="s">
        <v>32</v>
      </c>
      <c r="F457">
        <v>371</v>
      </c>
      <c r="G457">
        <v>48.31</v>
      </c>
      <c r="H457">
        <v>0</v>
      </c>
      <c r="I457">
        <f>CLIENTS_CHURN345[[#This Row],[Anciennete_Mois]]/12</f>
        <v>1.75</v>
      </c>
      <c r="J457">
        <f>CLIENTS_CHURN345[[#This Row],[Duree_Cumulee_Panne_Min]]/60</f>
        <v>6.1833333333333336</v>
      </c>
      <c r="K457" t="str">
        <f>IF(CLIENTS_CHURN345[[#This Row],[Type_Forfait]]="Pro Monde","B2B","B2C")</f>
        <v>B2C</v>
      </c>
      <c r="L457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57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57" s="1">
        <f>CLIENTS_CHURN345[[#This Row],[Facture_Mensuelle]]*CLIENTS_CHURN345[[#This Row],[Colonne12]]</f>
        <v>21.739500000000003</v>
      </c>
    </row>
    <row r="458" spans="1:14">
      <c r="A458" s="1" t="s">
        <v>602</v>
      </c>
      <c r="B458" t="s">
        <v>630</v>
      </c>
      <c r="C458" t="s">
        <v>24</v>
      </c>
      <c r="D458">
        <v>56</v>
      </c>
      <c r="E458" t="s">
        <v>14</v>
      </c>
      <c r="F458">
        <v>379</v>
      </c>
      <c r="G458">
        <v>49.01</v>
      </c>
      <c r="H458">
        <v>0</v>
      </c>
      <c r="I458">
        <f>CLIENTS_CHURN345[[#This Row],[Anciennete_Mois]]/12</f>
        <v>4.666666666666667</v>
      </c>
      <c r="J458">
        <f>CLIENTS_CHURN345[[#This Row],[Duree_Cumulee_Panne_Min]]/60</f>
        <v>6.3166666666666664</v>
      </c>
      <c r="K458" t="str">
        <f>IF(CLIENTS_CHURN345[[#This Row],[Type_Forfait]]="Pro Monde","B2B","B2C")</f>
        <v>B2C</v>
      </c>
      <c r="L458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58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58" s="1">
        <f>CLIENTS_CHURN345[[#This Row],[Facture_Mensuelle]]*CLIENTS_CHURN345[[#This Row],[Colonne12]]</f>
        <v>22.054500000000001</v>
      </c>
    </row>
    <row r="459" spans="1:14">
      <c r="A459" s="1" t="s">
        <v>653</v>
      </c>
      <c r="B459" t="s">
        <v>681</v>
      </c>
      <c r="C459" t="s">
        <v>57</v>
      </c>
      <c r="D459">
        <v>42</v>
      </c>
      <c r="E459" t="s">
        <v>14</v>
      </c>
      <c r="F459">
        <v>448</v>
      </c>
      <c r="G459">
        <v>49.02</v>
      </c>
      <c r="H459">
        <v>0</v>
      </c>
      <c r="I459">
        <f>CLIENTS_CHURN345[[#This Row],[Anciennete_Mois]]/12</f>
        <v>3.5</v>
      </c>
      <c r="J459">
        <f>CLIENTS_CHURN345[[#This Row],[Duree_Cumulee_Panne_Min]]/60</f>
        <v>7.4666666666666668</v>
      </c>
      <c r="K459" t="str">
        <f>IF(CLIENTS_CHURN345[[#This Row],[Type_Forfait]]="Pro Monde","B2B","B2C")</f>
        <v>B2C</v>
      </c>
      <c r="L459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59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59" s="1">
        <f>CLIENTS_CHURN345[[#This Row],[Facture_Mensuelle]]*CLIENTS_CHURN345[[#This Row],[Colonne12]]</f>
        <v>22.059000000000001</v>
      </c>
    </row>
    <row r="460" spans="1:14">
      <c r="A460" s="1" t="s">
        <v>602</v>
      </c>
      <c r="B460" t="s">
        <v>621</v>
      </c>
      <c r="C460" t="s">
        <v>43</v>
      </c>
      <c r="D460">
        <v>103</v>
      </c>
      <c r="E460" t="s">
        <v>32</v>
      </c>
      <c r="F460">
        <v>310</v>
      </c>
      <c r="G460">
        <v>49.25</v>
      </c>
      <c r="H460">
        <v>2</v>
      </c>
      <c r="I460">
        <f>CLIENTS_CHURN345[[#This Row],[Anciennete_Mois]]/12</f>
        <v>8.5833333333333339</v>
      </c>
      <c r="J460">
        <f>CLIENTS_CHURN345[[#This Row],[Duree_Cumulee_Panne_Min]]/60</f>
        <v>5.166666666666667</v>
      </c>
      <c r="K460" t="str">
        <f>IF(CLIENTS_CHURN345[[#This Row],[Type_Forfait]]="Pro Monde","B2B","B2C")</f>
        <v>B2C</v>
      </c>
      <c r="L460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60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60" s="1">
        <f>CLIENTS_CHURN345[[#This Row],[Facture_Mensuelle]]*CLIENTS_CHURN345[[#This Row],[Colonne12]]</f>
        <v>22.162500000000001</v>
      </c>
    </row>
    <row r="461" spans="1:14">
      <c r="A461" s="1" t="s">
        <v>756</v>
      </c>
      <c r="B461" t="s">
        <v>761</v>
      </c>
      <c r="C461" t="s">
        <v>40</v>
      </c>
      <c r="D461">
        <v>105</v>
      </c>
      <c r="E461" t="s">
        <v>32</v>
      </c>
      <c r="F461">
        <v>454</v>
      </c>
      <c r="G461">
        <v>49.47</v>
      </c>
      <c r="H461">
        <v>4</v>
      </c>
      <c r="I461">
        <f>CLIENTS_CHURN345[[#This Row],[Anciennete_Mois]]/12</f>
        <v>8.75</v>
      </c>
      <c r="J461">
        <f>CLIENTS_CHURN345[[#This Row],[Duree_Cumulee_Panne_Min]]/60</f>
        <v>7.5666666666666664</v>
      </c>
      <c r="K461" t="str">
        <f>IF(CLIENTS_CHURN345[[#This Row],[Type_Forfait]]="Pro Monde","B2B","B2C")</f>
        <v>B2C</v>
      </c>
      <c r="L461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61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61" s="1">
        <f>CLIENTS_CHURN345[[#This Row],[Facture_Mensuelle]]*CLIENTS_CHURN345[[#This Row],[Colonne12]]</f>
        <v>22.261500000000002</v>
      </c>
    </row>
    <row r="462" spans="1:14">
      <c r="A462" s="1" t="s">
        <v>705</v>
      </c>
      <c r="B462" t="s">
        <v>738</v>
      </c>
      <c r="C462" t="s">
        <v>107</v>
      </c>
      <c r="D462">
        <v>63</v>
      </c>
      <c r="E462" t="s">
        <v>21</v>
      </c>
      <c r="F462">
        <v>265</v>
      </c>
      <c r="G462">
        <v>49.94</v>
      </c>
      <c r="H462">
        <v>1</v>
      </c>
      <c r="I462">
        <f>CLIENTS_CHURN345[[#This Row],[Anciennete_Mois]]/12</f>
        <v>5.25</v>
      </c>
      <c r="J462">
        <f>CLIENTS_CHURN345[[#This Row],[Duree_Cumulee_Panne_Min]]/60</f>
        <v>4.416666666666667</v>
      </c>
      <c r="K462" t="str">
        <f>IF(CLIENTS_CHURN345[[#This Row],[Type_Forfait]]="Pro Monde","B2B","B2C")</f>
        <v>B2C</v>
      </c>
      <c r="L462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62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62" s="1">
        <f>CLIENTS_CHURN345[[#This Row],[Facture_Mensuelle]]*CLIENTS_CHURN345[[#This Row],[Colonne12]]</f>
        <v>22.472999999999999</v>
      </c>
    </row>
    <row r="463" spans="1:14">
      <c r="A463" s="1" t="s">
        <v>447</v>
      </c>
      <c r="B463" t="s">
        <v>474</v>
      </c>
      <c r="C463" t="s">
        <v>107</v>
      </c>
      <c r="D463">
        <v>13</v>
      </c>
      <c r="E463" t="s">
        <v>21</v>
      </c>
      <c r="F463">
        <v>482</v>
      </c>
      <c r="G463">
        <v>50.15</v>
      </c>
      <c r="H463">
        <v>0</v>
      </c>
      <c r="I463">
        <f>CLIENTS_CHURN345[[#This Row],[Anciennete_Mois]]/12</f>
        <v>1.0833333333333333</v>
      </c>
      <c r="J463">
        <f>CLIENTS_CHURN345[[#This Row],[Duree_Cumulee_Panne_Min]]/60</f>
        <v>8.0333333333333332</v>
      </c>
      <c r="K463" t="str">
        <f>IF(CLIENTS_CHURN345[[#This Row],[Type_Forfait]]="Pro Monde","B2B","B2C")</f>
        <v>B2C</v>
      </c>
      <c r="L463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63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63" s="1">
        <f>CLIENTS_CHURN345[[#This Row],[Facture_Mensuelle]]*CLIENTS_CHURN345[[#This Row],[Colonne12]]</f>
        <v>22.567499999999999</v>
      </c>
    </row>
    <row r="464" spans="1:14">
      <c r="A464" s="1" t="s">
        <v>8</v>
      </c>
      <c r="B464" t="s">
        <v>39</v>
      </c>
      <c r="C464" t="s">
        <v>40</v>
      </c>
      <c r="D464">
        <v>57</v>
      </c>
      <c r="E464" t="s">
        <v>21</v>
      </c>
      <c r="F464">
        <v>329</v>
      </c>
      <c r="G464">
        <v>50.39</v>
      </c>
      <c r="H464">
        <v>5</v>
      </c>
      <c r="I464">
        <f>CLIENTS_CHURN345[[#This Row],[Anciennete_Mois]]/12</f>
        <v>4.75</v>
      </c>
      <c r="J464">
        <f>CLIENTS_CHURN345[[#This Row],[Duree_Cumulee_Panne_Min]]/60</f>
        <v>5.4833333333333334</v>
      </c>
      <c r="K464" t="str">
        <f>IF(CLIENTS_CHURN345[[#This Row],[Type_Forfait]]="Pro Monde","B2B","B2C")</f>
        <v>B2C</v>
      </c>
      <c r="L464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64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64" s="1">
        <f>CLIENTS_CHURN345[[#This Row],[Facture_Mensuelle]]*CLIENTS_CHURN345[[#This Row],[Colonne12]]</f>
        <v>22.6755</v>
      </c>
    </row>
    <row r="465" spans="1:14">
      <c r="A465" s="1" t="s">
        <v>551</v>
      </c>
      <c r="B465" t="s">
        <v>559</v>
      </c>
      <c r="C465" t="s">
        <v>10</v>
      </c>
      <c r="D465">
        <v>37</v>
      </c>
      <c r="E465" t="s">
        <v>32</v>
      </c>
      <c r="F465">
        <v>94</v>
      </c>
      <c r="G465">
        <v>50.44</v>
      </c>
      <c r="H465">
        <v>4</v>
      </c>
      <c r="I465">
        <f>CLIENTS_CHURN345[[#This Row],[Anciennete_Mois]]/12</f>
        <v>3.0833333333333335</v>
      </c>
      <c r="J465">
        <f>CLIENTS_CHURN345[[#This Row],[Duree_Cumulee_Panne_Min]]/60</f>
        <v>1.5666666666666667</v>
      </c>
      <c r="K465" t="str">
        <f>IF(CLIENTS_CHURN345[[#This Row],[Type_Forfait]]="Pro Monde","B2B","B2C")</f>
        <v>B2C</v>
      </c>
      <c r="L465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65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65" s="1">
        <f>CLIENTS_CHURN345[[#This Row],[Facture_Mensuelle]]*CLIENTS_CHURN345[[#This Row],[Colonne12]]</f>
        <v>22.698</v>
      </c>
    </row>
    <row r="466" spans="1:14">
      <c r="A466" s="1" t="s">
        <v>602</v>
      </c>
      <c r="B466" t="s">
        <v>642</v>
      </c>
      <c r="C466" t="s">
        <v>65</v>
      </c>
      <c r="D466">
        <v>51</v>
      </c>
      <c r="E466" t="s">
        <v>11</v>
      </c>
      <c r="F466">
        <v>389</v>
      </c>
      <c r="G466">
        <v>50.45</v>
      </c>
      <c r="H466">
        <v>3</v>
      </c>
      <c r="I466">
        <f>CLIENTS_CHURN345[[#This Row],[Anciennete_Mois]]/12</f>
        <v>4.25</v>
      </c>
      <c r="J466">
        <f>CLIENTS_CHURN345[[#This Row],[Duree_Cumulee_Panne_Min]]/60</f>
        <v>6.4833333333333334</v>
      </c>
      <c r="K466" t="str">
        <f>IF(CLIENTS_CHURN345[[#This Row],[Type_Forfait]]="Pro Monde","B2B","B2C")</f>
        <v>B2B</v>
      </c>
      <c r="L466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66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66" s="1">
        <f>CLIENTS_CHURN345[[#This Row],[Facture_Mensuelle]]*CLIENTS_CHURN345[[#This Row],[Colonne12]]</f>
        <v>22.702500000000001</v>
      </c>
    </row>
    <row r="467" spans="1:14">
      <c r="A467" s="1" t="s">
        <v>551</v>
      </c>
      <c r="B467" t="s">
        <v>567</v>
      </c>
      <c r="C467" t="s">
        <v>24</v>
      </c>
      <c r="D467">
        <v>6</v>
      </c>
      <c r="E467" t="s">
        <v>11</v>
      </c>
      <c r="F467">
        <v>342</v>
      </c>
      <c r="G467">
        <v>50.55</v>
      </c>
      <c r="H467">
        <v>5</v>
      </c>
      <c r="I467">
        <f>CLIENTS_CHURN345[[#This Row],[Anciennete_Mois]]/12</f>
        <v>0.5</v>
      </c>
      <c r="J467">
        <f>CLIENTS_CHURN345[[#This Row],[Duree_Cumulee_Panne_Min]]/60</f>
        <v>5.7</v>
      </c>
      <c r="K467" t="str">
        <f>IF(CLIENTS_CHURN345[[#This Row],[Type_Forfait]]="Pro Monde","B2B","B2C")</f>
        <v>B2B</v>
      </c>
      <c r="L467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67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67" s="1">
        <f>CLIENTS_CHURN345[[#This Row],[Facture_Mensuelle]]*CLIENTS_CHURN345[[#This Row],[Colonne12]]</f>
        <v>22.747499999999999</v>
      </c>
    </row>
    <row r="468" spans="1:14">
      <c r="A468" s="1" t="s">
        <v>447</v>
      </c>
      <c r="B468" t="s">
        <v>497</v>
      </c>
      <c r="C468" t="s">
        <v>24</v>
      </c>
      <c r="D468">
        <v>111</v>
      </c>
      <c r="E468" t="s">
        <v>11</v>
      </c>
      <c r="F468">
        <v>447</v>
      </c>
      <c r="G468">
        <v>51.35</v>
      </c>
      <c r="H468">
        <v>0</v>
      </c>
      <c r="I468">
        <f>CLIENTS_CHURN345[[#This Row],[Anciennete_Mois]]/12</f>
        <v>9.25</v>
      </c>
      <c r="J468">
        <f>CLIENTS_CHURN345[[#This Row],[Duree_Cumulee_Panne_Min]]/60</f>
        <v>7.45</v>
      </c>
      <c r="K468" t="str">
        <f>IF(CLIENTS_CHURN345[[#This Row],[Type_Forfait]]="Pro Monde","B2B","B2C")</f>
        <v>B2B</v>
      </c>
      <c r="L468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68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68" s="1">
        <f>CLIENTS_CHURN345[[#This Row],[Facture_Mensuelle]]*CLIENTS_CHURN345[[#This Row],[Colonne12]]</f>
        <v>23.107500000000002</v>
      </c>
    </row>
    <row r="469" spans="1:14">
      <c r="A469" s="1" t="s">
        <v>395</v>
      </c>
      <c r="B469" t="s">
        <v>428</v>
      </c>
      <c r="C469" t="s">
        <v>71</v>
      </c>
      <c r="D469">
        <v>2</v>
      </c>
      <c r="E469" t="s">
        <v>32</v>
      </c>
      <c r="F469">
        <v>21</v>
      </c>
      <c r="G469">
        <v>51.68</v>
      </c>
      <c r="H469">
        <v>3</v>
      </c>
      <c r="I469">
        <f>CLIENTS_CHURN345[[#This Row],[Anciennete_Mois]]/12</f>
        <v>0.16666666666666666</v>
      </c>
      <c r="J469">
        <f>CLIENTS_CHURN345[[#This Row],[Duree_Cumulee_Panne_Min]]/60</f>
        <v>0.35</v>
      </c>
      <c r="K469" t="str">
        <f>IF(CLIENTS_CHURN345[[#This Row],[Type_Forfait]]="Pro Monde","B2B","B2C")</f>
        <v>B2C</v>
      </c>
      <c r="L469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69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69" s="1">
        <f>CLIENTS_CHURN345[[#This Row],[Facture_Mensuelle]]*CLIENTS_CHURN345[[#This Row],[Colonne12]]</f>
        <v>23.256</v>
      </c>
    </row>
    <row r="470" spans="1:14">
      <c r="A470" s="1" t="s">
        <v>602</v>
      </c>
      <c r="B470" t="s">
        <v>633</v>
      </c>
      <c r="C470" t="s">
        <v>18</v>
      </c>
      <c r="D470">
        <v>107</v>
      </c>
      <c r="E470" t="s">
        <v>21</v>
      </c>
      <c r="F470">
        <v>290</v>
      </c>
      <c r="G470">
        <v>52.03</v>
      </c>
      <c r="H470">
        <v>0</v>
      </c>
      <c r="I470">
        <f>CLIENTS_CHURN345[[#This Row],[Anciennete_Mois]]/12</f>
        <v>8.9166666666666661</v>
      </c>
      <c r="J470">
        <f>CLIENTS_CHURN345[[#This Row],[Duree_Cumulee_Panne_Min]]/60</f>
        <v>4.833333333333333</v>
      </c>
      <c r="K470" t="str">
        <f>IF(CLIENTS_CHURN345[[#This Row],[Type_Forfait]]="Pro Monde","B2B","B2C")</f>
        <v>B2C</v>
      </c>
      <c r="L470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70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70" s="1">
        <f>CLIENTS_CHURN345[[#This Row],[Facture_Mensuelle]]*CLIENTS_CHURN345[[#This Row],[Colonne12]]</f>
        <v>23.413500000000003</v>
      </c>
    </row>
    <row r="471" spans="1:14">
      <c r="A471" s="1" t="s">
        <v>140</v>
      </c>
      <c r="B471" t="s">
        <v>178</v>
      </c>
      <c r="C471" t="s">
        <v>16</v>
      </c>
      <c r="D471">
        <v>114</v>
      </c>
      <c r="E471" t="s">
        <v>14</v>
      </c>
      <c r="F471">
        <v>304</v>
      </c>
      <c r="G471">
        <v>52.07</v>
      </c>
      <c r="H471">
        <v>1</v>
      </c>
      <c r="I471">
        <f>CLIENTS_CHURN345[[#This Row],[Anciennete_Mois]]/12</f>
        <v>9.5</v>
      </c>
      <c r="J471">
        <f>CLIENTS_CHURN345[[#This Row],[Duree_Cumulee_Panne_Min]]/60</f>
        <v>5.0666666666666664</v>
      </c>
      <c r="K471" t="str">
        <f>IF(CLIENTS_CHURN345[[#This Row],[Type_Forfait]]="Pro Monde","B2B","B2C")</f>
        <v>B2C</v>
      </c>
      <c r="L471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71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71" s="1">
        <f>CLIENTS_CHURN345[[#This Row],[Facture_Mensuelle]]*CLIENTS_CHURN345[[#This Row],[Colonne12]]</f>
        <v>23.4315</v>
      </c>
    </row>
    <row r="472" spans="1:14">
      <c r="A472" s="1" t="s">
        <v>705</v>
      </c>
      <c r="B472" t="s">
        <v>721</v>
      </c>
      <c r="C472" t="s">
        <v>20</v>
      </c>
      <c r="D472">
        <v>16</v>
      </c>
      <c r="E472" t="s">
        <v>21</v>
      </c>
      <c r="F472">
        <v>390</v>
      </c>
      <c r="G472">
        <v>52.64</v>
      </c>
      <c r="H472">
        <v>0</v>
      </c>
      <c r="I472">
        <f>CLIENTS_CHURN345[[#This Row],[Anciennete_Mois]]/12</f>
        <v>1.3333333333333333</v>
      </c>
      <c r="J472">
        <f>CLIENTS_CHURN345[[#This Row],[Duree_Cumulee_Panne_Min]]/60</f>
        <v>6.5</v>
      </c>
      <c r="K472" t="str">
        <f>IF(CLIENTS_CHURN345[[#This Row],[Type_Forfait]]="Pro Monde","B2B","B2C")</f>
        <v>B2C</v>
      </c>
      <c r="L472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72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72" s="1">
        <f>CLIENTS_CHURN345[[#This Row],[Facture_Mensuelle]]*CLIENTS_CHURN345[[#This Row],[Colonne12]]</f>
        <v>23.688000000000002</v>
      </c>
    </row>
    <row r="473" spans="1:14">
      <c r="A473" s="1" t="s">
        <v>653</v>
      </c>
      <c r="B473" t="s">
        <v>665</v>
      </c>
      <c r="C473" t="s">
        <v>26</v>
      </c>
      <c r="D473">
        <v>39</v>
      </c>
      <c r="E473" t="s">
        <v>32</v>
      </c>
      <c r="F473">
        <v>220</v>
      </c>
      <c r="G473">
        <v>52.91</v>
      </c>
      <c r="H473">
        <v>0</v>
      </c>
      <c r="I473">
        <f>CLIENTS_CHURN345[[#This Row],[Anciennete_Mois]]/12</f>
        <v>3.25</v>
      </c>
      <c r="J473">
        <f>CLIENTS_CHURN345[[#This Row],[Duree_Cumulee_Panne_Min]]/60</f>
        <v>3.6666666666666665</v>
      </c>
      <c r="K473" t="str">
        <f>IF(CLIENTS_CHURN345[[#This Row],[Type_Forfait]]="Pro Monde","B2B","B2C")</f>
        <v>B2C</v>
      </c>
      <c r="L473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73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73" s="1">
        <f>CLIENTS_CHURN345[[#This Row],[Facture_Mensuelle]]*CLIENTS_CHURN345[[#This Row],[Colonne12]]</f>
        <v>23.8095</v>
      </c>
    </row>
    <row r="474" spans="1:14">
      <c r="A474" s="1" t="s">
        <v>140</v>
      </c>
      <c r="B474" t="s">
        <v>148</v>
      </c>
      <c r="C474" t="s">
        <v>79</v>
      </c>
      <c r="D474">
        <v>74</v>
      </c>
      <c r="E474" t="s">
        <v>11</v>
      </c>
      <c r="F474">
        <v>371</v>
      </c>
      <c r="G474">
        <v>53.27</v>
      </c>
      <c r="H474">
        <v>3</v>
      </c>
      <c r="I474">
        <f>CLIENTS_CHURN345[[#This Row],[Anciennete_Mois]]/12</f>
        <v>6.166666666666667</v>
      </c>
      <c r="J474">
        <f>CLIENTS_CHURN345[[#This Row],[Duree_Cumulee_Panne_Min]]/60</f>
        <v>6.1833333333333336</v>
      </c>
      <c r="K474" t="str">
        <f>IF(CLIENTS_CHURN345[[#This Row],[Type_Forfait]]="Pro Monde","B2B","B2C")</f>
        <v>B2B</v>
      </c>
      <c r="L474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74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74" s="1">
        <f>CLIENTS_CHURN345[[#This Row],[Facture_Mensuelle]]*CLIENTS_CHURN345[[#This Row],[Colonne12]]</f>
        <v>23.971500000000002</v>
      </c>
    </row>
    <row r="475" spans="1:14">
      <c r="A475" s="1" t="s">
        <v>344</v>
      </c>
      <c r="B475" t="s">
        <v>351</v>
      </c>
      <c r="C475" t="s">
        <v>36</v>
      </c>
      <c r="D475">
        <v>78</v>
      </c>
      <c r="E475" t="s">
        <v>32</v>
      </c>
      <c r="F475">
        <v>263</v>
      </c>
      <c r="G475">
        <v>53.58</v>
      </c>
      <c r="H475">
        <v>5</v>
      </c>
      <c r="I475">
        <f>CLIENTS_CHURN345[[#This Row],[Anciennete_Mois]]/12</f>
        <v>6.5</v>
      </c>
      <c r="J475">
        <f>CLIENTS_CHURN345[[#This Row],[Duree_Cumulee_Panne_Min]]/60</f>
        <v>4.3833333333333337</v>
      </c>
      <c r="K475" t="str">
        <f>IF(CLIENTS_CHURN345[[#This Row],[Type_Forfait]]="Pro Monde","B2B","B2C")</f>
        <v>B2C</v>
      </c>
      <c r="L475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75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75" s="1">
        <f>CLIENTS_CHURN345[[#This Row],[Facture_Mensuelle]]*CLIENTS_CHURN345[[#This Row],[Colonne12]]</f>
        <v>24.111000000000001</v>
      </c>
    </row>
    <row r="476" spans="1:14">
      <c r="A476" s="1" t="s">
        <v>293</v>
      </c>
      <c r="B476" t="s">
        <v>339</v>
      </c>
      <c r="C476" t="s">
        <v>43</v>
      </c>
      <c r="D476">
        <v>81</v>
      </c>
      <c r="E476" t="s">
        <v>11</v>
      </c>
      <c r="F476">
        <v>298</v>
      </c>
      <c r="G476">
        <v>53.61</v>
      </c>
      <c r="H476">
        <v>2</v>
      </c>
      <c r="I476">
        <f>CLIENTS_CHURN345[[#This Row],[Anciennete_Mois]]/12</f>
        <v>6.75</v>
      </c>
      <c r="J476">
        <f>CLIENTS_CHURN345[[#This Row],[Duree_Cumulee_Panne_Min]]/60</f>
        <v>4.9666666666666668</v>
      </c>
      <c r="K476" t="str">
        <f>IF(CLIENTS_CHURN345[[#This Row],[Type_Forfait]]="Pro Monde","B2B","B2C")</f>
        <v>B2B</v>
      </c>
      <c r="L476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76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76" s="1">
        <f>CLIENTS_CHURN345[[#This Row],[Facture_Mensuelle]]*CLIENTS_CHURN345[[#This Row],[Colonne12]]</f>
        <v>24.124500000000001</v>
      </c>
    </row>
    <row r="477" spans="1:14">
      <c r="A477" s="1" t="s">
        <v>705</v>
      </c>
      <c r="B477" t="s">
        <v>753</v>
      </c>
      <c r="C477" t="s">
        <v>57</v>
      </c>
      <c r="D477">
        <v>38</v>
      </c>
      <c r="E477" t="s">
        <v>32</v>
      </c>
      <c r="F477">
        <v>432</v>
      </c>
      <c r="G477">
        <v>53.65</v>
      </c>
      <c r="H477">
        <v>4</v>
      </c>
      <c r="I477">
        <f>CLIENTS_CHURN345[[#This Row],[Anciennete_Mois]]/12</f>
        <v>3.1666666666666665</v>
      </c>
      <c r="J477">
        <f>CLIENTS_CHURN345[[#This Row],[Duree_Cumulee_Panne_Min]]/60</f>
        <v>7.2</v>
      </c>
      <c r="K477" t="str">
        <f>IF(CLIENTS_CHURN345[[#This Row],[Type_Forfait]]="Pro Monde","B2B","B2C")</f>
        <v>B2C</v>
      </c>
      <c r="L477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77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77" s="1">
        <f>CLIENTS_CHURN345[[#This Row],[Facture_Mensuelle]]*CLIENTS_CHURN345[[#This Row],[Colonne12]]</f>
        <v>24.142499999999998</v>
      </c>
    </row>
    <row r="478" spans="1:14">
      <c r="A478" s="1" t="s">
        <v>293</v>
      </c>
      <c r="B478" t="s">
        <v>316</v>
      </c>
      <c r="C478" t="s">
        <v>71</v>
      </c>
      <c r="D478">
        <v>76</v>
      </c>
      <c r="E478" t="s">
        <v>21</v>
      </c>
      <c r="F478">
        <v>383</v>
      </c>
      <c r="G478">
        <v>53.73</v>
      </c>
      <c r="H478">
        <v>2</v>
      </c>
      <c r="I478">
        <f>CLIENTS_CHURN345[[#This Row],[Anciennete_Mois]]/12</f>
        <v>6.333333333333333</v>
      </c>
      <c r="J478">
        <f>CLIENTS_CHURN345[[#This Row],[Duree_Cumulee_Panne_Min]]/60</f>
        <v>6.3833333333333337</v>
      </c>
      <c r="K478" t="str">
        <f>IF(CLIENTS_CHURN345[[#This Row],[Type_Forfait]]="Pro Monde","B2B","B2C")</f>
        <v>B2C</v>
      </c>
      <c r="L478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78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78" s="1">
        <f>CLIENTS_CHURN345[[#This Row],[Facture_Mensuelle]]*CLIENTS_CHURN345[[#This Row],[Colonne12]]</f>
        <v>24.1785</v>
      </c>
    </row>
    <row r="479" spans="1:14">
      <c r="A479" s="1" t="s">
        <v>395</v>
      </c>
      <c r="B479" t="s">
        <v>409</v>
      </c>
      <c r="C479" t="s">
        <v>10</v>
      </c>
      <c r="D479">
        <v>63</v>
      </c>
      <c r="E479" t="s">
        <v>14</v>
      </c>
      <c r="F479">
        <v>263</v>
      </c>
      <c r="G479">
        <v>53.87</v>
      </c>
      <c r="H479">
        <v>4</v>
      </c>
      <c r="I479">
        <f>CLIENTS_CHURN345[[#This Row],[Anciennete_Mois]]/12</f>
        <v>5.25</v>
      </c>
      <c r="J479">
        <f>CLIENTS_CHURN345[[#This Row],[Duree_Cumulee_Panne_Min]]/60</f>
        <v>4.3833333333333337</v>
      </c>
      <c r="K479" t="str">
        <f>IF(CLIENTS_CHURN345[[#This Row],[Type_Forfait]]="Pro Monde","B2B","B2C")</f>
        <v>B2C</v>
      </c>
      <c r="L479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79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79" s="1">
        <f>CLIENTS_CHURN345[[#This Row],[Facture_Mensuelle]]*CLIENTS_CHURN345[[#This Row],[Colonne12]]</f>
        <v>24.241499999999998</v>
      </c>
    </row>
    <row r="480" spans="1:14">
      <c r="A480" s="1" t="s">
        <v>344</v>
      </c>
      <c r="B480" t="s">
        <v>363</v>
      </c>
      <c r="C480" t="s">
        <v>76</v>
      </c>
      <c r="D480">
        <v>41</v>
      </c>
      <c r="E480" t="s">
        <v>11</v>
      </c>
      <c r="F480">
        <v>474</v>
      </c>
      <c r="G480">
        <v>54.03</v>
      </c>
      <c r="H480">
        <v>4</v>
      </c>
      <c r="I480">
        <f>CLIENTS_CHURN345[[#This Row],[Anciennete_Mois]]/12</f>
        <v>3.4166666666666665</v>
      </c>
      <c r="J480">
        <f>CLIENTS_CHURN345[[#This Row],[Duree_Cumulee_Panne_Min]]/60</f>
        <v>7.9</v>
      </c>
      <c r="K480" t="str">
        <f>IF(CLIENTS_CHURN345[[#This Row],[Type_Forfait]]="Pro Monde","B2B","B2C")</f>
        <v>B2B</v>
      </c>
      <c r="L480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80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80" s="1">
        <f>CLIENTS_CHURN345[[#This Row],[Facture_Mensuelle]]*CLIENTS_CHURN345[[#This Row],[Colonne12]]</f>
        <v>24.313500000000001</v>
      </c>
    </row>
    <row r="481" spans="1:14">
      <c r="A481" s="1" t="s">
        <v>705</v>
      </c>
      <c r="B481" t="s">
        <v>709</v>
      </c>
      <c r="C481" t="s">
        <v>16</v>
      </c>
      <c r="D481">
        <v>19</v>
      </c>
      <c r="E481" t="s">
        <v>14</v>
      </c>
      <c r="F481">
        <v>345</v>
      </c>
      <c r="G481">
        <v>54.37</v>
      </c>
      <c r="H481">
        <v>2</v>
      </c>
      <c r="I481">
        <f>CLIENTS_CHURN345[[#This Row],[Anciennete_Mois]]/12</f>
        <v>1.5833333333333333</v>
      </c>
      <c r="J481">
        <f>CLIENTS_CHURN345[[#This Row],[Duree_Cumulee_Panne_Min]]/60</f>
        <v>5.75</v>
      </c>
      <c r="K481" t="str">
        <f>IF(CLIENTS_CHURN345[[#This Row],[Type_Forfait]]="Pro Monde","B2B","B2C")</f>
        <v>B2C</v>
      </c>
      <c r="L481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81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81" s="1">
        <f>CLIENTS_CHURN345[[#This Row],[Facture_Mensuelle]]*CLIENTS_CHURN345[[#This Row],[Colonne12]]</f>
        <v>24.4665</v>
      </c>
    </row>
    <row r="482" spans="1:14">
      <c r="A482" s="1" t="s">
        <v>705</v>
      </c>
      <c r="B482" t="s">
        <v>747</v>
      </c>
      <c r="C482" t="s">
        <v>31</v>
      </c>
      <c r="D482">
        <v>72</v>
      </c>
      <c r="E482" t="s">
        <v>11</v>
      </c>
      <c r="F482">
        <v>317</v>
      </c>
      <c r="G482">
        <v>54.58</v>
      </c>
      <c r="H482">
        <v>1</v>
      </c>
      <c r="I482">
        <f>CLIENTS_CHURN345[[#This Row],[Anciennete_Mois]]/12</f>
        <v>6</v>
      </c>
      <c r="J482">
        <f>CLIENTS_CHURN345[[#This Row],[Duree_Cumulee_Panne_Min]]/60</f>
        <v>5.2833333333333332</v>
      </c>
      <c r="K482" t="str">
        <f>IF(CLIENTS_CHURN345[[#This Row],[Type_Forfait]]="Pro Monde","B2B","B2C")</f>
        <v>B2B</v>
      </c>
      <c r="L482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82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82" s="1">
        <f>CLIENTS_CHURN345[[#This Row],[Facture_Mensuelle]]*CLIENTS_CHURN345[[#This Row],[Colonne12]]</f>
        <v>24.561</v>
      </c>
    </row>
    <row r="483" spans="1:14">
      <c r="A483" s="1" t="s">
        <v>140</v>
      </c>
      <c r="B483" t="s">
        <v>185</v>
      </c>
      <c r="C483" t="s">
        <v>79</v>
      </c>
      <c r="D483">
        <v>1</v>
      </c>
      <c r="E483" t="s">
        <v>11</v>
      </c>
      <c r="F483">
        <v>326</v>
      </c>
      <c r="G483">
        <v>54.63</v>
      </c>
      <c r="H483">
        <v>3</v>
      </c>
      <c r="I483">
        <f>CLIENTS_CHURN345[[#This Row],[Anciennete_Mois]]/12</f>
        <v>8.3333333333333329E-2</v>
      </c>
      <c r="J483">
        <f>CLIENTS_CHURN345[[#This Row],[Duree_Cumulee_Panne_Min]]/60</f>
        <v>5.4333333333333336</v>
      </c>
      <c r="K483" t="str">
        <f>IF(CLIENTS_CHURN345[[#This Row],[Type_Forfait]]="Pro Monde","B2B","B2C")</f>
        <v>B2B</v>
      </c>
      <c r="L483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83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83" s="1">
        <f>CLIENTS_CHURN345[[#This Row],[Facture_Mensuelle]]*CLIENTS_CHURN345[[#This Row],[Colonne12]]</f>
        <v>24.583500000000001</v>
      </c>
    </row>
    <row r="484" spans="1:14">
      <c r="A484" s="1" t="s">
        <v>85</v>
      </c>
      <c r="B484" t="s">
        <v>117</v>
      </c>
      <c r="C484" t="s">
        <v>92</v>
      </c>
      <c r="D484">
        <v>98</v>
      </c>
      <c r="E484" t="s">
        <v>11</v>
      </c>
      <c r="F484">
        <v>482</v>
      </c>
      <c r="G484">
        <v>55.04</v>
      </c>
      <c r="H484">
        <v>5</v>
      </c>
      <c r="I484">
        <f>CLIENTS_CHURN345[[#This Row],[Anciennete_Mois]]/12</f>
        <v>8.1666666666666661</v>
      </c>
      <c r="J484">
        <f>CLIENTS_CHURN345[[#This Row],[Duree_Cumulee_Panne_Min]]/60</f>
        <v>8.0333333333333332</v>
      </c>
      <c r="K484" t="str">
        <f>IF(CLIENTS_CHURN345[[#This Row],[Type_Forfait]]="Pro Monde","B2B","B2C")</f>
        <v>B2B</v>
      </c>
      <c r="L484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84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84" s="1">
        <f>CLIENTS_CHURN345[[#This Row],[Facture_Mensuelle]]*CLIENTS_CHURN345[[#This Row],[Colonne12]]</f>
        <v>24.768000000000001</v>
      </c>
    </row>
    <row r="485" spans="1:14">
      <c r="A485" s="1" t="s">
        <v>499</v>
      </c>
      <c r="B485" t="s">
        <v>542</v>
      </c>
      <c r="C485" t="s">
        <v>52</v>
      </c>
      <c r="D485">
        <v>45</v>
      </c>
      <c r="E485" t="s">
        <v>32</v>
      </c>
      <c r="F485">
        <v>244</v>
      </c>
      <c r="G485">
        <v>55.17</v>
      </c>
      <c r="H485">
        <v>2</v>
      </c>
      <c r="I485">
        <f>CLIENTS_CHURN345[[#This Row],[Anciennete_Mois]]/12</f>
        <v>3.75</v>
      </c>
      <c r="J485">
        <f>CLIENTS_CHURN345[[#This Row],[Duree_Cumulee_Panne_Min]]/60</f>
        <v>4.0666666666666664</v>
      </c>
      <c r="K485" t="str">
        <f>IF(CLIENTS_CHURN345[[#This Row],[Type_Forfait]]="Pro Monde","B2B","B2C")</f>
        <v>B2C</v>
      </c>
      <c r="L485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85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85" s="1">
        <f>CLIENTS_CHURN345[[#This Row],[Facture_Mensuelle]]*CLIENTS_CHURN345[[#This Row],[Colonne12]]</f>
        <v>24.826500000000003</v>
      </c>
    </row>
    <row r="486" spans="1:14">
      <c r="A486" s="1" t="s">
        <v>551</v>
      </c>
      <c r="B486" t="s">
        <v>574</v>
      </c>
      <c r="C486" t="s">
        <v>18</v>
      </c>
      <c r="D486">
        <v>53</v>
      </c>
      <c r="E486" t="s">
        <v>32</v>
      </c>
      <c r="F486">
        <v>243</v>
      </c>
      <c r="G486">
        <v>55.19</v>
      </c>
      <c r="H486">
        <v>4</v>
      </c>
      <c r="I486">
        <f>CLIENTS_CHURN345[[#This Row],[Anciennete_Mois]]/12</f>
        <v>4.416666666666667</v>
      </c>
      <c r="J486">
        <f>CLIENTS_CHURN345[[#This Row],[Duree_Cumulee_Panne_Min]]/60</f>
        <v>4.05</v>
      </c>
      <c r="K486" t="str">
        <f>IF(CLIENTS_CHURN345[[#This Row],[Type_Forfait]]="Pro Monde","B2B","B2C")</f>
        <v>B2C</v>
      </c>
      <c r="L486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86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86" s="1">
        <f>CLIENTS_CHURN345[[#This Row],[Facture_Mensuelle]]*CLIENTS_CHURN345[[#This Row],[Colonne12]]</f>
        <v>24.8355</v>
      </c>
    </row>
    <row r="487" spans="1:14">
      <c r="A487" s="1" t="s">
        <v>85</v>
      </c>
      <c r="B487" t="s">
        <v>87</v>
      </c>
      <c r="C487" t="s">
        <v>29</v>
      </c>
      <c r="D487">
        <v>99</v>
      </c>
      <c r="E487" t="s">
        <v>21</v>
      </c>
      <c r="F487">
        <v>493</v>
      </c>
      <c r="G487">
        <v>55.43</v>
      </c>
      <c r="H487">
        <v>2</v>
      </c>
      <c r="I487">
        <f>CLIENTS_CHURN345[[#This Row],[Anciennete_Mois]]/12</f>
        <v>8.25</v>
      </c>
      <c r="J487">
        <f>CLIENTS_CHURN345[[#This Row],[Duree_Cumulee_Panne_Min]]/60</f>
        <v>8.2166666666666668</v>
      </c>
      <c r="K487" t="str">
        <f>IF(CLIENTS_CHURN345[[#This Row],[Type_Forfait]]="Pro Monde","B2B","B2C")</f>
        <v>B2C</v>
      </c>
      <c r="L487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87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87" s="1">
        <f>CLIENTS_CHURN345[[#This Row],[Facture_Mensuelle]]*CLIENTS_CHURN345[[#This Row],[Colonne12]]</f>
        <v>24.9435</v>
      </c>
    </row>
    <row r="488" spans="1:14">
      <c r="A488" s="1" t="s">
        <v>8</v>
      </c>
      <c r="B488" t="s">
        <v>53</v>
      </c>
      <c r="C488" t="s">
        <v>43</v>
      </c>
      <c r="D488">
        <v>112</v>
      </c>
      <c r="E488" t="s">
        <v>32</v>
      </c>
      <c r="F488">
        <v>460</v>
      </c>
      <c r="G488">
        <v>55.47</v>
      </c>
      <c r="H488">
        <v>4</v>
      </c>
      <c r="I488">
        <f>CLIENTS_CHURN345[[#This Row],[Anciennete_Mois]]/12</f>
        <v>9.3333333333333339</v>
      </c>
      <c r="J488">
        <f>CLIENTS_CHURN345[[#This Row],[Duree_Cumulee_Panne_Min]]/60</f>
        <v>7.666666666666667</v>
      </c>
      <c r="K488" t="str">
        <f>IF(CLIENTS_CHURN345[[#This Row],[Type_Forfait]]="Pro Monde","B2B","B2C")</f>
        <v>B2C</v>
      </c>
      <c r="L488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88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88" s="1">
        <f>CLIENTS_CHURN345[[#This Row],[Facture_Mensuelle]]*CLIENTS_CHURN345[[#This Row],[Colonne12]]</f>
        <v>24.961500000000001</v>
      </c>
    </row>
    <row r="489" spans="1:14">
      <c r="A489" s="1" t="s">
        <v>8</v>
      </c>
      <c r="B489" t="s">
        <v>81</v>
      </c>
      <c r="C489" t="s">
        <v>13</v>
      </c>
      <c r="D489">
        <v>14</v>
      </c>
      <c r="E489" t="s">
        <v>32</v>
      </c>
      <c r="F489">
        <v>75</v>
      </c>
      <c r="G489">
        <v>55.67</v>
      </c>
      <c r="H489">
        <v>3</v>
      </c>
      <c r="I489">
        <f>CLIENTS_CHURN345[[#This Row],[Anciennete_Mois]]/12</f>
        <v>1.1666666666666667</v>
      </c>
      <c r="J489">
        <f>CLIENTS_CHURN345[[#This Row],[Duree_Cumulee_Panne_Min]]/60</f>
        <v>1.25</v>
      </c>
      <c r="K489" t="str">
        <f>IF(CLIENTS_CHURN345[[#This Row],[Type_Forfait]]="Pro Monde","B2B","B2C")</f>
        <v>B2C</v>
      </c>
      <c r="L489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89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89" s="1">
        <f>CLIENTS_CHURN345[[#This Row],[Facture_Mensuelle]]*CLIENTS_CHURN345[[#This Row],[Colonne12]]</f>
        <v>25.051500000000001</v>
      </c>
    </row>
    <row r="490" spans="1:14">
      <c r="A490" s="1" t="s">
        <v>344</v>
      </c>
      <c r="B490" t="s">
        <v>367</v>
      </c>
      <c r="C490" t="s">
        <v>92</v>
      </c>
      <c r="D490">
        <v>47</v>
      </c>
      <c r="E490" t="s">
        <v>32</v>
      </c>
      <c r="F490">
        <v>49</v>
      </c>
      <c r="G490">
        <v>55.88</v>
      </c>
      <c r="H490">
        <v>3</v>
      </c>
      <c r="I490">
        <f>CLIENTS_CHURN345[[#This Row],[Anciennete_Mois]]/12</f>
        <v>3.9166666666666665</v>
      </c>
      <c r="J490">
        <f>CLIENTS_CHURN345[[#This Row],[Duree_Cumulee_Panne_Min]]/60</f>
        <v>0.81666666666666665</v>
      </c>
      <c r="K490" t="str">
        <f>IF(CLIENTS_CHURN345[[#This Row],[Type_Forfait]]="Pro Monde","B2B","B2C")</f>
        <v>B2C</v>
      </c>
      <c r="L490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90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90" s="1">
        <f>CLIENTS_CHURN345[[#This Row],[Facture_Mensuelle]]*CLIENTS_CHURN345[[#This Row],[Colonne12]]</f>
        <v>25.146000000000001</v>
      </c>
    </row>
    <row r="491" spans="1:14">
      <c r="A491" s="1" t="s">
        <v>8</v>
      </c>
      <c r="B491" t="s">
        <v>82</v>
      </c>
      <c r="C491" t="s">
        <v>40</v>
      </c>
      <c r="D491">
        <v>46</v>
      </c>
      <c r="E491" t="s">
        <v>32</v>
      </c>
      <c r="F491">
        <v>283</v>
      </c>
      <c r="G491">
        <v>56.05</v>
      </c>
      <c r="H491">
        <v>1</v>
      </c>
      <c r="I491">
        <f>CLIENTS_CHURN345[[#This Row],[Anciennete_Mois]]/12</f>
        <v>3.8333333333333335</v>
      </c>
      <c r="J491">
        <f>CLIENTS_CHURN345[[#This Row],[Duree_Cumulee_Panne_Min]]/60</f>
        <v>4.7166666666666668</v>
      </c>
      <c r="K491" t="str">
        <f>IF(CLIENTS_CHURN345[[#This Row],[Type_Forfait]]="Pro Monde","B2B","B2C")</f>
        <v>B2C</v>
      </c>
      <c r="L491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91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91" s="1">
        <f>CLIENTS_CHURN345[[#This Row],[Facture_Mensuelle]]*CLIENTS_CHURN345[[#This Row],[Colonne12]]</f>
        <v>25.2225</v>
      </c>
    </row>
    <row r="492" spans="1:14">
      <c r="A492" s="1" t="s">
        <v>140</v>
      </c>
      <c r="B492" t="s">
        <v>159</v>
      </c>
      <c r="C492" t="s">
        <v>43</v>
      </c>
      <c r="D492">
        <v>88</v>
      </c>
      <c r="E492" t="s">
        <v>21</v>
      </c>
      <c r="F492">
        <v>319</v>
      </c>
      <c r="G492">
        <v>56.18</v>
      </c>
      <c r="H492">
        <v>0</v>
      </c>
      <c r="I492">
        <f>CLIENTS_CHURN345[[#This Row],[Anciennete_Mois]]/12</f>
        <v>7.333333333333333</v>
      </c>
      <c r="J492">
        <f>CLIENTS_CHURN345[[#This Row],[Duree_Cumulee_Panne_Min]]/60</f>
        <v>5.3166666666666664</v>
      </c>
      <c r="K492" t="str">
        <f>IF(CLIENTS_CHURN345[[#This Row],[Type_Forfait]]="Pro Monde","B2B","B2C")</f>
        <v>B2C</v>
      </c>
      <c r="L492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92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92" s="1">
        <f>CLIENTS_CHURN345[[#This Row],[Facture_Mensuelle]]*CLIENTS_CHURN345[[#This Row],[Colonne12]]</f>
        <v>25.280999999999999</v>
      </c>
    </row>
    <row r="493" spans="1:14">
      <c r="A493" s="1" t="s">
        <v>293</v>
      </c>
      <c r="B493" t="s">
        <v>326</v>
      </c>
      <c r="C493" t="s">
        <v>71</v>
      </c>
      <c r="D493">
        <v>84</v>
      </c>
      <c r="E493" t="s">
        <v>14</v>
      </c>
      <c r="F493">
        <v>244</v>
      </c>
      <c r="G493">
        <v>56.34</v>
      </c>
      <c r="H493">
        <v>5</v>
      </c>
      <c r="I493">
        <f>CLIENTS_CHURN345[[#This Row],[Anciennete_Mois]]/12</f>
        <v>7</v>
      </c>
      <c r="J493">
        <f>CLIENTS_CHURN345[[#This Row],[Duree_Cumulee_Panne_Min]]/60</f>
        <v>4.0666666666666664</v>
      </c>
      <c r="K493" t="str">
        <f>IF(CLIENTS_CHURN345[[#This Row],[Type_Forfait]]="Pro Monde","B2B","B2C")</f>
        <v>B2C</v>
      </c>
      <c r="L493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93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93" s="1">
        <f>CLIENTS_CHURN345[[#This Row],[Facture_Mensuelle]]*CLIENTS_CHURN345[[#This Row],[Colonne12]]</f>
        <v>25.353000000000002</v>
      </c>
    </row>
    <row r="494" spans="1:14">
      <c r="A494" s="1" t="s">
        <v>191</v>
      </c>
      <c r="B494" t="s">
        <v>217</v>
      </c>
      <c r="C494" t="s">
        <v>26</v>
      </c>
      <c r="D494">
        <v>33</v>
      </c>
      <c r="E494" t="s">
        <v>32</v>
      </c>
      <c r="F494">
        <v>285</v>
      </c>
      <c r="G494">
        <v>56.67</v>
      </c>
      <c r="H494">
        <v>2</v>
      </c>
      <c r="I494">
        <f>CLIENTS_CHURN345[[#This Row],[Anciennete_Mois]]/12</f>
        <v>2.75</v>
      </c>
      <c r="J494">
        <f>CLIENTS_CHURN345[[#This Row],[Duree_Cumulee_Panne_Min]]/60</f>
        <v>4.75</v>
      </c>
      <c r="K494" t="str">
        <f>IF(CLIENTS_CHURN345[[#This Row],[Type_Forfait]]="Pro Monde","B2B","B2C")</f>
        <v>B2C</v>
      </c>
      <c r="L494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94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94" s="1">
        <f>CLIENTS_CHURN345[[#This Row],[Facture_Mensuelle]]*CLIENTS_CHURN345[[#This Row],[Colonne12]]</f>
        <v>25.5015</v>
      </c>
    </row>
    <row r="495" spans="1:14">
      <c r="A495" s="1" t="s">
        <v>8</v>
      </c>
      <c r="B495" t="s">
        <v>56</v>
      </c>
      <c r="C495" t="s">
        <v>57</v>
      </c>
      <c r="D495">
        <v>34</v>
      </c>
      <c r="E495" t="s">
        <v>11</v>
      </c>
      <c r="F495">
        <v>453</v>
      </c>
      <c r="G495">
        <v>56.84</v>
      </c>
      <c r="H495">
        <v>0</v>
      </c>
      <c r="I495">
        <f>CLIENTS_CHURN345[[#This Row],[Anciennete_Mois]]/12</f>
        <v>2.8333333333333335</v>
      </c>
      <c r="J495">
        <f>CLIENTS_CHURN345[[#This Row],[Duree_Cumulee_Panne_Min]]/60</f>
        <v>7.55</v>
      </c>
      <c r="K495" t="str">
        <f>IF(CLIENTS_CHURN345[[#This Row],[Type_Forfait]]="Pro Monde","B2B","B2C")</f>
        <v>B2B</v>
      </c>
      <c r="L495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95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95" s="1">
        <f>CLIENTS_CHURN345[[#This Row],[Facture_Mensuelle]]*CLIENTS_CHURN345[[#This Row],[Colonne12]]</f>
        <v>25.578000000000003</v>
      </c>
    </row>
    <row r="496" spans="1:14">
      <c r="A496" s="1" t="s">
        <v>551</v>
      </c>
      <c r="B496" t="s">
        <v>599</v>
      </c>
      <c r="C496" t="s">
        <v>16</v>
      </c>
      <c r="D496">
        <v>73</v>
      </c>
      <c r="E496" t="s">
        <v>11</v>
      </c>
      <c r="F496">
        <v>268</v>
      </c>
      <c r="G496">
        <v>56.86</v>
      </c>
      <c r="H496">
        <v>5</v>
      </c>
      <c r="I496">
        <f>CLIENTS_CHURN345[[#This Row],[Anciennete_Mois]]/12</f>
        <v>6.083333333333333</v>
      </c>
      <c r="J496">
        <f>CLIENTS_CHURN345[[#This Row],[Duree_Cumulee_Panne_Min]]/60</f>
        <v>4.4666666666666668</v>
      </c>
      <c r="K496" t="str">
        <f>IF(CLIENTS_CHURN345[[#This Row],[Type_Forfait]]="Pro Monde","B2B","B2C")</f>
        <v>B2B</v>
      </c>
      <c r="L496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96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96" s="1">
        <f>CLIENTS_CHURN345[[#This Row],[Facture_Mensuelle]]*CLIENTS_CHURN345[[#This Row],[Colonne12]]</f>
        <v>25.587</v>
      </c>
    </row>
    <row r="497" spans="1:14">
      <c r="A497" s="1" t="s">
        <v>242</v>
      </c>
      <c r="B497" t="s">
        <v>286</v>
      </c>
      <c r="C497" t="s">
        <v>18</v>
      </c>
      <c r="D497">
        <v>57</v>
      </c>
      <c r="E497" t="s">
        <v>21</v>
      </c>
      <c r="F497">
        <v>435</v>
      </c>
      <c r="G497">
        <v>56.88</v>
      </c>
      <c r="H497">
        <v>4</v>
      </c>
      <c r="I497">
        <f>CLIENTS_CHURN345[[#This Row],[Anciennete_Mois]]/12</f>
        <v>4.75</v>
      </c>
      <c r="J497">
        <f>CLIENTS_CHURN345[[#This Row],[Duree_Cumulee_Panne_Min]]/60</f>
        <v>7.25</v>
      </c>
      <c r="K497" t="str">
        <f>IF(CLIENTS_CHURN345[[#This Row],[Type_Forfait]]="Pro Monde","B2B","B2C")</f>
        <v>B2C</v>
      </c>
      <c r="L497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97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97" s="1">
        <f>CLIENTS_CHURN345[[#This Row],[Facture_Mensuelle]]*CLIENTS_CHURN345[[#This Row],[Colonne12]]</f>
        <v>25.596</v>
      </c>
    </row>
    <row r="498" spans="1:14">
      <c r="A498" s="1" t="s">
        <v>756</v>
      </c>
      <c r="B498" t="s">
        <v>798</v>
      </c>
      <c r="C498" t="s">
        <v>43</v>
      </c>
      <c r="D498">
        <v>87</v>
      </c>
      <c r="E498" t="s">
        <v>11</v>
      </c>
      <c r="F498">
        <v>486</v>
      </c>
      <c r="G498">
        <v>58.26</v>
      </c>
      <c r="H498">
        <v>0</v>
      </c>
      <c r="I498">
        <f>CLIENTS_CHURN345[[#This Row],[Anciennete_Mois]]/12</f>
        <v>7.25</v>
      </c>
      <c r="J498">
        <f>CLIENTS_CHURN345[[#This Row],[Duree_Cumulee_Panne_Min]]/60</f>
        <v>8.1</v>
      </c>
      <c r="K498" t="str">
        <f>IF(CLIENTS_CHURN345[[#This Row],[Type_Forfait]]="Pro Monde","B2B","B2C")</f>
        <v>B2B</v>
      </c>
      <c r="L498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98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98" s="1">
        <f>CLIENTS_CHURN345[[#This Row],[Facture_Mensuelle]]*CLIENTS_CHURN345[[#This Row],[Colonne12]]</f>
        <v>26.216999999999999</v>
      </c>
    </row>
    <row r="499" spans="1:14">
      <c r="A499" s="1" t="s">
        <v>344</v>
      </c>
      <c r="B499" t="s">
        <v>355</v>
      </c>
      <c r="C499" t="s">
        <v>79</v>
      </c>
      <c r="D499">
        <v>38</v>
      </c>
      <c r="E499" t="s">
        <v>32</v>
      </c>
      <c r="F499">
        <v>60</v>
      </c>
      <c r="G499">
        <v>58.28</v>
      </c>
      <c r="H499">
        <v>4</v>
      </c>
      <c r="I499">
        <f>CLIENTS_CHURN345[[#This Row],[Anciennete_Mois]]/12</f>
        <v>3.1666666666666665</v>
      </c>
      <c r="J499">
        <f>CLIENTS_CHURN345[[#This Row],[Duree_Cumulee_Panne_Min]]/60</f>
        <v>1</v>
      </c>
      <c r="K499" t="str">
        <f>IF(CLIENTS_CHURN345[[#This Row],[Type_Forfait]]="Pro Monde","B2B","B2C")</f>
        <v>B2C</v>
      </c>
      <c r="L499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499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499" s="1">
        <f>CLIENTS_CHURN345[[#This Row],[Facture_Mensuelle]]*CLIENTS_CHURN345[[#This Row],[Colonne12]]</f>
        <v>26.226000000000003</v>
      </c>
    </row>
    <row r="500" spans="1:14">
      <c r="A500" s="1" t="s">
        <v>191</v>
      </c>
      <c r="B500" t="s">
        <v>196</v>
      </c>
      <c r="C500" t="s">
        <v>107</v>
      </c>
      <c r="D500">
        <v>92</v>
      </c>
      <c r="E500" t="s">
        <v>11</v>
      </c>
      <c r="F500">
        <v>487</v>
      </c>
      <c r="G500">
        <v>58.38</v>
      </c>
      <c r="H500">
        <v>1</v>
      </c>
      <c r="I500">
        <f>CLIENTS_CHURN345[[#This Row],[Anciennete_Mois]]/12</f>
        <v>7.666666666666667</v>
      </c>
      <c r="J500">
        <f>CLIENTS_CHURN345[[#This Row],[Duree_Cumulee_Panne_Min]]/60</f>
        <v>8.1166666666666671</v>
      </c>
      <c r="K500" t="str">
        <f>IF(CLIENTS_CHURN345[[#This Row],[Type_Forfait]]="Pro Monde","B2B","B2C")</f>
        <v>B2B</v>
      </c>
      <c r="L500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00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00" s="1">
        <f>CLIENTS_CHURN345[[#This Row],[Facture_Mensuelle]]*CLIENTS_CHURN345[[#This Row],[Colonne12]]</f>
        <v>26.271000000000001</v>
      </c>
    </row>
    <row r="501" spans="1:14">
      <c r="A501" s="1" t="s">
        <v>242</v>
      </c>
      <c r="B501" t="s">
        <v>277</v>
      </c>
      <c r="C501" t="s">
        <v>76</v>
      </c>
      <c r="D501">
        <v>108</v>
      </c>
      <c r="E501" t="s">
        <v>32</v>
      </c>
      <c r="F501">
        <v>323</v>
      </c>
      <c r="G501">
        <v>58.54</v>
      </c>
      <c r="H501">
        <v>2</v>
      </c>
      <c r="I501">
        <f>CLIENTS_CHURN345[[#This Row],[Anciennete_Mois]]/12</f>
        <v>9</v>
      </c>
      <c r="J501">
        <f>CLIENTS_CHURN345[[#This Row],[Duree_Cumulee_Panne_Min]]/60</f>
        <v>5.3833333333333337</v>
      </c>
      <c r="K501" t="str">
        <f>IF(CLIENTS_CHURN345[[#This Row],[Type_Forfait]]="Pro Monde","B2B","B2C")</f>
        <v>B2C</v>
      </c>
      <c r="L501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01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01" s="1">
        <f>CLIENTS_CHURN345[[#This Row],[Facture_Mensuelle]]*CLIENTS_CHURN345[[#This Row],[Colonne12]]</f>
        <v>26.343</v>
      </c>
    </row>
    <row r="502" spans="1:14">
      <c r="A502" s="1" t="s">
        <v>8</v>
      </c>
      <c r="B502" t="s">
        <v>68</v>
      </c>
      <c r="C502" t="s">
        <v>29</v>
      </c>
      <c r="D502">
        <v>35</v>
      </c>
      <c r="E502" t="s">
        <v>11</v>
      </c>
      <c r="F502">
        <v>465</v>
      </c>
      <c r="G502">
        <v>58.59</v>
      </c>
      <c r="H502">
        <v>5</v>
      </c>
      <c r="I502">
        <f>CLIENTS_CHURN345[[#This Row],[Anciennete_Mois]]/12</f>
        <v>2.9166666666666665</v>
      </c>
      <c r="J502">
        <f>CLIENTS_CHURN345[[#This Row],[Duree_Cumulee_Panne_Min]]/60</f>
        <v>7.75</v>
      </c>
      <c r="K502" t="str">
        <f>IF(CLIENTS_CHURN345[[#This Row],[Type_Forfait]]="Pro Monde","B2B","B2C")</f>
        <v>B2B</v>
      </c>
      <c r="L502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02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02" s="1">
        <f>CLIENTS_CHURN345[[#This Row],[Facture_Mensuelle]]*CLIENTS_CHURN345[[#This Row],[Colonne12]]</f>
        <v>26.365500000000001</v>
      </c>
    </row>
    <row r="503" spans="1:14">
      <c r="A503" s="1" t="s">
        <v>8</v>
      </c>
      <c r="B503" t="s">
        <v>48</v>
      </c>
      <c r="C503" t="s">
        <v>36</v>
      </c>
      <c r="D503">
        <v>44</v>
      </c>
      <c r="E503" t="s">
        <v>14</v>
      </c>
      <c r="F503">
        <v>348</v>
      </c>
      <c r="G503">
        <v>58.67</v>
      </c>
      <c r="H503">
        <v>0</v>
      </c>
      <c r="I503">
        <f>CLIENTS_CHURN345[[#This Row],[Anciennete_Mois]]/12</f>
        <v>3.6666666666666665</v>
      </c>
      <c r="J503">
        <f>CLIENTS_CHURN345[[#This Row],[Duree_Cumulee_Panne_Min]]/60</f>
        <v>5.8</v>
      </c>
      <c r="K503" t="str">
        <f>IF(CLIENTS_CHURN345[[#This Row],[Type_Forfait]]="Pro Monde","B2B","B2C")</f>
        <v>B2C</v>
      </c>
      <c r="L503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03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03" s="1">
        <f>CLIENTS_CHURN345[[#This Row],[Facture_Mensuelle]]*CLIENTS_CHURN345[[#This Row],[Colonne12]]</f>
        <v>26.401500000000002</v>
      </c>
    </row>
    <row r="504" spans="1:14">
      <c r="A504" s="1" t="s">
        <v>756</v>
      </c>
      <c r="B504" t="s">
        <v>785</v>
      </c>
      <c r="C504" t="s">
        <v>92</v>
      </c>
      <c r="D504">
        <v>42</v>
      </c>
      <c r="E504" t="s">
        <v>14</v>
      </c>
      <c r="F504">
        <v>252</v>
      </c>
      <c r="G504">
        <v>59.46</v>
      </c>
      <c r="H504">
        <v>4</v>
      </c>
      <c r="I504">
        <f>CLIENTS_CHURN345[[#This Row],[Anciennete_Mois]]/12</f>
        <v>3.5</v>
      </c>
      <c r="J504">
        <f>CLIENTS_CHURN345[[#This Row],[Duree_Cumulee_Panne_Min]]/60</f>
        <v>4.2</v>
      </c>
      <c r="K504" t="str">
        <f>IF(CLIENTS_CHURN345[[#This Row],[Type_Forfait]]="Pro Monde","B2B","B2C")</f>
        <v>B2C</v>
      </c>
      <c r="L504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04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04" s="1">
        <f>CLIENTS_CHURN345[[#This Row],[Facture_Mensuelle]]*CLIENTS_CHURN345[[#This Row],[Colonne12]]</f>
        <v>26.757000000000001</v>
      </c>
    </row>
    <row r="505" spans="1:14">
      <c r="A505" s="1" t="s">
        <v>499</v>
      </c>
      <c r="B505" t="s">
        <v>527</v>
      </c>
      <c r="C505" t="s">
        <v>52</v>
      </c>
      <c r="D505">
        <v>55</v>
      </c>
      <c r="E505" t="s">
        <v>14</v>
      </c>
      <c r="F505">
        <v>355</v>
      </c>
      <c r="G505">
        <v>59.65</v>
      </c>
      <c r="H505">
        <v>0</v>
      </c>
      <c r="I505">
        <f>CLIENTS_CHURN345[[#This Row],[Anciennete_Mois]]/12</f>
        <v>4.583333333333333</v>
      </c>
      <c r="J505">
        <f>CLIENTS_CHURN345[[#This Row],[Duree_Cumulee_Panne_Min]]/60</f>
        <v>5.916666666666667</v>
      </c>
      <c r="K505" t="str">
        <f>IF(CLIENTS_CHURN345[[#This Row],[Type_Forfait]]="Pro Monde","B2B","B2C")</f>
        <v>B2C</v>
      </c>
      <c r="L505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05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05" s="1">
        <f>CLIENTS_CHURN345[[#This Row],[Facture_Mensuelle]]*CLIENTS_CHURN345[[#This Row],[Colonne12]]</f>
        <v>26.842500000000001</v>
      </c>
    </row>
    <row r="506" spans="1:14">
      <c r="A506" s="1" t="s">
        <v>499</v>
      </c>
      <c r="B506" t="s">
        <v>524</v>
      </c>
      <c r="C506" t="s">
        <v>29</v>
      </c>
      <c r="D506">
        <v>80</v>
      </c>
      <c r="E506" t="s">
        <v>11</v>
      </c>
      <c r="F506">
        <v>339</v>
      </c>
      <c r="G506">
        <v>59.87</v>
      </c>
      <c r="H506">
        <v>0</v>
      </c>
      <c r="I506">
        <f>CLIENTS_CHURN345[[#This Row],[Anciennete_Mois]]/12</f>
        <v>6.666666666666667</v>
      </c>
      <c r="J506">
        <f>CLIENTS_CHURN345[[#This Row],[Duree_Cumulee_Panne_Min]]/60</f>
        <v>5.65</v>
      </c>
      <c r="K506" t="str">
        <f>IF(CLIENTS_CHURN345[[#This Row],[Type_Forfait]]="Pro Monde","B2B","B2C")</f>
        <v>B2B</v>
      </c>
      <c r="L506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06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06" s="1">
        <f>CLIENTS_CHURN345[[#This Row],[Facture_Mensuelle]]*CLIENTS_CHURN345[[#This Row],[Colonne12]]</f>
        <v>26.941499999999998</v>
      </c>
    </row>
    <row r="507" spans="1:14">
      <c r="A507" s="1" t="s">
        <v>344</v>
      </c>
      <c r="B507" t="s">
        <v>353</v>
      </c>
      <c r="C507" t="s">
        <v>71</v>
      </c>
      <c r="D507">
        <v>106</v>
      </c>
      <c r="E507" t="s">
        <v>21</v>
      </c>
      <c r="F507">
        <v>407</v>
      </c>
      <c r="G507">
        <v>59.92</v>
      </c>
      <c r="H507">
        <v>4</v>
      </c>
      <c r="I507">
        <f>CLIENTS_CHURN345[[#This Row],[Anciennete_Mois]]/12</f>
        <v>8.8333333333333339</v>
      </c>
      <c r="J507">
        <f>CLIENTS_CHURN345[[#This Row],[Duree_Cumulee_Panne_Min]]/60</f>
        <v>6.7833333333333332</v>
      </c>
      <c r="K507" t="str">
        <f>IF(CLIENTS_CHURN345[[#This Row],[Type_Forfait]]="Pro Monde","B2B","B2C")</f>
        <v>B2C</v>
      </c>
      <c r="L507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07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07" s="1">
        <f>CLIENTS_CHURN345[[#This Row],[Facture_Mensuelle]]*CLIENTS_CHURN345[[#This Row],[Colonne12]]</f>
        <v>26.964000000000002</v>
      </c>
    </row>
    <row r="508" spans="1:14">
      <c r="A508" s="1" t="s">
        <v>85</v>
      </c>
      <c r="B508" t="s">
        <v>118</v>
      </c>
      <c r="C508" t="s">
        <v>20</v>
      </c>
      <c r="D508">
        <v>12</v>
      </c>
      <c r="E508" t="s">
        <v>11</v>
      </c>
      <c r="F508">
        <v>305</v>
      </c>
      <c r="G508">
        <v>59.96</v>
      </c>
      <c r="H508">
        <v>3</v>
      </c>
      <c r="I508">
        <f>CLIENTS_CHURN345[[#This Row],[Anciennete_Mois]]/12</f>
        <v>1</v>
      </c>
      <c r="J508">
        <f>CLIENTS_CHURN345[[#This Row],[Duree_Cumulee_Panne_Min]]/60</f>
        <v>5.083333333333333</v>
      </c>
      <c r="K508" t="str">
        <f>IF(CLIENTS_CHURN345[[#This Row],[Type_Forfait]]="Pro Monde","B2B","B2C")</f>
        <v>B2B</v>
      </c>
      <c r="L508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08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08" s="1">
        <f>CLIENTS_CHURN345[[#This Row],[Facture_Mensuelle]]*CLIENTS_CHURN345[[#This Row],[Colonne12]]</f>
        <v>26.981999999999999</v>
      </c>
    </row>
    <row r="509" spans="1:14">
      <c r="A509" s="1" t="s">
        <v>499</v>
      </c>
      <c r="B509" t="s">
        <v>546</v>
      </c>
      <c r="C509" t="s">
        <v>16</v>
      </c>
      <c r="D509">
        <v>103</v>
      </c>
      <c r="E509" t="s">
        <v>21</v>
      </c>
      <c r="F509">
        <v>291</v>
      </c>
      <c r="G509">
        <v>60.34</v>
      </c>
      <c r="H509">
        <v>5</v>
      </c>
      <c r="I509">
        <f>CLIENTS_CHURN345[[#This Row],[Anciennete_Mois]]/12</f>
        <v>8.5833333333333339</v>
      </c>
      <c r="J509">
        <f>CLIENTS_CHURN345[[#This Row],[Duree_Cumulee_Panne_Min]]/60</f>
        <v>4.8499999999999996</v>
      </c>
      <c r="K509" t="str">
        <f>IF(CLIENTS_CHURN345[[#This Row],[Type_Forfait]]="Pro Monde","B2B","B2C")</f>
        <v>B2C</v>
      </c>
      <c r="L509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09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09" s="1">
        <f>CLIENTS_CHURN345[[#This Row],[Facture_Mensuelle]]*CLIENTS_CHURN345[[#This Row],[Colonne12]]</f>
        <v>27.153000000000002</v>
      </c>
    </row>
    <row r="510" spans="1:14">
      <c r="A510" s="1" t="s">
        <v>140</v>
      </c>
      <c r="B510" t="s">
        <v>168</v>
      </c>
      <c r="C510" t="s">
        <v>92</v>
      </c>
      <c r="D510">
        <v>36</v>
      </c>
      <c r="E510" t="s">
        <v>32</v>
      </c>
      <c r="F510">
        <v>400</v>
      </c>
      <c r="G510">
        <v>60.35</v>
      </c>
      <c r="H510">
        <v>1</v>
      </c>
      <c r="I510">
        <f>CLIENTS_CHURN345[[#This Row],[Anciennete_Mois]]/12</f>
        <v>3</v>
      </c>
      <c r="J510">
        <f>CLIENTS_CHURN345[[#This Row],[Duree_Cumulee_Panne_Min]]/60</f>
        <v>6.666666666666667</v>
      </c>
      <c r="K510" t="str">
        <f>IF(CLIENTS_CHURN345[[#This Row],[Type_Forfait]]="Pro Monde","B2B","B2C")</f>
        <v>B2C</v>
      </c>
      <c r="L510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10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10" s="1">
        <f>CLIENTS_CHURN345[[#This Row],[Facture_Mensuelle]]*CLIENTS_CHURN345[[#This Row],[Colonne12]]</f>
        <v>27.157500000000002</v>
      </c>
    </row>
    <row r="511" spans="1:14">
      <c r="A511" s="1" t="s">
        <v>344</v>
      </c>
      <c r="B511" t="s">
        <v>372</v>
      </c>
      <c r="C511" t="s">
        <v>29</v>
      </c>
      <c r="D511">
        <v>65</v>
      </c>
      <c r="E511" t="s">
        <v>14</v>
      </c>
      <c r="F511">
        <v>442</v>
      </c>
      <c r="G511">
        <v>60.62</v>
      </c>
      <c r="H511">
        <v>5</v>
      </c>
      <c r="I511">
        <f>CLIENTS_CHURN345[[#This Row],[Anciennete_Mois]]/12</f>
        <v>5.416666666666667</v>
      </c>
      <c r="J511">
        <f>CLIENTS_CHURN345[[#This Row],[Duree_Cumulee_Panne_Min]]/60</f>
        <v>7.3666666666666663</v>
      </c>
      <c r="K511" t="str">
        <f>IF(CLIENTS_CHURN345[[#This Row],[Type_Forfait]]="Pro Monde","B2B","B2C")</f>
        <v>B2C</v>
      </c>
      <c r="L511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11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11" s="1">
        <f>CLIENTS_CHURN345[[#This Row],[Facture_Mensuelle]]*CLIENTS_CHURN345[[#This Row],[Colonne12]]</f>
        <v>27.279</v>
      </c>
    </row>
    <row r="512" spans="1:14">
      <c r="A512" s="1" t="s">
        <v>140</v>
      </c>
      <c r="B512" t="s">
        <v>151</v>
      </c>
      <c r="C512" t="s">
        <v>13</v>
      </c>
      <c r="D512">
        <v>7</v>
      </c>
      <c r="E512" t="s">
        <v>32</v>
      </c>
      <c r="F512">
        <v>303</v>
      </c>
      <c r="G512">
        <v>60.95</v>
      </c>
      <c r="H512">
        <v>0</v>
      </c>
      <c r="I512">
        <f>CLIENTS_CHURN345[[#This Row],[Anciennete_Mois]]/12</f>
        <v>0.58333333333333337</v>
      </c>
      <c r="J512">
        <f>CLIENTS_CHURN345[[#This Row],[Duree_Cumulee_Panne_Min]]/60</f>
        <v>5.05</v>
      </c>
      <c r="K512" t="str">
        <f>IF(CLIENTS_CHURN345[[#This Row],[Type_Forfait]]="Pro Monde","B2B","B2C")</f>
        <v>B2C</v>
      </c>
      <c r="L512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12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12" s="1">
        <f>CLIENTS_CHURN345[[#This Row],[Facture_Mensuelle]]*CLIENTS_CHURN345[[#This Row],[Colonne12]]</f>
        <v>27.427500000000002</v>
      </c>
    </row>
    <row r="513" spans="1:14">
      <c r="A513" s="1" t="s">
        <v>191</v>
      </c>
      <c r="B513" t="s">
        <v>238</v>
      </c>
      <c r="C513" t="s">
        <v>24</v>
      </c>
      <c r="D513">
        <v>29</v>
      </c>
      <c r="E513" t="s">
        <v>21</v>
      </c>
      <c r="F513">
        <v>416</v>
      </c>
      <c r="G513">
        <v>61.26</v>
      </c>
      <c r="H513">
        <v>0</v>
      </c>
      <c r="I513">
        <f>CLIENTS_CHURN345[[#This Row],[Anciennete_Mois]]/12</f>
        <v>2.4166666666666665</v>
      </c>
      <c r="J513">
        <f>CLIENTS_CHURN345[[#This Row],[Duree_Cumulee_Panne_Min]]/60</f>
        <v>6.9333333333333336</v>
      </c>
      <c r="K513" t="str">
        <f>IF(CLIENTS_CHURN345[[#This Row],[Type_Forfait]]="Pro Monde","B2B","B2C")</f>
        <v>B2C</v>
      </c>
      <c r="L513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13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13" s="1">
        <f>CLIENTS_CHURN345[[#This Row],[Facture_Mensuelle]]*CLIENTS_CHURN345[[#This Row],[Colonne12]]</f>
        <v>27.567</v>
      </c>
    </row>
    <row r="514" spans="1:14">
      <c r="A514" s="1" t="s">
        <v>447</v>
      </c>
      <c r="B514" t="s">
        <v>455</v>
      </c>
      <c r="C514" t="s">
        <v>52</v>
      </c>
      <c r="D514">
        <v>47</v>
      </c>
      <c r="E514" t="s">
        <v>11</v>
      </c>
      <c r="F514">
        <v>328</v>
      </c>
      <c r="G514">
        <v>61.27</v>
      </c>
      <c r="H514">
        <v>3</v>
      </c>
      <c r="I514">
        <f>CLIENTS_CHURN345[[#This Row],[Anciennete_Mois]]/12</f>
        <v>3.9166666666666665</v>
      </c>
      <c r="J514">
        <f>CLIENTS_CHURN345[[#This Row],[Duree_Cumulee_Panne_Min]]/60</f>
        <v>5.4666666666666668</v>
      </c>
      <c r="K514" t="str">
        <f>IF(CLIENTS_CHURN345[[#This Row],[Type_Forfait]]="Pro Monde","B2B","B2C")</f>
        <v>B2B</v>
      </c>
      <c r="L514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14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14" s="1">
        <f>CLIENTS_CHURN345[[#This Row],[Facture_Mensuelle]]*CLIENTS_CHURN345[[#This Row],[Colonne12]]</f>
        <v>27.5715</v>
      </c>
    </row>
    <row r="515" spans="1:14">
      <c r="A515" s="1" t="s">
        <v>344</v>
      </c>
      <c r="B515" t="s">
        <v>394</v>
      </c>
      <c r="C515" t="s">
        <v>107</v>
      </c>
      <c r="D515">
        <v>14</v>
      </c>
      <c r="E515" t="s">
        <v>11</v>
      </c>
      <c r="F515">
        <v>303</v>
      </c>
      <c r="G515">
        <v>61.43</v>
      </c>
      <c r="H515">
        <v>1</v>
      </c>
      <c r="I515">
        <f>CLIENTS_CHURN345[[#This Row],[Anciennete_Mois]]/12</f>
        <v>1.1666666666666667</v>
      </c>
      <c r="J515">
        <f>CLIENTS_CHURN345[[#This Row],[Duree_Cumulee_Panne_Min]]/60</f>
        <v>5.05</v>
      </c>
      <c r="K515" t="str">
        <f>IF(CLIENTS_CHURN345[[#This Row],[Type_Forfait]]="Pro Monde","B2B","B2C")</f>
        <v>B2B</v>
      </c>
      <c r="L515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15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15" s="1">
        <f>CLIENTS_CHURN345[[#This Row],[Facture_Mensuelle]]*CLIENTS_CHURN345[[#This Row],[Colonne12]]</f>
        <v>27.6435</v>
      </c>
    </row>
    <row r="516" spans="1:14">
      <c r="A516" s="1" t="s">
        <v>344</v>
      </c>
      <c r="B516" t="s">
        <v>354</v>
      </c>
      <c r="C516" t="s">
        <v>26</v>
      </c>
      <c r="D516">
        <v>120</v>
      </c>
      <c r="E516" t="s">
        <v>21</v>
      </c>
      <c r="F516">
        <v>242</v>
      </c>
      <c r="G516">
        <v>61.54</v>
      </c>
      <c r="H516">
        <v>1</v>
      </c>
      <c r="I516">
        <f>CLIENTS_CHURN345[[#This Row],[Anciennete_Mois]]/12</f>
        <v>10</v>
      </c>
      <c r="J516">
        <f>CLIENTS_CHURN345[[#This Row],[Duree_Cumulee_Panne_Min]]/60</f>
        <v>4.0333333333333332</v>
      </c>
      <c r="K516" t="str">
        <f>IF(CLIENTS_CHURN345[[#This Row],[Type_Forfait]]="Pro Monde","B2B","B2C")</f>
        <v>B2C</v>
      </c>
      <c r="L516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16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16" s="1">
        <f>CLIENTS_CHURN345[[#This Row],[Facture_Mensuelle]]*CLIENTS_CHURN345[[#This Row],[Colonne12]]</f>
        <v>27.693000000000001</v>
      </c>
    </row>
    <row r="517" spans="1:14">
      <c r="A517" s="1" t="s">
        <v>8</v>
      </c>
      <c r="B517" t="s">
        <v>60</v>
      </c>
      <c r="C517" t="s">
        <v>61</v>
      </c>
      <c r="D517">
        <v>6</v>
      </c>
      <c r="E517" t="s">
        <v>32</v>
      </c>
      <c r="F517">
        <v>207</v>
      </c>
      <c r="G517">
        <v>61.55</v>
      </c>
      <c r="H517">
        <v>0</v>
      </c>
      <c r="I517">
        <f>CLIENTS_CHURN345[[#This Row],[Anciennete_Mois]]/12</f>
        <v>0.5</v>
      </c>
      <c r="J517">
        <f>CLIENTS_CHURN345[[#This Row],[Duree_Cumulee_Panne_Min]]/60</f>
        <v>3.45</v>
      </c>
      <c r="K517" t="str">
        <f>IF(CLIENTS_CHURN345[[#This Row],[Type_Forfait]]="Pro Monde","B2B","B2C")</f>
        <v>B2C</v>
      </c>
      <c r="L517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17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17" s="1">
        <f>CLIENTS_CHURN345[[#This Row],[Facture_Mensuelle]]*CLIENTS_CHURN345[[#This Row],[Colonne12]]</f>
        <v>27.697499999999998</v>
      </c>
    </row>
    <row r="518" spans="1:14">
      <c r="A518" s="1" t="s">
        <v>344</v>
      </c>
      <c r="B518" t="s">
        <v>393</v>
      </c>
      <c r="C518" t="s">
        <v>10</v>
      </c>
      <c r="D518">
        <v>87</v>
      </c>
      <c r="E518" t="s">
        <v>21</v>
      </c>
      <c r="F518">
        <v>498</v>
      </c>
      <c r="G518">
        <v>61.57</v>
      </c>
      <c r="H518">
        <v>0</v>
      </c>
      <c r="I518">
        <f>CLIENTS_CHURN345[[#This Row],[Anciennete_Mois]]/12</f>
        <v>7.25</v>
      </c>
      <c r="J518">
        <f>CLIENTS_CHURN345[[#This Row],[Duree_Cumulee_Panne_Min]]/60</f>
        <v>8.3000000000000007</v>
      </c>
      <c r="K518" t="str">
        <f>IF(CLIENTS_CHURN345[[#This Row],[Type_Forfait]]="Pro Monde","B2B","B2C")</f>
        <v>B2C</v>
      </c>
      <c r="L518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18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18" s="1">
        <f>CLIENTS_CHURN345[[#This Row],[Facture_Mensuelle]]*CLIENTS_CHURN345[[#This Row],[Colonne12]]</f>
        <v>27.706500000000002</v>
      </c>
    </row>
    <row r="519" spans="1:14">
      <c r="A519" s="1" t="s">
        <v>191</v>
      </c>
      <c r="B519" t="s">
        <v>207</v>
      </c>
      <c r="C519" t="s">
        <v>10</v>
      </c>
      <c r="D519">
        <v>97</v>
      </c>
      <c r="E519" t="s">
        <v>14</v>
      </c>
      <c r="F519">
        <v>484</v>
      </c>
      <c r="G519">
        <v>61.98</v>
      </c>
      <c r="H519">
        <v>1</v>
      </c>
      <c r="I519">
        <f>CLIENTS_CHURN345[[#This Row],[Anciennete_Mois]]/12</f>
        <v>8.0833333333333339</v>
      </c>
      <c r="J519">
        <f>CLIENTS_CHURN345[[#This Row],[Duree_Cumulee_Panne_Min]]/60</f>
        <v>8.0666666666666664</v>
      </c>
      <c r="K519" t="str">
        <f>IF(CLIENTS_CHURN345[[#This Row],[Type_Forfait]]="Pro Monde","B2B","B2C")</f>
        <v>B2C</v>
      </c>
      <c r="L519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19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19" s="1">
        <f>CLIENTS_CHURN345[[#This Row],[Facture_Mensuelle]]*CLIENTS_CHURN345[[#This Row],[Colonne12]]</f>
        <v>27.890999999999998</v>
      </c>
    </row>
    <row r="520" spans="1:14">
      <c r="A520" s="1" t="s">
        <v>8</v>
      </c>
      <c r="B520" t="s">
        <v>62</v>
      </c>
      <c r="C520" t="s">
        <v>63</v>
      </c>
      <c r="D520">
        <v>14</v>
      </c>
      <c r="E520" t="s">
        <v>11</v>
      </c>
      <c r="F520">
        <v>316</v>
      </c>
      <c r="G520">
        <v>62.34</v>
      </c>
      <c r="H520">
        <v>4</v>
      </c>
      <c r="I520">
        <f>CLIENTS_CHURN345[[#This Row],[Anciennete_Mois]]/12</f>
        <v>1.1666666666666667</v>
      </c>
      <c r="J520">
        <f>CLIENTS_CHURN345[[#This Row],[Duree_Cumulee_Panne_Min]]/60</f>
        <v>5.2666666666666666</v>
      </c>
      <c r="K520" t="str">
        <f>IF(CLIENTS_CHURN345[[#This Row],[Type_Forfait]]="Pro Monde","B2B","B2C")</f>
        <v>B2B</v>
      </c>
      <c r="L520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20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20" s="1">
        <f>CLIENTS_CHURN345[[#This Row],[Facture_Mensuelle]]*CLIENTS_CHURN345[[#This Row],[Colonne12]]</f>
        <v>28.053000000000001</v>
      </c>
    </row>
    <row r="521" spans="1:14">
      <c r="A521" s="1" t="s">
        <v>653</v>
      </c>
      <c r="B521" t="s">
        <v>688</v>
      </c>
      <c r="C521" t="s">
        <v>45</v>
      </c>
      <c r="D521">
        <v>111</v>
      </c>
      <c r="E521" t="s">
        <v>32</v>
      </c>
      <c r="F521">
        <v>304</v>
      </c>
      <c r="G521">
        <v>62.48</v>
      </c>
      <c r="H521">
        <v>5</v>
      </c>
      <c r="I521">
        <f>CLIENTS_CHURN345[[#This Row],[Anciennete_Mois]]/12</f>
        <v>9.25</v>
      </c>
      <c r="J521">
        <f>CLIENTS_CHURN345[[#This Row],[Duree_Cumulee_Panne_Min]]/60</f>
        <v>5.0666666666666664</v>
      </c>
      <c r="K521" t="str">
        <f>IF(CLIENTS_CHURN345[[#This Row],[Type_Forfait]]="Pro Monde","B2B","B2C")</f>
        <v>B2C</v>
      </c>
      <c r="L521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21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21" s="1">
        <f>CLIENTS_CHURN345[[#This Row],[Facture_Mensuelle]]*CLIENTS_CHURN345[[#This Row],[Colonne12]]</f>
        <v>28.116</v>
      </c>
    </row>
    <row r="522" spans="1:14">
      <c r="A522" s="1" t="s">
        <v>140</v>
      </c>
      <c r="B522" t="s">
        <v>164</v>
      </c>
      <c r="C522" t="s">
        <v>24</v>
      </c>
      <c r="D522">
        <v>33</v>
      </c>
      <c r="E522" t="s">
        <v>21</v>
      </c>
      <c r="F522">
        <v>337</v>
      </c>
      <c r="G522">
        <v>62.61</v>
      </c>
      <c r="H522">
        <v>2</v>
      </c>
      <c r="I522">
        <f>CLIENTS_CHURN345[[#This Row],[Anciennete_Mois]]/12</f>
        <v>2.75</v>
      </c>
      <c r="J522">
        <f>CLIENTS_CHURN345[[#This Row],[Duree_Cumulee_Panne_Min]]/60</f>
        <v>5.6166666666666663</v>
      </c>
      <c r="K522" t="str">
        <f>IF(CLIENTS_CHURN345[[#This Row],[Type_Forfait]]="Pro Monde","B2B","B2C")</f>
        <v>B2C</v>
      </c>
      <c r="L522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22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22" s="1">
        <f>CLIENTS_CHURN345[[#This Row],[Facture_Mensuelle]]*CLIENTS_CHURN345[[#This Row],[Colonne12]]</f>
        <v>28.174500000000002</v>
      </c>
    </row>
    <row r="523" spans="1:14">
      <c r="A523" s="1" t="s">
        <v>602</v>
      </c>
      <c r="B523" t="s">
        <v>636</v>
      </c>
      <c r="C523" t="s">
        <v>107</v>
      </c>
      <c r="D523">
        <v>116</v>
      </c>
      <c r="E523" t="s">
        <v>32</v>
      </c>
      <c r="F523">
        <v>279</v>
      </c>
      <c r="G523">
        <v>62.88</v>
      </c>
      <c r="H523">
        <v>4</v>
      </c>
      <c r="I523">
        <f>CLIENTS_CHURN345[[#This Row],[Anciennete_Mois]]/12</f>
        <v>9.6666666666666661</v>
      </c>
      <c r="J523">
        <f>CLIENTS_CHURN345[[#This Row],[Duree_Cumulee_Panne_Min]]/60</f>
        <v>4.6500000000000004</v>
      </c>
      <c r="K523" t="str">
        <f>IF(CLIENTS_CHURN345[[#This Row],[Type_Forfait]]="Pro Monde","B2B","B2C")</f>
        <v>B2C</v>
      </c>
      <c r="L523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23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23" s="1">
        <f>CLIENTS_CHURN345[[#This Row],[Facture_Mensuelle]]*CLIENTS_CHURN345[[#This Row],[Colonne12]]</f>
        <v>28.296000000000003</v>
      </c>
    </row>
    <row r="524" spans="1:14">
      <c r="A524" s="1" t="s">
        <v>602</v>
      </c>
      <c r="B524" t="s">
        <v>641</v>
      </c>
      <c r="C524" t="s">
        <v>29</v>
      </c>
      <c r="D524">
        <v>13</v>
      </c>
      <c r="E524" t="s">
        <v>11</v>
      </c>
      <c r="F524">
        <v>474</v>
      </c>
      <c r="G524">
        <v>63.67</v>
      </c>
      <c r="H524">
        <v>2</v>
      </c>
      <c r="I524">
        <f>CLIENTS_CHURN345[[#This Row],[Anciennete_Mois]]/12</f>
        <v>1.0833333333333333</v>
      </c>
      <c r="J524">
        <f>CLIENTS_CHURN345[[#This Row],[Duree_Cumulee_Panne_Min]]/60</f>
        <v>7.9</v>
      </c>
      <c r="K524" t="str">
        <f>IF(CLIENTS_CHURN345[[#This Row],[Type_Forfait]]="Pro Monde","B2B","B2C")</f>
        <v>B2B</v>
      </c>
      <c r="L524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24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24" s="1">
        <f>CLIENTS_CHURN345[[#This Row],[Facture_Mensuelle]]*CLIENTS_CHURN345[[#This Row],[Colonne12]]</f>
        <v>28.651500000000002</v>
      </c>
    </row>
    <row r="525" spans="1:14">
      <c r="A525" s="1" t="s">
        <v>242</v>
      </c>
      <c r="B525" t="s">
        <v>275</v>
      </c>
      <c r="C525" t="s">
        <v>36</v>
      </c>
      <c r="D525">
        <v>60</v>
      </c>
      <c r="E525" t="s">
        <v>14</v>
      </c>
      <c r="F525">
        <v>306</v>
      </c>
      <c r="G525">
        <v>63.83</v>
      </c>
      <c r="H525">
        <v>2</v>
      </c>
      <c r="I525">
        <f>CLIENTS_CHURN345[[#This Row],[Anciennete_Mois]]/12</f>
        <v>5</v>
      </c>
      <c r="J525">
        <f>CLIENTS_CHURN345[[#This Row],[Duree_Cumulee_Panne_Min]]/60</f>
        <v>5.0999999999999996</v>
      </c>
      <c r="K525" t="str">
        <f>IF(CLIENTS_CHURN345[[#This Row],[Type_Forfait]]="Pro Monde","B2B","B2C")</f>
        <v>B2C</v>
      </c>
      <c r="L525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25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25" s="1">
        <f>CLIENTS_CHURN345[[#This Row],[Facture_Mensuelle]]*CLIENTS_CHURN345[[#This Row],[Colonne12]]</f>
        <v>28.723500000000001</v>
      </c>
    </row>
    <row r="526" spans="1:14">
      <c r="A526" s="1" t="s">
        <v>344</v>
      </c>
      <c r="B526" t="s">
        <v>365</v>
      </c>
      <c r="C526" t="s">
        <v>92</v>
      </c>
      <c r="D526">
        <v>109</v>
      </c>
      <c r="E526" t="s">
        <v>11</v>
      </c>
      <c r="F526">
        <v>397</v>
      </c>
      <c r="G526">
        <v>63.92</v>
      </c>
      <c r="H526">
        <v>1</v>
      </c>
      <c r="I526">
        <f>CLIENTS_CHURN345[[#This Row],[Anciennete_Mois]]/12</f>
        <v>9.0833333333333339</v>
      </c>
      <c r="J526">
        <f>CLIENTS_CHURN345[[#This Row],[Duree_Cumulee_Panne_Min]]/60</f>
        <v>6.6166666666666663</v>
      </c>
      <c r="K526" t="str">
        <f>IF(CLIENTS_CHURN345[[#This Row],[Type_Forfait]]="Pro Monde","B2B","B2C")</f>
        <v>B2B</v>
      </c>
      <c r="L526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26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26" s="1">
        <f>CLIENTS_CHURN345[[#This Row],[Facture_Mensuelle]]*CLIENTS_CHURN345[[#This Row],[Colonne12]]</f>
        <v>28.764000000000003</v>
      </c>
    </row>
    <row r="527" spans="1:14">
      <c r="A527" s="1" t="s">
        <v>756</v>
      </c>
      <c r="B527" t="s">
        <v>794</v>
      </c>
      <c r="C527" t="s">
        <v>24</v>
      </c>
      <c r="D527">
        <v>102</v>
      </c>
      <c r="E527" t="s">
        <v>14</v>
      </c>
      <c r="F527">
        <v>484</v>
      </c>
      <c r="G527">
        <v>64.22</v>
      </c>
      <c r="H527">
        <v>2</v>
      </c>
      <c r="I527">
        <f>CLIENTS_CHURN345[[#This Row],[Anciennete_Mois]]/12</f>
        <v>8.5</v>
      </c>
      <c r="J527">
        <f>CLIENTS_CHURN345[[#This Row],[Duree_Cumulee_Panne_Min]]/60</f>
        <v>8.0666666666666664</v>
      </c>
      <c r="K527" t="str">
        <f>IF(CLIENTS_CHURN345[[#This Row],[Type_Forfait]]="Pro Monde","B2B","B2C")</f>
        <v>B2C</v>
      </c>
      <c r="L527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27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27" s="1">
        <f>CLIENTS_CHURN345[[#This Row],[Facture_Mensuelle]]*CLIENTS_CHURN345[[#This Row],[Colonne12]]</f>
        <v>28.899000000000001</v>
      </c>
    </row>
    <row r="528" spans="1:14">
      <c r="A528" s="1" t="s">
        <v>191</v>
      </c>
      <c r="B528" t="s">
        <v>225</v>
      </c>
      <c r="C528" t="s">
        <v>111</v>
      </c>
      <c r="D528">
        <v>75</v>
      </c>
      <c r="E528" t="s">
        <v>11</v>
      </c>
      <c r="F528">
        <v>242</v>
      </c>
      <c r="G528">
        <v>64.27</v>
      </c>
      <c r="H528">
        <v>2</v>
      </c>
      <c r="I528">
        <f>CLIENTS_CHURN345[[#This Row],[Anciennete_Mois]]/12</f>
        <v>6.25</v>
      </c>
      <c r="J528">
        <f>CLIENTS_CHURN345[[#This Row],[Duree_Cumulee_Panne_Min]]/60</f>
        <v>4.0333333333333332</v>
      </c>
      <c r="K528" t="str">
        <f>IF(CLIENTS_CHURN345[[#This Row],[Type_Forfait]]="Pro Monde","B2B","B2C")</f>
        <v>B2B</v>
      </c>
      <c r="L528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28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28" s="1">
        <f>CLIENTS_CHURN345[[#This Row],[Facture_Mensuelle]]*CLIENTS_CHURN345[[#This Row],[Colonne12]]</f>
        <v>28.921499999999998</v>
      </c>
    </row>
    <row r="529" spans="1:14">
      <c r="A529" s="1" t="s">
        <v>499</v>
      </c>
      <c r="B529" t="s">
        <v>541</v>
      </c>
      <c r="C529" t="s">
        <v>10</v>
      </c>
      <c r="D529">
        <v>58</v>
      </c>
      <c r="E529" t="s">
        <v>32</v>
      </c>
      <c r="F529">
        <v>485</v>
      </c>
      <c r="G529">
        <v>64.290000000000006</v>
      </c>
      <c r="H529">
        <v>4</v>
      </c>
      <c r="I529">
        <f>CLIENTS_CHURN345[[#This Row],[Anciennete_Mois]]/12</f>
        <v>4.833333333333333</v>
      </c>
      <c r="J529">
        <f>CLIENTS_CHURN345[[#This Row],[Duree_Cumulee_Panne_Min]]/60</f>
        <v>8.0833333333333339</v>
      </c>
      <c r="K529" t="str">
        <f>IF(CLIENTS_CHURN345[[#This Row],[Type_Forfait]]="Pro Monde","B2B","B2C")</f>
        <v>B2C</v>
      </c>
      <c r="L529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29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29" s="1">
        <f>CLIENTS_CHURN345[[#This Row],[Facture_Mensuelle]]*CLIENTS_CHURN345[[#This Row],[Colonne12]]</f>
        <v>28.930500000000002</v>
      </c>
    </row>
    <row r="530" spans="1:14">
      <c r="A530" s="1" t="s">
        <v>705</v>
      </c>
      <c r="B530" t="s">
        <v>720</v>
      </c>
      <c r="C530" t="s">
        <v>61</v>
      </c>
      <c r="D530">
        <v>28</v>
      </c>
      <c r="E530" t="s">
        <v>32</v>
      </c>
      <c r="F530">
        <v>343</v>
      </c>
      <c r="G530">
        <v>64.34</v>
      </c>
      <c r="H530">
        <v>5</v>
      </c>
      <c r="I530">
        <f>CLIENTS_CHURN345[[#This Row],[Anciennete_Mois]]/12</f>
        <v>2.3333333333333335</v>
      </c>
      <c r="J530">
        <f>CLIENTS_CHURN345[[#This Row],[Duree_Cumulee_Panne_Min]]/60</f>
        <v>5.7166666666666668</v>
      </c>
      <c r="K530" t="str">
        <f>IF(CLIENTS_CHURN345[[#This Row],[Type_Forfait]]="Pro Monde","B2B","B2C")</f>
        <v>B2C</v>
      </c>
      <c r="L530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30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30" s="1">
        <f>CLIENTS_CHURN345[[#This Row],[Facture_Mensuelle]]*CLIENTS_CHURN345[[#This Row],[Colonne12]]</f>
        <v>28.953000000000003</v>
      </c>
    </row>
    <row r="531" spans="1:14">
      <c r="A531" s="1" t="s">
        <v>756</v>
      </c>
      <c r="B531" t="s">
        <v>799</v>
      </c>
      <c r="C531" t="s">
        <v>61</v>
      </c>
      <c r="D531">
        <v>57</v>
      </c>
      <c r="E531" t="s">
        <v>21</v>
      </c>
      <c r="F531">
        <v>375</v>
      </c>
      <c r="G531">
        <v>64.73</v>
      </c>
      <c r="H531">
        <v>1</v>
      </c>
      <c r="I531">
        <f>CLIENTS_CHURN345[[#This Row],[Anciennete_Mois]]/12</f>
        <v>4.75</v>
      </c>
      <c r="J531">
        <f>CLIENTS_CHURN345[[#This Row],[Duree_Cumulee_Panne_Min]]/60</f>
        <v>6.25</v>
      </c>
      <c r="K531" t="str">
        <f>IF(CLIENTS_CHURN345[[#This Row],[Type_Forfait]]="Pro Monde","B2B","B2C")</f>
        <v>B2C</v>
      </c>
      <c r="L531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31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31" s="1">
        <f>CLIENTS_CHURN345[[#This Row],[Facture_Mensuelle]]*CLIENTS_CHURN345[[#This Row],[Colonne12]]</f>
        <v>29.128500000000003</v>
      </c>
    </row>
    <row r="532" spans="1:14">
      <c r="A532" s="1" t="s">
        <v>242</v>
      </c>
      <c r="B532" t="s">
        <v>253</v>
      </c>
      <c r="C532" t="s">
        <v>36</v>
      </c>
      <c r="D532">
        <v>96</v>
      </c>
      <c r="E532" t="s">
        <v>32</v>
      </c>
      <c r="F532">
        <v>334</v>
      </c>
      <c r="G532">
        <v>64.77</v>
      </c>
      <c r="H532">
        <v>0</v>
      </c>
      <c r="I532">
        <f>CLIENTS_CHURN345[[#This Row],[Anciennete_Mois]]/12</f>
        <v>8</v>
      </c>
      <c r="J532">
        <f>CLIENTS_CHURN345[[#This Row],[Duree_Cumulee_Panne_Min]]/60</f>
        <v>5.5666666666666664</v>
      </c>
      <c r="K532" t="str">
        <f>IF(CLIENTS_CHURN345[[#This Row],[Type_Forfait]]="Pro Monde","B2B","B2C")</f>
        <v>B2C</v>
      </c>
      <c r="L532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32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32" s="1">
        <f>CLIENTS_CHURN345[[#This Row],[Facture_Mensuelle]]*CLIENTS_CHURN345[[#This Row],[Colonne12]]</f>
        <v>29.1465</v>
      </c>
    </row>
    <row r="533" spans="1:14">
      <c r="A533" s="1" t="s">
        <v>293</v>
      </c>
      <c r="B533" t="s">
        <v>331</v>
      </c>
      <c r="C533" t="s">
        <v>10</v>
      </c>
      <c r="D533">
        <v>21</v>
      </c>
      <c r="E533" t="s">
        <v>11</v>
      </c>
      <c r="F533">
        <v>320</v>
      </c>
      <c r="G533">
        <v>64.97</v>
      </c>
      <c r="H533">
        <v>1</v>
      </c>
      <c r="I533">
        <f>CLIENTS_CHURN345[[#This Row],[Anciennete_Mois]]/12</f>
        <v>1.75</v>
      </c>
      <c r="J533">
        <f>CLIENTS_CHURN345[[#This Row],[Duree_Cumulee_Panne_Min]]/60</f>
        <v>5.333333333333333</v>
      </c>
      <c r="K533" t="str">
        <f>IF(CLIENTS_CHURN345[[#This Row],[Type_Forfait]]="Pro Monde","B2B","B2C")</f>
        <v>B2B</v>
      </c>
      <c r="L533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33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33" s="1">
        <f>CLIENTS_CHURN345[[#This Row],[Facture_Mensuelle]]*CLIENTS_CHURN345[[#This Row],[Colonne12]]</f>
        <v>29.236499999999999</v>
      </c>
    </row>
    <row r="534" spans="1:14">
      <c r="A534" s="1" t="s">
        <v>756</v>
      </c>
      <c r="B534" t="s">
        <v>804</v>
      </c>
      <c r="C534" t="s">
        <v>10</v>
      </c>
      <c r="D534">
        <v>58</v>
      </c>
      <c r="E534" t="s">
        <v>32</v>
      </c>
      <c r="F534">
        <v>485</v>
      </c>
      <c r="G534">
        <v>65.41</v>
      </c>
      <c r="H534">
        <v>5</v>
      </c>
      <c r="I534">
        <f>CLIENTS_CHURN345[[#This Row],[Anciennete_Mois]]/12</f>
        <v>4.833333333333333</v>
      </c>
      <c r="J534">
        <f>CLIENTS_CHURN345[[#This Row],[Duree_Cumulee_Panne_Min]]/60</f>
        <v>8.0833333333333339</v>
      </c>
      <c r="K534" t="str">
        <f>IF(CLIENTS_CHURN345[[#This Row],[Type_Forfait]]="Pro Monde","B2B","B2C")</f>
        <v>B2C</v>
      </c>
      <c r="L534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34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34" s="1">
        <f>CLIENTS_CHURN345[[#This Row],[Facture_Mensuelle]]*CLIENTS_CHURN345[[#This Row],[Colonne12]]</f>
        <v>29.4345</v>
      </c>
    </row>
    <row r="535" spans="1:14">
      <c r="A535" s="1" t="s">
        <v>242</v>
      </c>
      <c r="B535" t="s">
        <v>254</v>
      </c>
      <c r="C535" t="s">
        <v>18</v>
      </c>
      <c r="D535">
        <v>51</v>
      </c>
      <c r="E535" t="s">
        <v>11</v>
      </c>
      <c r="F535">
        <v>336</v>
      </c>
      <c r="G535">
        <v>65.47</v>
      </c>
      <c r="H535">
        <v>1</v>
      </c>
      <c r="I535">
        <f>CLIENTS_CHURN345[[#This Row],[Anciennete_Mois]]/12</f>
        <v>4.25</v>
      </c>
      <c r="J535">
        <f>CLIENTS_CHURN345[[#This Row],[Duree_Cumulee_Panne_Min]]/60</f>
        <v>5.6</v>
      </c>
      <c r="K535" t="str">
        <f>IF(CLIENTS_CHURN345[[#This Row],[Type_Forfait]]="Pro Monde","B2B","B2C")</f>
        <v>B2B</v>
      </c>
      <c r="L535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35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35" s="1">
        <f>CLIENTS_CHURN345[[#This Row],[Facture_Mensuelle]]*CLIENTS_CHURN345[[#This Row],[Colonne12]]</f>
        <v>29.461500000000001</v>
      </c>
    </row>
    <row r="536" spans="1:14">
      <c r="A536" s="1" t="s">
        <v>551</v>
      </c>
      <c r="B536" t="s">
        <v>553</v>
      </c>
      <c r="C536" t="s">
        <v>61</v>
      </c>
      <c r="D536">
        <v>23</v>
      </c>
      <c r="E536" t="s">
        <v>14</v>
      </c>
      <c r="F536">
        <v>325</v>
      </c>
      <c r="G536">
        <v>65.489999999999995</v>
      </c>
      <c r="H536">
        <v>1</v>
      </c>
      <c r="I536">
        <f>CLIENTS_CHURN345[[#This Row],[Anciennete_Mois]]/12</f>
        <v>1.9166666666666667</v>
      </c>
      <c r="J536">
        <f>CLIENTS_CHURN345[[#This Row],[Duree_Cumulee_Panne_Min]]/60</f>
        <v>5.416666666666667</v>
      </c>
      <c r="K536" t="str">
        <f>IF(CLIENTS_CHURN345[[#This Row],[Type_Forfait]]="Pro Monde","B2B","B2C")</f>
        <v>B2C</v>
      </c>
      <c r="L536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36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36" s="1">
        <f>CLIENTS_CHURN345[[#This Row],[Facture_Mensuelle]]*CLIENTS_CHURN345[[#This Row],[Colonne12]]</f>
        <v>29.470499999999998</v>
      </c>
    </row>
    <row r="537" spans="1:14">
      <c r="A537" s="1" t="s">
        <v>705</v>
      </c>
      <c r="B537" t="s">
        <v>717</v>
      </c>
      <c r="C537" t="s">
        <v>10</v>
      </c>
      <c r="D537">
        <v>45</v>
      </c>
      <c r="E537" t="s">
        <v>11</v>
      </c>
      <c r="F537">
        <v>304</v>
      </c>
      <c r="G537">
        <v>65.540000000000006</v>
      </c>
      <c r="H537">
        <v>2</v>
      </c>
      <c r="I537">
        <f>CLIENTS_CHURN345[[#This Row],[Anciennete_Mois]]/12</f>
        <v>3.75</v>
      </c>
      <c r="J537">
        <f>CLIENTS_CHURN345[[#This Row],[Duree_Cumulee_Panne_Min]]/60</f>
        <v>5.0666666666666664</v>
      </c>
      <c r="K537" t="str">
        <f>IF(CLIENTS_CHURN345[[#This Row],[Type_Forfait]]="Pro Monde","B2B","B2C")</f>
        <v>B2B</v>
      </c>
      <c r="L537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37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37" s="1">
        <f>CLIENTS_CHURN345[[#This Row],[Facture_Mensuelle]]*CLIENTS_CHURN345[[#This Row],[Colonne12]]</f>
        <v>29.493000000000002</v>
      </c>
    </row>
    <row r="538" spans="1:14">
      <c r="A538" s="1" t="s">
        <v>653</v>
      </c>
      <c r="B538" t="s">
        <v>697</v>
      </c>
      <c r="C538" t="s">
        <v>45</v>
      </c>
      <c r="D538">
        <v>104</v>
      </c>
      <c r="E538" t="s">
        <v>14</v>
      </c>
      <c r="F538">
        <v>243</v>
      </c>
      <c r="G538">
        <v>65.819999999999993</v>
      </c>
      <c r="H538">
        <v>0</v>
      </c>
      <c r="I538">
        <f>CLIENTS_CHURN345[[#This Row],[Anciennete_Mois]]/12</f>
        <v>8.6666666666666661</v>
      </c>
      <c r="J538">
        <f>CLIENTS_CHURN345[[#This Row],[Duree_Cumulee_Panne_Min]]/60</f>
        <v>4.05</v>
      </c>
      <c r="K538" t="str">
        <f>IF(CLIENTS_CHURN345[[#This Row],[Type_Forfait]]="Pro Monde","B2B","B2C")</f>
        <v>B2C</v>
      </c>
      <c r="L538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38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38" s="1">
        <f>CLIENTS_CHURN345[[#This Row],[Facture_Mensuelle]]*CLIENTS_CHURN345[[#This Row],[Colonne12]]</f>
        <v>29.618999999999996</v>
      </c>
    </row>
    <row r="539" spans="1:14">
      <c r="A539" s="1" t="s">
        <v>85</v>
      </c>
      <c r="B539" t="s">
        <v>99</v>
      </c>
      <c r="C539" t="s">
        <v>65</v>
      </c>
      <c r="D539">
        <v>80</v>
      </c>
      <c r="E539" t="s">
        <v>14</v>
      </c>
      <c r="F539">
        <v>260</v>
      </c>
      <c r="G539">
        <v>65.87</v>
      </c>
      <c r="H539">
        <v>3</v>
      </c>
      <c r="I539">
        <f>CLIENTS_CHURN345[[#This Row],[Anciennete_Mois]]/12</f>
        <v>6.666666666666667</v>
      </c>
      <c r="J539">
        <f>CLIENTS_CHURN345[[#This Row],[Duree_Cumulee_Panne_Min]]/60</f>
        <v>4.333333333333333</v>
      </c>
      <c r="K539" t="str">
        <f>IF(CLIENTS_CHURN345[[#This Row],[Type_Forfait]]="Pro Monde","B2B","B2C")</f>
        <v>B2C</v>
      </c>
      <c r="L539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39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39" s="1">
        <f>CLIENTS_CHURN345[[#This Row],[Facture_Mensuelle]]*CLIENTS_CHURN345[[#This Row],[Colonne12]]</f>
        <v>29.641500000000004</v>
      </c>
    </row>
    <row r="540" spans="1:14">
      <c r="A540" s="1" t="s">
        <v>447</v>
      </c>
      <c r="B540" t="s">
        <v>493</v>
      </c>
      <c r="C540" t="s">
        <v>38</v>
      </c>
      <c r="D540">
        <v>115</v>
      </c>
      <c r="E540" t="s">
        <v>11</v>
      </c>
      <c r="F540">
        <v>262</v>
      </c>
      <c r="G540">
        <v>66.34</v>
      </c>
      <c r="H540">
        <v>3</v>
      </c>
      <c r="I540">
        <f>CLIENTS_CHURN345[[#This Row],[Anciennete_Mois]]/12</f>
        <v>9.5833333333333339</v>
      </c>
      <c r="J540">
        <f>CLIENTS_CHURN345[[#This Row],[Duree_Cumulee_Panne_Min]]/60</f>
        <v>4.3666666666666663</v>
      </c>
      <c r="K540" t="str">
        <f>IF(CLIENTS_CHURN345[[#This Row],[Type_Forfait]]="Pro Monde","B2B","B2C")</f>
        <v>B2B</v>
      </c>
      <c r="L540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40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40" s="1">
        <f>CLIENTS_CHURN345[[#This Row],[Facture_Mensuelle]]*CLIENTS_CHURN345[[#This Row],[Colonne12]]</f>
        <v>29.853000000000002</v>
      </c>
    </row>
    <row r="541" spans="1:14">
      <c r="A541" s="1" t="s">
        <v>447</v>
      </c>
      <c r="B541" t="s">
        <v>491</v>
      </c>
      <c r="C541" t="s">
        <v>38</v>
      </c>
      <c r="D541">
        <v>39</v>
      </c>
      <c r="E541" t="s">
        <v>32</v>
      </c>
      <c r="F541">
        <v>1</v>
      </c>
      <c r="G541">
        <v>66.94</v>
      </c>
      <c r="H541">
        <v>5</v>
      </c>
      <c r="I541">
        <f>CLIENTS_CHURN345[[#This Row],[Anciennete_Mois]]/12</f>
        <v>3.25</v>
      </c>
      <c r="J541">
        <f>CLIENTS_CHURN345[[#This Row],[Duree_Cumulee_Panne_Min]]/60</f>
        <v>1.6666666666666666E-2</v>
      </c>
      <c r="K541" t="str">
        <f>IF(CLIENTS_CHURN345[[#This Row],[Type_Forfait]]="Pro Monde","B2B","B2C")</f>
        <v>B2C</v>
      </c>
      <c r="L541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41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41" s="1">
        <f>CLIENTS_CHURN345[[#This Row],[Facture_Mensuelle]]*CLIENTS_CHURN345[[#This Row],[Colonne12]]</f>
        <v>30.123000000000001</v>
      </c>
    </row>
    <row r="542" spans="1:14">
      <c r="A542" s="1" t="s">
        <v>8</v>
      </c>
      <c r="B542" t="s">
        <v>67</v>
      </c>
      <c r="C542" t="s">
        <v>13</v>
      </c>
      <c r="D542">
        <v>99</v>
      </c>
      <c r="E542" t="s">
        <v>14</v>
      </c>
      <c r="F542">
        <v>369</v>
      </c>
      <c r="G542">
        <v>67.209999999999994</v>
      </c>
      <c r="H542">
        <v>3</v>
      </c>
      <c r="I542">
        <f>CLIENTS_CHURN345[[#This Row],[Anciennete_Mois]]/12</f>
        <v>8.25</v>
      </c>
      <c r="J542">
        <f>CLIENTS_CHURN345[[#This Row],[Duree_Cumulee_Panne_Min]]/60</f>
        <v>6.15</v>
      </c>
      <c r="K542" t="str">
        <f>IF(CLIENTS_CHURN345[[#This Row],[Type_Forfait]]="Pro Monde","B2B","B2C")</f>
        <v>B2C</v>
      </c>
      <c r="L542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42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42" s="1">
        <f>CLIENTS_CHURN345[[#This Row],[Facture_Mensuelle]]*CLIENTS_CHURN345[[#This Row],[Colonne12]]</f>
        <v>30.244499999999999</v>
      </c>
    </row>
    <row r="543" spans="1:14">
      <c r="A543" s="1" t="s">
        <v>705</v>
      </c>
      <c r="B543" t="s">
        <v>727</v>
      </c>
      <c r="C543" t="s">
        <v>52</v>
      </c>
      <c r="D543">
        <v>37</v>
      </c>
      <c r="E543" t="s">
        <v>32</v>
      </c>
      <c r="F543">
        <v>420</v>
      </c>
      <c r="G543">
        <v>67.260000000000005</v>
      </c>
      <c r="H543">
        <v>4</v>
      </c>
      <c r="I543">
        <f>CLIENTS_CHURN345[[#This Row],[Anciennete_Mois]]/12</f>
        <v>3.0833333333333335</v>
      </c>
      <c r="J543">
        <f>CLIENTS_CHURN345[[#This Row],[Duree_Cumulee_Panne_Min]]/60</f>
        <v>7</v>
      </c>
      <c r="K543" t="str">
        <f>IF(CLIENTS_CHURN345[[#This Row],[Type_Forfait]]="Pro Monde","B2B","B2C")</f>
        <v>B2C</v>
      </c>
      <c r="L543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43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43" s="1">
        <f>CLIENTS_CHURN345[[#This Row],[Facture_Mensuelle]]*CLIENTS_CHURN345[[#This Row],[Colonne12]]</f>
        <v>30.267000000000003</v>
      </c>
    </row>
    <row r="544" spans="1:14">
      <c r="A544" s="1" t="s">
        <v>293</v>
      </c>
      <c r="B544" t="s">
        <v>335</v>
      </c>
      <c r="C544" t="s">
        <v>31</v>
      </c>
      <c r="D544">
        <v>55</v>
      </c>
      <c r="E544" t="s">
        <v>11</v>
      </c>
      <c r="F544">
        <v>389</v>
      </c>
      <c r="G544">
        <v>67.430000000000007</v>
      </c>
      <c r="H544">
        <v>3</v>
      </c>
      <c r="I544">
        <f>CLIENTS_CHURN345[[#This Row],[Anciennete_Mois]]/12</f>
        <v>4.583333333333333</v>
      </c>
      <c r="J544">
        <f>CLIENTS_CHURN345[[#This Row],[Duree_Cumulee_Panne_Min]]/60</f>
        <v>6.4833333333333334</v>
      </c>
      <c r="K544" t="str">
        <f>IF(CLIENTS_CHURN345[[#This Row],[Type_Forfait]]="Pro Monde","B2B","B2C")</f>
        <v>B2B</v>
      </c>
      <c r="L544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44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44" s="1">
        <f>CLIENTS_CHURN345[[#This Row],[Facture_Mensuelle]]*CLIENTS_CHURN345[[#This Row],[Colonne12]]</f>
        <v>30.343500000000002</v>
      </c>
    </row>
    <row r="545" spans="1:14">
      <c r="A545" s="1" t="s">
        <v>499</v>
      </c>
      <c r="B545" t="s">
        <v>539</v>
      </c>
      <c r="C545" t="s">
        <v>43</v>
      </c>
      <c r="D545">
        <v>120</v>
      </c>
      <c r="E545" t="s">
        <v>32</v>
      </c>
      <c r="F545">
        <v>391</v>
      </c>
      <c r="G545">
        <v>67.77</v>
      </c>
      <c r="H545">
        <v>4</v>
      </c>
      <c r="I545">
        <f>CLIENTS_CHURN345[[#This Row],[Anciennete_Mois]]/12</f>
        <v>10</v>
      </c>
      <c r="J545">
        <f>CLIENTS_CHURN345[[#This Row],[Duree_Cumulee_Panne_Min]]/60</f>
        <v>6.5166666666666666</v>
      </c>
      <c r="K545" t="str">
        <f>IF(CLIENTS_CHURN345[[#This Row],[Type_Forfait]]="Pro Monde","B2B","B2C")</f>
        <v>B2C</v>
      </c>
      <c r="L545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45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45" s="1">
        <f>CLIENTS_CHURN345[[#This Row],[Facture_Mensuelle]]*CLIENTS_CHURN345[[#This Row],[Colonne12]]</f>
        <v>30.496499999999997</v>
      </c>
    </row>
    <row r="546" spans="1:14">
      <c r="A546" s="1" t="s">
        <v>395</v>
      </c>
      <c r="B546" t="s">
        <v>415</v>
      </c>
      <c r="C546" t="s">
        <v>16</v>
      </c>
      <c r="D546">
        <v>103</v>
      </c>
      <c r="E546" t="s">
        <v>11</v>
      </c>
      <c r="F546">
        <v>270</v>
      </c>
      <c r="G546">
        <v>67.87</v>
      </c>
      <c r="H546">
        <v>3</v>
      </c>
      <c r="I546">
        <f>CLIENTS_CHURN345[[#This Row],[Anciennete_Mois]]/12</f>
        <v>8.5833333333333339</v>
      </c>
      <c r="J546">
        <f>CLIENTS_CHURN345[[#This Row],[Duree_Cumulee_Panne_Min]]/60</f>
        <v>4.5</v>
      </c>
      <c r="K546" t="str">
        <f>IF(CLIENTS_CHURN345[[#This Row],[Type_Forfait]]="Pro Monde","B2B","B2C")</f>
        <v>B2B</v>
      </c>
      <c r="L546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46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46" s="1">
        <f>CLIENTS_CHURN345[[#This Row],[Facture_Mensuelle]]*CLIENTS_CHURN345[[#This Row],[Colonne12]]</f>
        <v>30.541500000000003</v>
      </c>
    </row>
    <row r="547" spans="1:14">
      <c r="A547" s="1" t="s">
        <v>242</v>
      </c>
      <c r="B547" t="s">
        <v>276</v>
      </c>
      <c r="C547" t="s">
        <v>111</v>
      </c>
      <c r="D547">
        <v>32</v>
      </c>
      <c r="E547" t="s">
        <v>21</v>
      </c>
      <c r="F547">
        <v>405</v>
      </c>
      <c r="G547">
        <v>67.92</v>
      </c>
      <c r="H547">
        <v>3</v>
      </c>
      <c r="I547">
        <f>CLIENTS_CHURN345[[#This Row],[Anciennete_Mois]]/12</f>
        <v>2.6666666666666665</v>
      </c>
      <c r="J547">
        <f>CLIENTS_CHURN345[[#This Row],[Duree_Cumulee_Panne_Min]]/60</f>
        <v>6.75</v>
      </c>
      <c r="K547" t="str">
        <f>IF(CLIENTS_CHURN345[[#This Row],[Type_Forfait]]="Pro Monde","B2B","B2C")</f>
        <v>B2C</v>
      </c>
      <c r="L547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47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47" s="1">
        <f>CLIENTS_CHURN345[[#This Row],[Facture_Mensuelle]]*CLIENTS_CHURN345[[#This Row],[Colonne12]]</f>
        <v>30.564</v>
      </c>
    </row>
    <row r="548" spans="1:14">
      <c r="A548" s="1" t="s">
        <v>344</v>
      </c>
      <c r="B548" t="s">
        <v>366</v>
      </c>
      <c r="C548" t="s">
        <v>36</v>
      </c>
      <c r="D548">
        <v>76</v>
      </c>
      <c r="E548" t="s">
        <v>21</v>
      </c>
      <c r="F548">
        <v>332</v>
      </c>
      <c r="G548">
        <v>68.010000000000005</v>
      </c>
      <c r="H548">
        <v>4</v>
      </c>
      <c r="I548">
        <f>CLIENTS_CHURN345[[#This Row],[Anciennete_Mois]]/12</f>
        <v>6.333333333333333</v>
      </c>
      <c r="J548">
        <f>CLIENTS_CHURN345[[#This Row],[Duree_Cumulee_Panne_Min]]/60</f>
        <v>5.5333333333333332</v>
      </c>
      <c r="K548" t="str">
        <f>IF(CLIENTS_CHURN345[[#This Row],[Type_Forfait]]="Pro Monde","B2B","B2C")</f>
        <v>B2C</v>
      </c>
      <c r="L548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48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48" s="1">
        <f>CLIENTS_CHURN345[[#This Row],[Facture_Mensuelle]]*CLIENTS_CHURN345[[#This Row],[Colonne12]]</f>
        <v>30.604500000000002</v>
      </c>
    </row>
    <row r="549" spans="1:14">
      <c r="A549" s="1" t="s">
        <v>653</v>
      </c>
      <c r="B549" t="s">
        <v>702</v>
      </c>
      <c r="C549" t="s">
        <v>92</v>
      </c>
      <c r="D549">
        <v>89</v>
      </c>
      <c r="E549" t="s">
        <v>11</v>
      </c>
      <c r="F549">
        <v>381</v>
      </c>
      <c r="G549">
        <v>68.17</v>
      </c>
      <c r="H549">
        <v>0</v>
      </c>
      <c r="I549">
        <f>CLIENTS_CHURN345[[#This Row],[Anciennete_Mois]]/12</f>
        <v>7.416666666666667</v>
      </c>
      <c r="J549">
        <f>CLIENTS_CHURN345[[#This Row],[Duree_Cumulee_Panne_Min]]/60</f>
        <v>6.35</v>
      </c>
      <c r="K549" t="str">
        <f>IF(CLIENTS_CHURN345[[#This Row],[Type_Forfait]]="Pro Monde","B2B","B2C")</f>
        <v>B2B</v>
      </c>
      <c r="L549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49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49" s="1">
        <f>CLIENTS_CHURN345[[#This Row],[Facture_Mensuelle]]*CLIENTS_CHURN345[[#This Row],[Colonne12]]</f>
        <v>30.676500000000001</v>
      </c>
    </row>
    <row r="550" spans="1:14">
      <c r="A550" s="1" t="s">
        <v>602</v>
      </c>
      <c r="B550" t="s">
        <v>617</v>
      </c>
      <c r="C550" t="s">
        <v>107</v>
      </c>
      <c r="D550">
        <v>51</v>
      </c>
      <c r="E550" t="s">
        <v>14</v>
      </c>
      <c r="F550">
        <v>337</v>
      </c>
      <c r="G550">
        <v>68.67</v>
      </c>
      <c r="H550">
        <v>5</v>
      </c>
      <c r="I550">
        <f>CLIENTS_CHURN345[[#This Row],[Anciennete_Mois]]/12</f>
        <v>4.25</v>
      </c>
      <c r="J550">
        <f>CLIENTS_CHURN345[[#This Row],[Duree_Cumulee_Panne_Min]]/60</f>
        <v>5.6166666666666663</v>
      </c>
      <c r="K550" t="str">
        <f>IF(CLIENTS_CHURN345[[#This Row],[Type_Forfait]]="Pro Monde","B2B","B2C")</f>
        <v>B2C</v>
      </c>
      <c r="L550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50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50" s="1">
        <f>CLIENTS_CHURN345[[#This Row],[Facture_Mensuelle]]*CLIENTS_CHURN345[[#This Row],[Colonne12]]</f>
        <v>30.901500000000002</v>
      </c>
    </row>
    <row r="551" spans="1:14">
      <c r="A551" s="1" t="s">
        <v>85</v>
      </c>
      <c r="B551" t="s">
        <v>112</v>
      </c>
      <c r="C551" t="s">
        <v>40</v>
      </c>
      <c r="D551">
        <v>53</v>
      </c>
      <c r="E551" t="s">
        <v>11</v>
      </c>
      <c r="F551">
        <v>385</v>
      </c>
      <c r="G551">
        <v>68.78</v>
      </c>
      <c r="H551">
        <v>3</v>
      </c>
      <c r="I551">
        <f>CLIENTS_CHURN345[[#This Row],[Anciennete_Mois]]/12</f>
        <v>4.416666666666667</v>
      </c>
      <c r="J551">
        <f>CLIENTS_CHURN345[[#This Row],[Duree_Cumulee_Panne_Min]]/60</f>
        <v>6.416666666666667</v>
      </c>
      <c r="K551" t="str">
        <f>IF(CLIENTS_CHURN345[[#This Row],[Type_Forfait]]="Pro Monde","B2B","B2C")</f>
        <v>B2B</v>
      </c>
      <c r="L551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51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51" s="1">
        <f>CLIENTS_CHURN345[[#This Row],[Facture_Mensuelle]]*CLIENTS_CHURN345[[#This Row],[Colonne12]]</f>
        <v>30.951000000000001</v>
      </c>
    </row>
    <row r="552" spans="1:14">
      <c r="A552" s="1" t="s">
        <v>705</v>
      </c>
      <c r="B552" t="s">
        <v>754</v>
      </c>
      <c r="C552" t="s">
        <v>92</v>
      </c>
      <c r="D552">
        <v>65</v>
      </c>
      <c r="E552" t="s">
        <v>11</v>
      </c>
      <c r="F552">
        <v>246</v>
      </c>
      <c r="G552">
        <v>69.17</v>
      </c>
      <c r="H552">
        <v>0</v>
      </c>
      <c r="I552">
        <f>CLIENTS_CHURN345[[#This Row],[Anciennete_Mois]]/12</f>
        <v>5.416666666666667</v>
      </c>
      <c r="J552">
        <f>CLIENTS_CHURN345[[#This Row],[Duree_Cumulee_Panne_Min]]/60</f>
        <v>4.0999999999999996</v>
      </c>
      <c r="K552" t="str">
        <f>IF(CLIENTS_CHURN345[[#This Row],[Type_Forfait]]="Pro Monde","B2B","B2C")</f>
        <v>B2B</v>
      </c>
      <c r="L552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52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52" s="1">
        <f>CLIENTS_CHURN345[[#This Row],[Facture_Mensuelle]]*CLIENTS_CHURN345[[#This Row],[Colonne12]]</f>
        <v>31.1265</v>
      </c>
    </row>
    <row r="553" spans="1:14">
      <c r="A553" s="1" t="s">
        <v>293</v>
      </c>
      <c r="B553" t="s">
        <v>300</v>
      </c>
      <c r="C553" t="s">
        <v>38</v>
      </c>
      <c r="D553">
        <v>50</v>
      </c>
      <c r="E553" t="s">
        <v>14</v>
      </c>
      <c r="F553">
        <v>248</v>
      </c>
      <c r="G553">
        <v>69.42</v>
      </c>
      <c r="H553">
        <v>0</v>
      </c>
      <c r="I553">
        <f>CLIENTS_CHURN345[[#This Row],[Anciennete_Mois]]/12</f>
        <v>4.166666666666667</v>
      </c>
      <c r="J553">
        <f>CLIENTS_CHURN345[[#This Row],[Duree_Cumulee_Panne_Min]]/60</f>
        <v>4.1333333333333337</v>
      </c>
      <c r="K553" t="str">
        <f>IF(CLIENTS_CHURN345[[#This Row],[Type_Forfait]]="Pro Monde","B2B","B2C")</f>
        <v>B2C</v>
      </c>
      <c r="L553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53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53" s="1">
        <f>CLIENTS_CHURN345[[#This Row],[Facture_Mensuelle]]*CLIENTS_CHURN345[[#This Row],[Colonne12]]</f>
        <v>31.239000000000001</v>
      </c>
    </row>
    <row r="554" spans="1:14">
      <c r="A554" s="1" t="s">
        <v>8</v>
      </c>
      <c r="B554" t="s">
        <v>58</v>
      </c>
      <c r="C554" t="s">
        <v>13</v>
      </c>
      <c r="D554">
        <v>106</v>
      </c>
      <c r="E554" t="s">
        <v>14</v>
      </c>
      <c r="F554">
        <v>400</v>
      </c>
      <c r="G554">
        <v>70.02</v>
      </c>
      <c r="H554">
        <v>4</v>
      </c>
      <c r="I554">
        <f>CLIENTS_CHURN345[[#This Row],[Anciennete_Mois]]/12</f>
        <v>8.8333333333333339</v>
      </c>
      <c r="J554">
        <f>CLIENTS_CHURN345[[#This Row],[Duree_Cumulee_Panne_Min]]/60</f>
        <v>6.666666666666667</v>
      </c>
      <c r="K554" t="str">
        <f>IF(CLIENTS_CHURN345[[#This Row],[Type_Forfait]]="Pro Monde","B2B","B2C")</f>
        <v>B2C</v>
      </c>
      <c r="L554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54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54" s="1">
        <f>CLIENTS_CHURN345[[#This Row],[Facture_Mensuelle]]*CLIENTS_CHURN345[[#This Row],[Colonne12]]</f>
        <v>31.509</v>
      </c>
    </row>
    <row r="555" spans="1:14">
      <c r="A555" s="1" t="s">
        <v>705</v>
      </c>
      <c r="B555" t="s">
        <v>734</v>
      </c>
      <c r="C555" t="s">
        <v>65</v>
      </c>
      <c r="D555">
        <v>92</v>
      </c>
      <c r="E555" t="s">
        <v>14</v>
      </c>
      <c r="F555">
        <v>379</v>
      </c>
      <c r="G555">
        <v>70.08</v>
      </c>
      <c r="H555">
        <v>5</v>
      </c>
      <c r="I555">
        <f>CLIENTS_CHURN345[[#This Row],[Anciennete_Mois]]/12</f>
        <v>7.666666666666667</v>
      </c>
      <c r="J555">
        <f>CLIENTS_CHURN345[[#This Row],[Duree_Cumulee_Panne_Min]]/60</f>
        <v>6.3166666666666664</v>
      </c>
      <c r="K555" t="str">
        <f>IF(CLIENTS_CHURN345[[#This Row],[Type_Forfait]]="Pro Monde","B2B","B2C")</f>
        <v>B2C</v>
      </c>
      <c r="L555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55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55" s="1">
        <f>CLIENTS_CHURN345[[#This Row],[Facture_Mensuelle]]*CLIENTS_CHURN345[[#This Row],[Colonne12]]</f>
        <v>31.536000000000001</v>
      </c>
    </row>
    <row r="556" spans="1:14">
      <c r="A556" s="1" t="s">
        <v>705</v>
      </c>
      <c r="B556" t="s">
        <v>725</v>
      </c>
      <c r="C556" t="s">
        <v>71</v>
      </c>
      <c r="D556">
        <v>94</v>
      </c>
      <c r="E556" t="s">
        <v>21</v>
      </c>
      <c r="F556">
        <v>261</v>
      </c>
      <c r="G556">
        <v>70.09</v>
      </c>
      <c r="H556">
        <v>3</v>
      </c>
      <c r="I556">
        <f>CLIENTS_CHURN345[[#This Row],[Anciennete_Mois]]/12</f>
        <v>7.833333333333333</v>
      </c>
      <c r="J556">
        <f>CLIENTS_CHURN345[[#This Row],[Duree_Cumulee_Panne_Min]]/60</f>
        <v>4.3499999999999996</v>
      </c>
      <c r="K556" t="str">
        <f>IF(CLIENTS_CHURN345[[#This Row],[Type_Forfait]]="Pro Monde","B2B","B2C")</f>
        <v>B2C</v>
      </c>
      <c r="L556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56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56" s="1">
        <f>CLIENTS_CHURN345[[#This Row],[Facture_Mensuelle]]*CLIENTS_CHURN345[[#This Row],[Colonne12]]</f>
        <v>31.540500000000002</v>
      </c>
    </row>
    <row r="557" spans="1:14">
      <c r="A557" s="1" t="s">
        <v>705</v>
      </c>
      <c r="B557" t="s">
        <v>748</v>
      </c>
      <c r="C557" t="s">
        <v>26</v>
      </c>
      <c r="D557">
        <v>21</v>
      </c>
      <c r="E557" t="s">
        <v>21</v>
      </c>
      <c r="F557">
        <v>460</v>
      </c>
      <c r="G557">
        <v>70.81</v>
      </c>
      <c r="H557">
        <v>2</v>
      </c>
      <c r="I557">
        <f>CLIENTS_CHURN345[[#This Row],[Anciennete_Mois]]/12</f>
        <v>1.75</v>
      </c>
      <c r="J557">
        <f>CLIENTS_CHURN345[[#This Row],[Duree_Cumulee_Panne_Min]]/60</f>
        <v>7.666666666666667</v>
      </c>
      <c r="K557" t="str">
        <f>IF(CLIENTS_CHURN345[[#This Row],[Type_Forfait]]="Pro Monde","B2B","B2C")</f>
        <v>B2C</v>
      </c>
      <c r="L557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57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57" s="1">
        <f>CLIENTS_CHURN345[[#This Row],[Facture_Mensuelle]]*CLIENTS_CHURN345[[#This Row],[Colonne12]]</f>
        <v>31.864500000000003</v>
      </c>
    </row>
    <row r="558" spans="1:14">
      <c r="A558" s="1" t="s">
        <v>499</v>
      </c>
      <c r="B558" t="s">
        <v>525</v>
      </c>
      <c r="C558" t="s">
        <v>18</v>
      </c>
      <c r="D558">
        <v>88</v>
      </c>
      <c r="E558" t="s">
        <v>32</v>
      </c>
      <c r="F558">
        <v>359</v>
      </c>
      <c r="G558">
        <v>71.19</v>
      </c>
      <c r="H558">
        <v>3</v>
      </c>
      <c r="I558">
        <f>CLIENTS_CHURN345[[#This Row],[Anciennete_Mois]]/12</f>
        <v>7.333333333333333</v>
      </c>
      <c r="J558">
        <f>CLIENTS_CHURN345[[#This Row],[Duree_Cumulee_Panne_Min]]/60</f>
        <v>5.9833333333333334</v>
      </c>
      <c r="K558" t="str">
        <f>IF(CLIENTS_CHURN345[[#This Row],[Type_Forfait]]="Pro Monde","B2B","B2C")</f>
        <v>B2C</v>
      </c>
      <c r="L558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58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58" s="1">
        <f>CLIENTS_CHURN345[[#This Row],[Facture_Mensuelle]]*CLIENTS_CHURN345[[#This Row],[Colonne12]]</f>
        <v>32.035499999999999</v>
      </c>
    </row>
    <row r="559" spans="1:14">
      <c r="A559" s="1" t="s">
        <v>756</v>
      </c>
      <c r="B559" t="s">
        <v>790</v>
      </c>
      <c r="C559" t="s">
        <v>16</v>
      </c>
      <c r="D559">
        <v>48</v>
      </c>
      <c r="E559" t="s">
        <v>32</v>
      </c>
      <c r="F559">
        <v>473</v>
      </c>
      <c r="G559">
        <v>71.52</v>
      </c>
      <c r="H559">
        <v>5</v>
      </c>
      <c r="I559">
        <f>CLIENTS_CHURN345[[#This Row],[Anciennete_Mois]]/12</f>
        <v>4</v>
      </c>
      <c r="J559">
        <f>CLIENTS_CHURN345[[#This Row],[Duree_Cumulee_Panne_Min]]/60</f>
        <v>7.8833333333333337</v>
      </c>
      <c r="K559" t="str">
        <f>IF(CLIENTS_CHURN345[[#This Row],[Type_Forfait]]="Pro Monde","B2B","B2C")</f>
        <v>B2C</v>
      </c>
      <c r="L559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59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59" s="1">
        <f>CLIENTS_CHURN345[[#This Row],[Facture_Mensuelle]]*CLIENTS_CHURN345[[#This Row],[Colonne12]]</f>
        <v>32.183999999999997</v>
      </c>
    </row>
    <row r="560" spans="1:14">
      <c r="A560" s="1" t="s">
        <v>191</v>
      </c>
      <c r="B560" t="s">
        <v>197</v>
      </c>
      <c r="C560" t="s">
        <v>31</v>
      </c>
      <c r="D560">
        <v>60</v>
      </c>
      <c r="E560" t="s">
        <v>11</v>
      </c>
      <c r="F560">
        <v>334</v>
      </c>
      <c r="G560">
        <v>71.72</v>
      </c>
      <c r="H560">
        <v>3</v>
      </c>
      <c r="I560">
        <f>CLIENTS_CHURN345[[#This Row],[Anciennete_Mois]]/12</f>
        <v>5</v>
      </c>
      <c r="J560">
        <f>CLIENTS_CHURN345[[#This Row],[Duree_Cumulee_Panne_Min]]/60</f>
        <v>5.5666666666666664</v>
      </c>
      <c r="K560" t="str">
        <f>IF(CLIENTS_CHURN345[[#This Row],[Type_Forfait]]="Pro Monde","B2B","B2C")</f>
        <v>B2B</v>
      </c>
      <c r="L560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60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60" s="1">
        <f>CLIENTS_CHURN345[[#This Row],[Facture_Mensuelle]]*CLIENTS_CHURN345[[#This Row],[Colonne12]]</f>
        <v>32.274000000000001</v>
      </c>
    </row>
    <row r="561" spans="1:14">
      <c r="A561" s="1" t="s">
        <v>293</v>
      </c>
      <c r="B561" t="s">
        <v>342</v>
      </c>
      <c r="C561" t="s">
        <v>26</v>
      </c>
      <c r="D561">
        <v>90</v>
      </c>
      <c r="E561" t="s">
        <v>11</v>
      </c>
      <c r="F561">
        <v>299</v>
      </c>
      <c r="G561">
        <v>71.760000000000005</v>
      </c>
      <c r="H561">
        <v>1</v>
      </c>
      <c r="I561">
        <f>CLIENTS_CHURN345[[#This Row],[Anciennete_Mois]]/12</f>
        <v>7.5</v>
      </c>
      <c r="J561">
        <f>CLIENTS_CHURN345[[#This Row],[Duree_Cumulee_Panne_Min]]/60</f>
        <v>4.9833333333333334</v>
      </c>
      <c r="K561" t="str">
        <f>IF(CLIENTS_CHURN345[[#This Row],[Type_Forfait]]="Pro Monde","B2B","B2C")</f>
        <v>B2B</v>
      </c>
      <c r="L561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61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61" s="1">
        <f>CLIENTS_CHURN345[[#This Row],[Facture_Mensuelle]]*CLIENTS_CHURN345[[#This Row],[Colonne12]]</f>
        <v>32.292000000000002</v>
      </c>
    </row>
    <row r="562" spans="1:14">
      <c r="A562" s="1" t="s">
        <v>242</v>
      </c>
      <c r="B562" t="s">
        <v>287</v>
      </c>
      <c r="C562" t="s">
        <v>79</v>
      </c>
      <c r="D562">
        <v>23</v>
      </c>
      <c r="E562" t="s">
        <v>11</v>
      </c>
      <c r="F562">
        <v>473</v>
      </c>
      <c r="G562">
        <v>71.86</v>
      </c>
      <c r="H562">
        <v>3</v>
      </c>
      <c r="I562">
        <f>CLIENTS_CHURN345[[#This Row],[Anciennete_Mois]]/12</f>
        <v>1.9166666666666667</v>
      </c>
      <c r="J562">
        <f>CLIENTS_CHURN345[[#This Row],[Duree_Cumulee_Panne_Min]]/60</f>
        <v>7.8833333333333337</v>
      </c>
      <c r="K562" t="str">
        <f>IF(CLIENTS_CHURN345[[#This Row],[Type_Forfait]]="Pro Monde","B2B","B2C")</f>
        <v>B2B</v>
      </c>
      <c r="L562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62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62" s="1">
        <f>CLIENTS_CHURN345[[#This Row],[Facture_Mensuelle]]*CLIENTS_CHURN345[[#This Row],[Colonne12]]</f>
        <v>32.337000000000003</v>
      </c>
    </row>
    <row r="563" spans="1:14">
      <c r="A563" s="1" t="s">
        <v>447</v>
      </c>
      <c r="B563" t="s">
        <v>463</v>
      </c>
      <c r="C563" t="s">
        <v>71</v>
      </c>
      <c r="D563">
        <v>36</v>
      </c>
      <c r="E563" t="s">
        <v>32</v>
      </c>
      <c r="F563">
        <v>137</v>
      </c>
      <c r="G563">
        <v>71.930000000000007</v>
      </c>
      <c r="H563">
        <v>0</v>
      </c>
      <c r="I563">
        <f>CLIENTS_CHURN345[[#This Row],[Anciennete_Mois]]/12</f>
        <v>3</v>
      </c>
      <c r="J563">
        <f>CLIENTS_CHURN345[[#This Row],[Duree_Cumulee_Panne_Min]]/60</f>
        <v>2.2833333333333332</v>
      </c>
      <c r="K563" t="str">
        <f>IF(CLIENTS_CHURN345[[#This Row],[Type_Forfait]]="Pro Monde","B2B","B2C")</f>
        <v>B2C</v>
      </c>
      <c r="L563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63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63" s="1">
        <f>CLIENTS_CHURN345[[#This Row],[Facture_Mensuelle]]*CLIENTS_CHURN345[[#This Row],[Colonne12]]</f>
        <v>32.368500000000004</v>
      </c>
    </row>
    <row r="564" spans="1:14">
      <c r="A564" s="1" t="s">
        <v>191</v>
      </c>
      <c r="B564" t="s">
        <v>227</v>
      </c>
      <c r="C564" t="s">
        <v>92</v>
      </c>
      <c r="D564">
        <v>28</v>
      </c>
      <c r="E564" t="s">
        <v>32</v>
      </c>
      <c r="F564">
        <v>96</v>
      </c>
      <c r="G564">
        <v>72.010000000000005</v>
      </c>
      <c r="H564">
        <v>4</v>
      </c>
      <c r="I564">
        <f>CLIENTS_CHURN345[[#This Row],[Anciennete_Mois]]/12</f>
        <v>2.3333333333333335</v>
      </c>
      <c r="J564">
        <f>CLIENTS_CHURN345[[#This Row],[Duree_Cumulee_Panne_Min]]/60</f>
        <v>1.6</v>
      </c>
      <c r="K564" t="str">
        <f>IF(CLIENTS_CHURN345[[#This Row],[Type_Forfait]]="Pro Monde","B2B","B2C")</f>
        <v>B2C</v>
      </c>
      <c r="L564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64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64" s="1">
        <f>CLIENTS_CHURN345[[#This Row],[Facture_Mensuelle]]*CLIENTS_CHURN345[[#This Row],[Colonne12]]</f>
        <v>32.404500000000006</v>
      </c>
    </row>
    <row r="565" spans="1:14">
      <c r="A565" s="1" t="s">
        <v>140</v>
      </c>
      <c r="B565" t="s">
        <v>188</v>
      </c>
      <c r="C565" t="s">
        <v>10</v>
      </c>
      <c r="D565">
        <v>93</v>
      </c>
      <c r="E565" t="s">
        <v>14</v>
      </c>
      <c r="F565">
        <v>365</v>
      </c>
      <c r="G565">
        <v>72.319999999999993</v>
      </c>
      <c r="H565">
        <v>1</v>
      </c>
      <c r="I565">
        <f>CLIENTS_CHURN345[[#This Row],[Anciennete_Mois]]/12</f>
        <v>7.75</v>
      </c>
      <c r="J565">
        <f>CLIENTS_CHURN345[[#This Row],[Duree_Cumulee_Panne_Min]]/60</f>
        <v>6.083333333333333</v>
      </c>
      <c r="K565" t="str">
        <f>IF(CLIENTS_CHURN345[[#This Row],[Type_Forfait]]="Pro Monde","B2B","B2C")</f>
        <v>B2C</v>
      </c>
      <c r="L565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65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65" s="1">
        <f>CLIENTS_CHURN345[[#This Row],[Facture_Mensuelle]]*CLIENTS_CHURN345[[#This Row],[Colonne12]]</f>
        <v>32.543999999999997</v>
      </c>
    </row>
    <row r="566" spans="1:14">
      <c r="A566" s="1" t="s">
        <v>705</v>
      </c>
      <c r="B566" t="s">
        <v>712</v>
      </c>
      <c r="C566" t="s">
        <v>16</v>
      </c>
      <c r="D566">
        <v>56</v>
      </c>
      <c r="E566" t="s">
        <v>21</v>
      </c>
      <c r="F566">
        <v>367</v>
      </c>
      <c r="G566">
        <v>72.790000000000006</v>
      </c>
      <c r="H566">
        <v>1</v>
      </c>
      <c r="I566">
        <f>CLIENTS_CHURN345[[#This Row],[Anciennete_Mois]]/12</f>
        <v>4.666666666666667</v>
      </c>
      <c r="J566">
        <f>CLIENTS_CHURN345[[#This Row],[Duree_Cumulee_Panne_Min]]/60</f>
        <v>6.1166666666666663</v>
      </c>
      <c r="K566" t="str">
        <f>IF(CLIENTS_CHURN345[[#This Row],[Type_Forfait]]="Pro Monde","B2B","B2C")</f>
        <v>B2C</v>
      </c>
      <c r="L566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66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66" s="1">
        <f>CLIENTS_CHURN345[[#This Row],[Facture_Mensuelle]]*CLIENTS_CHURN345[[#This Row],[Colonne12]]</f>
        <v>32.755500000000005</v>
      </c>
    </row>
    <row r="567" spans="1:14">
      <c r="A567" s="1" t="s">
        <v>551</v>
      </c>
      <c r="B567" t="s">
        <v>566</v>
      </c>
      <c r="C567" t="s">
        <v>76</v>
      </c>
      <c r="D567">
        <v>58</v>
      </c>
      <c r="E567" t="s">
        <v>11</v>
      </c>
      <c r="F567">
        <v>352</v>
      </c>
      <c r="G567">
        <v>72.94</v>
      </c>
      <c r="H567">
        <v>0</v>
      </c>
      <c r="I567">
        <f>CLIENTS_CHURN345[[#This Row],[Anciennete_Mois]]/12</f>
        <v>4.833333333333333</v>
      </c>
      <c r="J567">
        <f>CLIENTS_CHURN345[[#This Row],[Duree_Cumulee_Panne_Min]]/60</f>
        <v>5.8666666666666663</v>
      </c>
      <c r="K567" t="str">
        <f>IF(CLIENTS_CHURN345[[#This Row],[Type_Forfait]]="Pro Monde","B2B","B2C")</f>
        <v>B2B</v>
      </c>
      <c r="L567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67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67" s="1">
        <f>CLIENTS_CHURN345[[#This Row],[Facture_Mensuelle]]*CLIENTS_CHURN345[[#This Row],[Colonne12]]</f>
        <v>32.823</v>
      </c>
    </row>
    <row r="568" spans="1:14">
      <c r="A568" s="1" t="s">
        <v>653</v>
      </c>
      <c r="B568" t="s">
        <v>696</v>
      </c>
      <c r="C568" t="s">
        <v>107</v>
      </c>
      <c r="D568">
        <v>7</v>
      </c>
      <c r="E568" t="s">
        <v>14</v>
      </c>
      <c r="F568">
        <v>257</v>
      </c>
      <c r="G568">
        <v>73.040000000000006</v>
      </c>
      <c r="H568">
        <v>3</v>
      </c>
      <c r="I568">
        <f>CLIENTS_CHURN345[[#This Row],[Anciennete_Mois]]/12</f>
        <v>0.58333333333333337</v>
      </c>
      <c r="J568">
        <f>CLIENTS_CHURN345[[#This Row],[Duree_Cumulee_Panne_Min]]/60</f>
        <v>4.2833333333333332</v>
      </c>
      <c r="K568" t="str">
        <f>IF(CLIENTS_CHURN345[[#This Row],[Type_Forfait]]="Pro Monde","B2B","B2C")</f>
        <v>B2C</v>
      </c>
      <c r="L568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68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68" s="1">
        <f>CLIENTS_CHURN345[[#This Row],[Facture_Mensuelle]]*CLIENTS_CHURN345[[#This Row],[Colonne12]]</f>
        <v>32.868000000000002</v>
      </c>
    </row>
    <row r="569" spans="1:14">
      <c r="A569" s="1" t="s">
        <v>499</v>
      </c>
      <c r="B569" t="s">
        <v>537</v>
      </c>
      <c r="C569" t="s">
        <v>71</v>
      </c>
      <c r="D569">
        <v>113</v>
      </c>
      <c r="E569" t="s">
        <v>21</v>
      </c>
      <c r="F569">
        <v>428</v>
      </c>
      <c r="G569">
        <v>73.84</v>
      </c>
      <c r="H569">
        <v>0</v>
      </c>
      <c r="I569">
        <f>CLIENTS_CHURN345[[#This Row],[Anciennete_Mois]]/12</f>
        <v>9.4166666666666661</v>
      </c>
      <c r="J569">
        <f>CLIENTS_CHURN345[[#This Row],[Duree_Cumulee_Panne_Min]]/60</f>
        <v>7.1333333333333337</v>
      </c>
      <c r="K569" t="str">
        <f>IF(CLIENTS_CHURN345[[#This Row],[Type_Forfait]]="Pro Monde","B2B","B2C")</f>
        <v>B2C</v>
      </c>
      <c r="L569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69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69" s="1">
        <f>CLIENTS_CHURN345[[#This Row],[Facture_Mensuelle]]*CLIENTS_CHURN345[[#This Row],[Colonne12]]</f>
        <v>33.228000000000002</v>
      </c>
    </row>
    <row r="570" spans="1:14">
      <c r="A570" s="1" t="s">
        <v>344</v>
      </c>
      <c r="B570" t="s">
        <v>369</v>
      </c>
      <c r="C570" t="s">
        <v>26</v>
      </c>
      <c r="D570">
        <v>59</v>
      </c>
      <c r="E570" t="s">
        <v>32</v>
      </c>
      <c r="F570">
        <v>352</v>
      </c>
      <c r="G570">
        <v>74.239999999999995</v>
      </c>
      <c r="H570">
        <v>0</v>
      </c>
      <c r="I570">
        <f>CLIENTS_CHURN345[[#This Row],[Anciennete_Mois]]/12</f>
        <v>4.916666666666667</v>
      </c>
      <c r="J570">
        <f>CLIENTS_CHURN345[[#This Row],[Duree_Cumulee_Panne_Min]]/60</f>
        <v>5.8666666666666663</v>
      </c>
      <c r="K570" t="str">
        <f>IF(CLIENTS_CHURN345[[#This Row],[Type_Forfait]]="Pro Monde","B2B","B2C")</f>
        <v>B2C</v>
      </c>
      <c r="L570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70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70" s="1">
        <f>CLIENTS_CHURN345[[#This Row],[Facture_Mensuelle]]*CLIENTS_CHURN345[[#This Row],[Colonne12]]</f>
        <v>33.408000000000001</v>
      </c>
    </row>
    <row r="571" spans="1:14">
      <c r="A571" s="1" t="s">
        <v>8</v>
      </c>
      <c r="B571" t="s">
        <v>50</v>
      </c>
      <c r="C571" t="s">
        <v>45</v>
      </c>
      <c r="D571">
        <v>101</v>
      </c>
      <c r="E571" t="s">
        <v>11</v>
      </c>
      <c r="F571">
        <v>333</v>
      </c>
      <c r="G571">
        <v>74.319999999999993</v>
      </c>
      <c r="H571">
        <v>1</v>
      </c>
      <c r="I571">
        <f>CLIENTS_CHURN345[[#This Row],[Anciennete_Mois]]/12</f>
        <v>8.4166666666666661</v>
      </c>
      <c r="J571">
        <f>CLIENTS_CHURN345[[#This Row],[Duree_Cumulee_Panne_Min]]/60</f>
        <v>5.55</v>
      </c>
      <c r="K571" t="str">
        <f>IF(CLIENTS_CHURN345[[#This Row],[Type_Forfait]]="Pro Monde","B2B","B2C")</f>
        <v>B2B</v>
      </c>
      <c r="L571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71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71" s="1">
        <f>CLIENTS_CHURN345[[#This Row],[Facture_Mensuelle]]*CLIENTS_CHURN345[[#This Row],[Colonne12]]</f>
        <v>33.443999999999996</v>
      </c>
    </row>
    <row r="572" spans="1:14">
      <c r="A572" s="1" t="s">
        <v>653</v>
      </c>
      <c r="B572" t="s">
        <v>694</v>
      </c>
      <c r="C572" t="s">
        <v>76</v>
      </c>
      <c r="D572">
        <v>48</v>
      </c>
      <c r="E572" t="s">
        <v>32</v>
      </c>
      <c r="F572">
        <v>338</v>
      </c>
      <c r="G572">
        <v>74.42</v>
      </c>
      <c r="H572">
        <v>0</v>
      </c>
      <c r="I572">
        <f>CLIENTS_CHURN345[[#This Row],[Anciennete_Mois]]/12</f>
        <v>4</v>
      </c>
      <c r="J572">
        <f>CLIENTS_CHURN345[[#This Row],[Duree_Cumulee_Panne_Min]]/60</f>
        <v>5.6333333333333337</v>
      </c>
      <c r="K572" t="str">
        <f>IF(CLIENTS_CHURN345[[#This Row],[Type_Forfait]]="Pro Monde","B2B","B2C")</f>
        <v>B2C</v>
      </c>
      <c r="L572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72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72" s="1">
        <f>CLIENTS_CHURN345[[#This Row],[Facture_Mensuelle]]*CLIENTS_CHURN345[[#This Row],[Colonne12]]</f>
        <v>33.489000000000004</v>
      </c>
    </row>
    <row r="573" spans="1:14">
      <c r="A573" s="1" t="s">
        <v>602</v>
      </c>
      <c r="B573" t="s">
        <v>625</v>
      </c>
      <c r="C573" t="s">
        <v>40</v>
      </c>
      <c r="D573">
        <v>21</v>
      </c>
      <c r="E573" t="s">
        <v>14</v>
      </c>
      <c r="F573">
        <v>267</v>
      </c>
      <c r="G573">
        <v>74.989999999999995</v>
      </c>
      <c r="H573">
        <v>1</v>
      </c>
      <c r="I573">
        <f>CLIENTS_CHURN345[[#This Row],[Anciennete_Mois]]/12</f>
        <v>1.75</v>
      </c>
      <c r="J573">
        <f>CLIENTS_CHURN345[[#This Row],[Duree_Cumulee_Panne_Min]]/60</f>
        <v>4.45</v>
      </c>
      <c r="K573" t="str">
        <f>IF(CLIENTS_CHURN345[[#This Row],[Type_Forfait]]="Pro Monde","B2B","B2C")</f>
        <v>B2C</v>
      </c>
      <c r="L573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73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73" s="1">
        <f>CLIENTS_CHURN345[[#This Row],[Facture_Mensuelle]]*CLIENTS_CHURN345[[#This Row],[Colonne12]]</f>
        <v>33.7455</v>
      </c>
    </row>
    <row r="574" spans="1:14">
      <c r="A574" s="1" t="s">
        <v>447</v>
      </c>
      <c r="B574" t="s">
        <v>495</v>
      </c>
      <c r="C574" t="s">
        <v>18</v>
      </c>
      <c r="D574">
        <v>61</v>
      </c>
      <c r="E574" t="s">
        <v>11</v>
      </c>
      <c r="F574">
        <v>362</v>
      </c>
      <c r="G574">
        <v>75.03</v>
      </c>
      <c r="H574">
        <v>0</v>
      </c>
      <c r="I574">
        <f>CLIENTS_CHURN345[[#This Row],[Anciennete_Mois]]/12</f>
        <v>5.083333333333333</v>
      </c>
      <c r="J574">
        <f>CLIENTS_CHURN345[[#This Row],[Duree_Cumulee_Panne_Min]]/60</f>
        <v>6.0333333333333332</v>
      </c>
      <c r="K574" t="str">
        <f>IF(CLIENTS_CHURN345[[#This Row],[Type_Forfait]]="Pro Monde","B2B","B2C")</f>
        <v>B2B</v>
      </c>
      <c r="L574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74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74" s="1">
        <f>CLIENTS_CHURN345[[#This Row],[Facture_Mensuelle]]*CLIENTS_CHURN345[[#This Row],[Colonne12]]</f>
        <v>33.763500000000001</v>
      </c>
    </row>
    <row r="575" spans="1:14">
      <c r="A575" s="1" t="s">
        <v>85</v>
      </c>
      <c r="B575" t="s">
        <v>137</v>
      </c>
      <c r="C575" t="s">
        <v>45</v>
      </c>
      <c r="D575">
        <v>4</v>
      </c>
      <c r="E575" t="s">
        <v>14</v>
      </c>
      <c r="F575">
        <v>453</v>
      </c>
      <c r="G575">
        <v>75.260000000000005</v>
      </c>
      <c r="H575">
        <v>5</v>
      </c>
      <c r="I575">
        <f>CLIENTS_CHURN345[[#This Row],[Anciennete_Mois]]/12</f>
        <v>0.33333333333333331</v>
      </c>
      <c r="J575">
        <f>CLIENTS_CHURN345[[#This Row],[Duree_Cumulee_Panne_Min]]/60</f>
        <v>7.55</v>
      </c>
      <c r="K575" t="str">
        <f>IF(CLIENTS_CHURN345[[#This Row],[Type_Forfait]]="Pro Monde","B2B","B2C")</f>
        <v>B2C</v>
      </c>
      <c r="L575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75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75" s="1">
        <f>CLIENTS_CHURN345[[#This Row],[Facture_Mensuelle]]*CLIENTS_CHURN345[[#This Row],[Colonne12]]</f>
        <v>33.867000000000004</v>
      </c>
    </row>
    <row r="576" spans="1:14">
      <c r="A576" s="1" t="s">
        <v>447</v>
      </c>
      <c r="B576" t="s">
        <v>469</v>
      </c>
      <c r="C576" t="s">
        <v>52</v>
      </c>
      <c r="D576">
        <v>86</v>
      </c>
      <c r="E576" t="s">
        <v>32</v>
      </c>
      <c r="F576">
        <v>452</v>
      </c>
      <c r="G576">
        <v>75.680000000000007</v>
      </c>
      <c r="H576">
        <v>0</v>
      </c>
      <c r="I576">
        <f>CLIENTS_CHURN345[[#This Row],[Anciennete_Mois]]/12</f>
        <v>7.166666666666667</v>
      </c>
      <c r="J576">
        <f>CLIENTS_CHURN345[[#This Row],[Duree_Cumulee_Panne_Min]]/60</f>
        <v>7.5333333333333332</v>
      </c>
      <c r="K576" t="str">
        <f>IF(CLIENTS_CHURN345[[#This Row],[Type_Forfait]]="Pro Monde","B2B","B2C")</f>
        <v>B2C</v>
      </c>
      <c r="L576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76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76" s="1">
        <f>CLIENTS_CHURN345[[#This Row],[Facture_Mensuelle]]*CLIENTS_CHURN345[[#This Row],[Colonne12]]</f>
        <v>34.056000000000004</v>
      </c>
    </row>
    <row r="577" spans="1:14">
      <c r="A577" s="1" t="s">
        <v>447</v>
      </c>
      <c r="B577" t="s">
        <v>457</v>
      </c>
      <c r="C577" t="s">
        <v>10</v>
      </c>
      <c r="D577">
        <v>6</v>
      </c>
      <c r="E577" t="s">
        <v>32</v>
      </c>
      <c r="F577">
        <v>362</v>
      </c>
      <c r="G577">
        <v>75.739999999999995</v>
      </c>
      <c r="H577">
        <v>4</v>
      </c>
      <c r="I577">
        <f>CLIENTS_CHURN345[[#This Row],[Anciennete_Mois]]/12</f>
        <v>0.5</v>
      </c>
      <c r="J577">
        <f>CLIENTS_CHURN345[[#This Row],[Duree_Cumulee_Panne_Min]]/60</f>
        <v>6.0333333333333332</v>
      </c>
      <c r="K577" t="str">
        <f>IF(CLIENTS_CHURN345[[#This Row],[Type_Forfait]]="Pro Monde","B2B","B2C")</f>
        <v>B2C</v>
      </c>
      <c r="L577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77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77" s="1">
        <f>CLIENTS_CHURN345[[#This Row],[Facture_Mensuelle]]*CLIENTS_CHURN345[[#This Row],[Colonne12]]</f>
        <v>34.082999999999998</v>
      </c>
    </row>
    <row r="578" spans="1:14">
      <c r="A578" s="1" t="s">
        <v>8</v>
      </c>
      <c r="B578" t="s">
        <v>70</v>
      </c>
      <c r="C578" t="s">
        <v>71</v>
      </c>
      <c r="D578">
        <v>66</v>
      </c>
      <c r="E578" t="s">
        <v>21</v>
      </c>
      <c r="F578">
        <v>270</v>
      </c>
      <c r="G578">
        <v>75.88</v>
      </c>
      <c r="H578">
        <v>3</v>
      </c>
      <c r="I578">
        <f>CLIENTS_CHURN345[[#This Row],[Anciennete_Mois]]/12</f>
        <v>5.5</v>
      </c>
      <c r="J578">
        <f>CLIENTS_CHURN345[[#This Row],[Duree_Cumulee_Panne_Min]]/60</f>
        <v>4.5</v>
      </c>
      <c r="K578" t="str">
        <f>IF(CLIENTS_CHURN345[[#This Row],[Type_Forfait]]="Pro Monde","B2B","B2C")</f>
        <v>B2C</v>
      </c>
      <c r="L578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78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78" s="1">
        <f>CLIENTS_CHURN345[[#This Row],[Facture_Mensuelle]]*CLIENTS_CHURN345[[#This Row],[Colonne12]]</f>
        <v>34.146000000000001</v>
      </c>
    </row>
    <row r="579" spans="1:14">
      <c r="A579" s="1" t="s">
        <v>293</v>
      </c>
      <c r="B579" t="s">
        <v>333</v>
      </c>
      <c r="C579" t="s">
        <v>36</v>
      </c>
      <c r="D579">
        <v>118</v>
      </c>
      <c r="E579" t="s">
        <v>21</v>
      </c>
      <c r="F579">
        <v>489</v>
      </c>
      <c r="G579">
        <v>76.22</v>
      </c>
      <c r="H579">
        <v>2</v>
      </c>
      <c r="I579">
        <f>CLIENTS_CHURN345[[#This Row],[Anciennete_Mois]]/12</f>
        <v>9.8333333333333339</v>
      </c>
      <c r="J579">
        <f>CLIENTS_CHURN345[[#This Row],[Duree_Cumulee_Panne_Min]]/60</f>
        <v>8.15</v>
      </c>
      <c r="K579" t="str">
        <f>IF(CLIENTS_CHURN345[[#This Row],[Type_Forfait]]="Pro Monde","B2B","B2C")</f>
        <v>B2C</v>
      </c>
      <c r="L579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79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79" s="1">
        <f>CLIENTS_CHURN345[[#This Row],[Facture_Mensuelle]]*CLIENTS_CHURN345[[#This Row],[Colonne12]]</f>
        <v>34.298999999999999</v>
      </c>
    </row>
    <row r="580" spans="1:14">
      <c r="A580" s="1" t="s">
        <v>8</v>
      </c>
      <c r="B580" t="s">
        <v>25</v>
      </c>
      <c r="C580" t="s">
        <v>26</v>
      </c>
      <c r="D580">
        <v>22</v>
      </c>
      <c r="E580" t="s">
        <v>21</v>
      </c>
      <c r="F580">
        <v>451</v>
      </c>
      <c r="G580">
        <v>76.38</v>
      </c>
      <c r="H580">
        <v>3</v>
      </c>
      <c r="I580">
        <f>CLIENTS_CHURN345[[#This Row],[Anciennete_Mois]]/12</f>
        <v>1.8333333333333333</v>
      </c>
      <c r="J580">
        <f>CLIENTS_CHURN345[[#This Row],[Duree_Cumulee_Panne_Min]]/60</f>
        <v>7.5166666666666666</v>
      </c>
      <c r="K580" t="str">
        <f>IF(CLIENTS_CHURN345[[#This Row],[Type_Forfait]]="Pro Monde","B2B","B2C")</f>
        <v>B2C</v>
      </c>
      <c r="L580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80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80" s="1">
        <f>CLIENTS_CHURN345[[#This Row],[Facture_Mensuelle]]*CLIENTS_CHURN345[[#This Row],[Colonne12]]</f>
        <v>34.371000000000002</v>
      </c>
    </row>
    <row r="581" spans="1:14">
      <c r="A581" s="1" t="s">
        <v>242</v>
      </c>
      <c r="B581" t="s">
        <v>292</v>
      </c>
      <c r="C581" t="s">
        <v>45</v>
      </c>
      <c r="D581">
        <v>33</v>
      </c>
      <c r="E581" t="s">
        <v>14</v>
      </c>
      <c r="F581">
        <v>332</v>
      </c>
      <c r="G581">
        <v>76.41</v>
      </c>
      <c r="H581">
        <v>1</v>
      </c>
      <c r="I581">
        <f>CLIENTS_CHURN345[[#This Row],[Anciennete_Mois]]/12</f>
        <v>2.75</v>
      </c>
      <c r="J581">
        <f>CLIENTS_CHURN345[[#This Row],[Duree_Cumulee_Panne_Min]]/60</f>
        <v>5.5333333333333332</v>
      </c>
      <c r="K581" t="str">
        <f>IF(CLIENTS_CHURN345[[#This Row],[Type_Forfait]]="Pro Monde","B2B","B2C")</f>
        <v>B2C</v>
      </c>
      <c r="L581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81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81" s="1">
        <f>CLIENTS_CHURN345[[#This Row],[Facture_Mensuelle]]*CLIENTS_CHURN345[[#This Row],[Colonne12]]</f>
        <v>34.384500000000003</v>
      </c>
    </row>
    <row r="582" spans="1:14">
      <c r="A582" s="1" t="s">
        <v>395</v>
      </c>
      <c r="B582" t="s">
        <v>400</v>
      </c>
      <c r="C582" t="s">
        <v>13</v>
      </c>
      <c r="D582">
        <v>43</v>
      </c>
      <c r="E582" t="s">
        <v>32</v>
      </c>
      <c r="F582">
        <v>486</v>
      </c>
      <c r="G582">
        <v>76.42</v>
      </c>
      <c r="H582">
        <v>1</v>
      </c>
      <c r="I582">
        <f>CLIENTS_CHURN345[[#This Row],[Anciennete_Mois]]/12</f>
        <v>3.5833333333333335</v>
      </c>
      <c r="J582">
        <f>CLIENTS_CHURN345[[#This Row],[Duree_Cumulee_Panne_Min]]/60</f>
        <v>8.1</v>
      </c>
      <c r="K582" t="str">
        <f>IF(CLIENTS_CHURN345[[#This Row],[Type_Forfait]]="Pro Monde","B2B","B2C")</f>
        <v>B2C</v>
      </c>
      <c r="L582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82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82" s="1">
        <f>CLIENTS_CHURN345[[#This Row],[Facture_Mensuelle]]*CLIENTS_CHURN345[[#This Row],[Colonne12]]</f>
        <v>34.389000000000003</v>
      </c>
    </row>
    <row r="583" spans="1:14">
      <c r="A583" s="1" t="s">
        <v>293</v>
      </c>
      <c r="B583" t="s">
        <v>341</v>
      </c>
      <c r="C583" t="s">
        <v>107</v>
      </c>
      <c r="D583">
        <v>91</v>
      </c>
      <c r="E583" t="s">
        <v>21</v>
      </c>
      <c r="F583">
        <v>404</v>
      </c>
      <c r="G583">
        <v>76.53</v>
      </c>
      <c r="H583">
        <v>5</v>
      </c>
      <c r="I583">
        <f>CLIENTS_CHURN345[[#This Row],[Anciennete_Mois]]/12</f>
        <v>7.583333333333333</v>
      </c>
      <c r="J583">
        <f>CLIENTS_CHURN345[[#This Row],[Duree_Cumulee_Panne_Min]]/60</f>
        <v>6.7333333333333334</v>
      </c>
      <c r="K583" t="str">
        <f>IF(CLIENTS_CHURN345[[#This Row],[Type_Forfait]]="Pro Monde","B2B","B2C")</f>
        <v>B2C</v>
      </c>
      <c r="L583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83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83" s="1">
        <f>CLIENTS_CHURN345[[#This Row],[Facture_Mensuelle]]*CLIENTS_CHURN345[[#This Row],[Colonne12]]</f>
        <v>34.438500000000005</v>
      </c>
    </row>
    <row r="584" spans="1:14">
      <c r="A584" s="1" t="s">
        <v>344</v>
      </c>
      <c r="B584" t="s">
        <v>358</v>
      </c>
      <c r="C584" t="s">
        <v>76</v>
      </c>
      <c r="D584">
        <v>17</v>
      </c>
      <c r="E584" t="s">
        <v>21</v>
      </c>
      <c r="F584">
        <v>483</v>
      </c>
      <c r="G584">
        <v>77.08</v>
      </c>
      <c r="H584">
        <v>0</v>
      </c>
      <c r="I584">
        <f>CLIENTS_CHURN345[[#This Row],[Anciennete_Mois]]/12</f>
        <v>1.4166666666666667</v>
      </c>
      <c r="J584">
        <f>CLIENTS_CHURN345[[#This Row],[Duree_Cumulee_Panne_Min]]/60</f>
        <v>8.0500000000000007</v>
      </c>
      <c r="K584" t="str">
        <f>IF(CLIENTS_CHURN345[[#This Row],[Type_Forfait]]="Pro Monde","B2B","B2C")</f>
        <v>B2C</v>
      </c>
      <c r="L584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84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84" s="1">
        <f>CLIENTS_CHURN345[[#This Row],[Facture_Mensuelle]]*CLIENTS_CHURN345[[#This Row],[Colonne12]]</f>
        <v>34.686</v>
      </c>
    </row>
    <row r="585" spans="1:14">
      <c r="A585" s="1" t="s">
        <v>8</v>
      </c>
      <c r="B585" t="s">
        <v>77</v>
      </c>
      <c r="C585" t="s">
        <v>31</v>
      </c>
      <c r="D585">
        <v>15</v>
      </c>
      <c r="E585" t="s">
        <v>11</v>
      </c>
      <c r="F585">
        <v>403</v>
      </c>
      <c r="G585">
        <v>77.12</v>
      </c>
      <c r="H585">
        <v>1</v>
      </c>
      <c r="I585">
        <f>CLIENTS_CHURN345[[#This Row],[Anciennete_Mois]]/12</f>
        <v>1.25</v>
      </c>
      <c r="J585">
        <f>CLIENTS_CHURN345[[#This Row],[Duree_Cumulee_Panne_Min]]/60</f>
        <v>6.7166666666666668</v>
      </c>
      <c r="K585" t="str">
        <f>IF(CLIENTS_CHURN345[[#This Row],[Type_Forfait]]="Pro Monde","B2B","B2C")</f>
        <v>B2B</v>
      </c>
      <c r="L585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85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85" s="1">
        <f>CLIENTS_CHURN345[[#This Row],[Facture_Mensuelle]]*CLIENTS_CHURN345[[#This Row],[Colonne12]]</f>
        <v>34.704000000000001</v>
      </c>
    </row>
    <row r="586" spans="1:14">
      <c r="A586" s="1" t="s">
        <v>499</v>
      </c>
      <c r="B586" t="s">
        <v>503</v>
      </c>
      <c r="C586" t="s">
        <v>71</v>
      </c>
      <c r="D586">
        <v>15</v>
      </c>
      <c r="E586" t="s">
        <v>14</v>
      </c>
      <c r="F586">
        <v>400</v>
      </c>
      <c r="G586">
        <v>78.09</v>
      </c>
      <c r="H586">
        <v>0</v>
      </c>
      <c r="I586">
        <f>CLIENTS_CHURN345[[#This Row],[Anciennete_Mois]]/12</f>
        <v>1.25</v>
      </c>
      <c r="J586">
        <f>CLIENTS_CHURN345[[#This Row],[Duree_Cumulee_Panne_Min]]/60</f>
        <v>6.666666666666667</v>
      </c>
      <c r="K586" t="str">
        <f>IF(CLIENTS_CHURN345[[#This Row],[Type_Forfait]]="Pro Monde","B2B","B2C")</f>
        <v>B2C</v>
      </c>
      <c r="L586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86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86" s="1">
        <f>CLIENTS_CHURN345[[#This Row],[Facture_Mensuelle]]*CLIENTS_CHURN345[[#This Row],[Colonne12]]</f>
        <v>35.140500000000003</v>
      </c>
    </row>
    <row r="587" spans="1:14">
      <c r="A587" s="1" t="s">
        <v>8</v>
      </c>
      <c r="B587" t="s">
        <v>42</v>
      </c>
      <c r="C587" t="s">
        <v>43</v>
      </c>
      <c r="D587">
        <v>7</v>
      </c>
      <c r="E587" t="s">
        <v>32</v>
      </c>
      <c r="F587">
        <v>206</v>
      </c>
      <c r="G587">
        <v>78.09</v>
      </c>
      <c r="H587">
        <v>3</v>
      </c>
      <c r="I587">
        <f>CLIENTS_CHURN345[[#This Row],[Anciennete_Mois]]/12</f>
        <v>0.58333333333333337</v>
      </c>
      <c r="J587">
        <f>CLIENTS_CHURN345[[#This Row],[Duree_Cumulee_Panne_Min]]/60</f>
        <v>3.4333333333333331</v>
      </c>
      <c r="K587" t="str">
        <f>IF(CLIENTS_CHURN345[[#This Row],[Type_Forfait]]="Pro Monde","B2B","B2C")</f>
        <v>B2C</v>
      </c>
      <c r="L587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87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87" s="1">
        <f>CLIENTS_CHURN345[[#This Row],[Facture_Mensuelle]]*CLIENTS_CHURN345[[#This Row],[Colonne12]]</f>
        <v>35.140500000000003</v>
      </c>
    </row>
    <row r="588" spans="1:14">
      <c r="A588" s="1" t="s">
        <v>242</v>
      </c>
      <c r="B588" t="s">
        <v>268</v>
      </c>
      <c r="C588" t="s">
        <v>24</v>
      </c>
      <c r="D588">
        <v>15</v>
      </c>
      <c r="E588" t="s">
        <v>14</v>
      </c>
      <c r="F588">
        <v>319</v>
      </c>
      <c r="G588">
        <v>78.150000000000006</v>
      </c>
      <c r="H588">
        <v>4</v>
      </c>
      <c r="I588">
        <f>CLIENTS_CHURN345[[#This Row],[Anciennete_Mois]]/12</f>
        <v>1.25</v>
      </c>
      <c r="J588">
        <f>CLIENTS_CHURN345[[#This Row],[Duree_Cumulee_Panne_Min]]/60</f>
        <v>5.3166666666666664</v>
      </c>
      <c r="K588" t="str">
        <f>IF(CLIENTS_CHURN345[[#This Row],[Type_Forfait]]="Pro Monde","B2B","B2C")</f>
        <v>B2C</v>
      </c>
      <c r="L588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88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88" s="1">
        <f>CLIENTS_CHURN345[[#This Row],[Facture_Mensuelle]]*CLIENTS_CHURN345[[#This Row],[Colonne12]]</f>
        <v>35.167500000000004</v>
      </c>
    </row>
    <row r="589" spans="1:14">
      <c r="A589" s="1" t="s">
        <v>242</v>
      </c>
      <c r="B589" t="s">
        <v>262</v>
      </c>
      <c r="C589" t="s">
        <v>63</v>
      </c>
      <c r="D589">
        <v>92</v>
      </c>
      <c r="E589" t="s">
        <v>14</v>
      </c>
      <c r="F589">
        <v>472</v>
      </c>
      <c r="G589">
        <v>78.44</v>
      </c>
      <c r="H589">
        <v>1</v>
      </c>
      <c r="I589">
        <f>CLIENTS_CHURN345[[#This Row],[Anciennete_Mois]]/12</f>
        <v>7.666666666666667</v>
      </c>
      <c r="J589">
        <f>CLIENTS_CHURN345[[#This Row],[Duree_Cumulee_Panne_Min]]/60</f>
        <v>7.8666666666666663</v>
      </c>
      <c r="K589" t="str">
        <f>IF(CLIENTS_CHURN345[[#This Row],[Type_Forfait]]="Pro Monde","B2B","B2C")</f>
        <v>B2C</v>
      </c>
      <c r="L589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89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89" s="1">
        <f>CLIENTS_CHURN345[[#This Row],[Facture_Mensuelle]]*CLIENTS_CHURN345[[#This Row],[Colonne12]]</f>
        <v>35.298000000000002</v>
      </c>
    </row>
    <row r="590" spans="1:14">
      <c r="A590" s="1" t="s">
        <v>140</v>
      </c>
      <c r="B590" t="s">
        <v>183</v>
      </c>
      <c r="C590" t="s">
        <v>31</v>
      </c>
      <c r="D590">
        <v>104</v>
      </c>
      <c r="E590" t="s">
        <v>11</v>
      </c>
      <c r="F590">
        <v>317</v>
      </c>
      <c r="G590">
        <v>79.150000000000006</v>
      </c>
      <c r="H590">
        <v>1</v>
      </c>
      <c r="I590">
        <f>CLIENTS_CHURN345[[#This Row],[Anciennete_Mois]]/12</f>
        <v>8.6666666666666661</v>
      </c>
      <c r="J590">
        <f>CLIENTS_CHURN345[[#This Row],[Duree_Cumulee_Panne_Min]]/60</f>
        <v>5.2833333333333332</v>
      </c>
      <c r="K590" t="str">
        <f>IF(CLIENTS_CHURN345[[#This Row],[Type_Forfait]]="Pro Monde","B2B","B2C")</f>
        <v>B2B</v>
      </c>
      <c r="L590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90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90" s="1">
        <f>CLIENTS_CHURN345[[#This Row],[Facture_Mensuelle]]*CLIENTS_CHURN345[[#This Row],[Colonne12]]</f>
        <v>35.617500000000007</v>
      </c>
    </row>
    <row r="591" spans="1:14">
      <c r="A591" s="1" t="s">
        <v>8</v>
      </c>
      <c r="B591" t="s">
        <v>34</v>
      </c>
      <c r="C591" t="s">
        <v>10</v>
      </c>
      <c r="D591">
        <v>27</v>
      </c>
      <c r="E591" t="s">
        <v>14</v>
      </c>
      <c r="F591">
        <v>275</v>
      </c>
      <c r="G591">
        <v>80.069999999999993</v>
      </c>
      <c r="H591">
        <v>1</v>
      </c>
      <c r="I591">
        <f>CLIENTS_CHURN345[[#This Row],[Anciennete_Mois]]/12</f>
        <v>2.25</v>
      </c>
      <c r="J591">
        <f>CLIENTS_CHURN345[[#This Row],[Duree_Cumulee_Panne_Min]]/60</f>
        <v>4.583333333333333</v>
      </c>
      <c r="K591" t="str">
        <f>IF(CLIENTS_CHURN345[[#This Row],[Type_Forfait]]="Pro Monde","B2B","B2C")</f>
        <v>B2C</v>
      </c>
      <c r="L591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91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91" s="1">
        <f>CLIENTS_CHURN345[[#This Row],[Facture_Mensuelle]]*CLIENTS_CHURN345[[#This Row],[Colonne12]]</f>
        <v>36.031500000000001</v>
      </c>
    </row>
    <row r="592" spans="1:14">
      <c r="A592" s="1" t="s">
        <v>191</v>
      </c>
      <c r="B592" t="s">
        <v>234</v>
      </c>
      <c r="C592" t="s">
        <v>63</v>
      </c>
      <c r="D592">
        <v>42</v>
      </c>
      <c r="E592" t="s">
        <v>11</v>
      </c>
      <c r="F592">
        <v>389</v>
      </c>
      <c r="G592">
        <v>80.08</v>
      </c>
      <c r="H592">
        <v>1</v>
      </c>
      <c r="I592">
        <f>CLIENTS_CHURN345[[#This Row],[Anciennete_Mois]]/12</f>
        <v>3.5</v>
      </c>
      <c r="J592">
        <f>CLIENTS_CHURN345[[#This Row],[Duree_Cumulee_Panne_Min]]/60</f>
        <v>6.4833333333333334</v>
      </c>
      <c r="K592" t="str">
        <f>IF(CLIENTS_CHURN345[[#This Row],[Type_Forfait]]="Pro Monde","B2B","B2C")</f>
        <v>B2B</v>
      </c>
      <c r="L592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92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92" s="1">
        <f>CLIENTS_CHURN345[[#This Row],[Facture_Mensuelle]]*CLIENTS_CHURN345[[#This Row],[Colonne12]]</f>
        <v>36.036000000000001</v>
      </c>
    </row>
    <row r="593" spans="1:14">
      <c r="A593" s="1" t="s">
        <v>756</v>
      </c>
      <c r="B593" t="s">
        <v>789</v>
      </c>
      <c r="C593" t="s">
        <v>107</v>
      </c>
      <c r="D593">
        <v>79</v>
      </c>
      <c r="E593" t="s">
        <v>32</v>
      </c>
      <c r="F593">
        <v>454</v>
      </c>
      <c r="G593">
        <v>80.34</v>
      </c>
      <c r="H593">
        <v>2</v>
      </c>
      <c r="I593">
        <f>CLIENTS_CHURN345[[#This Row],[Anciennete_Mois]]/12</f>
        <v>6.583333333333333</v>
      </c>
      <c r="J593">
        <f>CLIENTS_CHURN345[[#This Row],[Duree_Cumulee_Panne_Min]]/60</f>
        <v>7.5666666666666664</v>
      </c>
      <c r="K593" t="str">
        <f>IF(CLIENTS_CHURN345[[#This Row],[Type_Forfait]]="Pro Monde","B2B","B2C")</f>
        <v>B2C</v>
      </c>
      <c r="L593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93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93" s="1">
        <f>CLIENTS_CHURN345[[#This Row],[Facture_Mensuelle]]*CLIENTS_CHURN345[[#This Row],[Colonne12]]</f>
        <v>36.153000000000006</v>
      </c>
    </row>
    <row r="594" spans="1:14">
      <c r="A594" s="1" t="s">
        <v>756</v>
      </c>
      <c r="B594" t="s">
        <v>769</v>
      </c>
      <c r="C594" t="s">
        <v>92</v>
      </c>
      <c r="D594">
        <v>96</v>
      </c>
      <c r="E594" t="s">
        <v>11</v>
      </c>
      <c r="F594">
        <v>280</v>
      </c>
      <c r="G594">
        <v>80.36</v>
      </c>
      <c r="H594">
        <v>5</v>
      </c>
      <c r="I594">
        <f>CLIENTS_CHURN345[[#This Row],[Anciennete_Mois]]/12</f>
        <v>8</v>
      </c>
      <c r="J594">
        <f>CLIENTS_CHURN345[[#This Row],[Duree_Cumulee_Panne_Min]]/60</f>
        <v>4.666666666666667</v>
      </c>
      <c r="K594" t="str">
        <f>IF(CLIENTS_CHURN345[[#This Row],[Type_Forfait]]="Pro Monde","B2B","B2C")</f>
        <v>B2B</v>
      </c>
      <c r="L594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94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94" s="1">
        <f>CLIENTS_CHURN345[[#This Row],[Facture_Mensuelle]]*CLIENTS_CHURN345[[#This Row],[Colonne12]]</f>
        <v>36.161999999999999</v>
      </c>
    </row>
    <row r="595" spans="1:14">
      <c r="A595" s="1" t="s">
        <v>85</v>
      </c>
      <c r="B595" t="s">
        <v>123</v>
      </c>
      <c r="C595" t="s">
        <v>29</v>
      </c>
      <c r="D595">
        <v>58</v>
      </c>
      <c r="E595" t="s">
        <v>14</v>
      </c>
      <c r="F595">
        <v>423</v>
      </c>
      <c r="G595">
        <v>80.459999999999994</v>
      </c>
      <c r="H595">
        <v>0</v>
      </c>
      <c r="I595">
        <f>CLIENTS_CHURN345[[#This Row],[Anciennete_Mois]]/12</f>
        <v>4.833333333333333</v>
      </c>
      <c r="J595">
        <f>CLIENTS_CHURN345[[#This Row],[Duree_Cumulee_Panne_Min]]/60</f>
        <v>7.05</v>
      </c>
      <c r="K595" t="str">
        <f>IF(CLIENTS_CHURN345[[#This Row],[Type_Forfait]]="Pro Monde","B2B","B2C")</f>
        <v>B2C</v>
      </c>
      <c r="L595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95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95" s="1">
        <f>CLIENTS_CHURN345[[#This Row],[Facture_Mensuelle]]*CLIENTS_CHURN345[[#This Row],[Colonne12]]</f>
        <v>36.207000000000001</v>
      </c>
    </row>
    <row r="596" spans="1:14">
      <c r="A596" s="1" t="s">
        <v>551</v>
      </c>
      <c r="B596" t="s">
        <v>586</v>
      </c>
      <c r="C596" t="s">
        <v>61</v>
      </c>
      <c r="D596">
        <v>47</v>
      </c>
      <c r="E596" t="s">
        <v>32</v>
      </c>
      <c r="F596">
        <v>350</v>
      </c>
      <c r="G596">
        <v>80.48</v>
      </c>
      <c r="H596">
        <v>3</v>
      </c>
      <c r="I596">
        <f>CLIENTS_CHURN345[[#This Row],[Anciennete_Mois]]/12</f>
        <v>3.9166666666666665</v>
      </c>
      <c r="J596">
        <f>CLIENTS_CHURN345[[#This Row],[Duree_Cumulee_Panne_Min]]/60</f>
        <v>5.833333333333333</v>
      </c>
      <c r="K596" t="str">
        <f>IF(CLIENTS_CHURN345[[#This Row],[Type_Forfait]]="Pro Monde","B2B","B2C")</f>
        <v>B2C</v>
      </c>
      <c r="L596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96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96" s="1">
        <f>CLIENTS_CHURN345[[#This Row],[Facture_Mensuelle]]*CLIENTS_CHURN345[[#This Row],[Colonne12]]</f>
        <v>36.216000000000001</v>
      </c>
    </row>
    <row r="597" spans="1:14">
      <c r="A597" s="1" t="s">
        <v>653</v>
      </c>
      <c r="B597" t="s">
        <v>699</v>
      </c>
      <c r="C597" t="s">
        <v>52</v>
      </c>
      <c r="D597">
        <v>112</v>
      </c>
      <c r="E597" t="s">
        <v>21</v>
      </c>
      <c r="F597">
        <v>281</v>
      </c>
      <c r="G597">
        <v>80.72</v>
      </c>
      <c r="H597">
        <v>2</v>
      </c>
      <c r="I597">
        <f>CLIENTS_CHURN345[[#This Row],[Anciennete_Mois]]/12</f>
        <v>9.3333333333333339</v>
      </c>
      <c r="J597">
        <f>CLIENTS_CHURN345[[#This Row],[Duree_Cumulee_Panne_Min]]/60</f>
        <v>4.6833333333333336</v>
      </c>
      <c r="K597" t="str">
        <f>IF(CLIENTS_CHURN345[[#This Row],[Type_Forfait]]="Pro Monde","B2B","B2C")</f>
        <v>B2C</v>
      </c>
      <c r="L597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97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97" s="1">
        <f>CLIENTS_CHURN345[[#This Row],[Facture_Mensuelle]]*CLIENTS_CHURN345[[#This Row],[Colonne12]]</f>
        <v>36.323999999999998</v>
      </c>
    </row>
    <row r="598" spans="1:14">
      <c r="A598" s="1" t="s">
        <v>344</v>
      </c>
      <c r="B598" t="s">
        <v>347</v>
      </c>
      <c r="C598" t="s">
        <v>76</v>
      </c>
      <c r="D598">
        <v>19</v>
      </c>
      <c r="E598" t="s">
        <v>14</v>
      </c>
      <c r="F598">
        <v>305</v>
      </c>
      <c r="G598">
        <v>81.11</v>
      </c>
      <c r="H598">
        <v>1</v>
      </c>
      <c r="I598">
        <f>CLIENTS_CHURN345[[#This Row],[Anciennete_Mois]]/12</f>
        <v>1.5833333333333333</v>
      </c>
      <c r="J598">
        <f>CLIENTS_CHURN345[[#This Row],[Duree_Cumulee_Panne_Min]]/60</f>
        <v>5.083333333333333</v>
      </c>
      <c r="K598" t="str">
        <f>IF(CLIENTS_CHURN345[[#This Row],[Type_Forfait]]="Pro Monde","B2B","B2C")</f>
        <v>B2C</v>
      </c>
      <c r="L598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98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98" s="1">
        <f>CLIENTS_CHURN345[[#This Row],[Facture_Mensuelle]]*CLIENTS_CHURN345[[#This Row],[Colonne12]]</f>
        <v>36.499499999999998</v>
      </c>
    </row>
    <row r="599" spans="1:14">
      <c r="A599" s="1" t="s">
        <v>293</v>
      </c>
      <c r="B599" t="s">
        <v>307</v>
      </c>
      <c r="C599" t="s">
        <v>61</v>
      </c>
      <c r="D599">
        <v>48</v>
      </c>
      <c r="E599" t="s">
        <v>32</v>
      </c>
      <c r="F599">
        <v>416</v>
      </c>
      <c r="G599">
        <v>81.260000000000005</v>
      </c>
      <c r="H599">
        <v>5</v>
      </c>
      <c r="I599">
        <f>CLIENTS_CHURN345[[#This Row],[Anciennete_Mois]]/12</f>
        <v>4</v>
      </c>
      <c r="J599">
        <f>CLIENTS_CHURN345[[#This Row],[Duree_Cumulee_Panne_Min]]/60</f>
        <v>6.9333333333333336</v>
      </c>
      <c r="K599" t="str">
        <f>IF(CLIENTS_CHURN345[[#This Row],[Type_Forfait]]="Pro Monde","B2B","B2C")</f>
        <v>B2C</v>
      </c>
      <c r="L599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599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599" s="1">
        <f>CLIENTS_CHURN345[[#This Row],[Facture_Mensuelle]]*CLIENTS_CHURN345[[#This Row],[Colonne12]]</f>
        <v>36.567</v>
      </c>
    </row>
    <row r="600" spans="1:14">
      <c r="A600" s="1" t="s">
        <v>602</v>
      </c>
      <c r="B600" t="s">
        <v>646</v>
      </c>
      <c r="C600" t="s">
        <v>36</v>
      </c>
      <c r="D600">
        <v>52</v>
      </c>
      <c r="E600" t="s">
        <v>14</v>
      </c>
      <c r="F600">
        <v>307</v>
      </c>
      <c r="G600">
        <v>81.38</v>
      </c>
      <c r="H600">
        <v>2</v>
      </c>
      <c r="I600">
        <f>CLIENTS_CHURN345[[#This Row],[Anciennete_Mois]]/12</f>
        <v>4.333333333333333</v>
      </c>
      <c r="J600">
        <f>CLIENTS_CHURN345[[#This Row],[Duree_Cumulee_Panne_Min]]/60</f>
        <v>5.1166666666666663</v>
      </c>
      <c r="K600" t="str">
        <f>IF(CLIENTS_CHURN345[[#This Row],[Type_Forfait]]="Pro Monde","B2B","B2C")</f>
        <v>B2C</v>
      </c>
      <c r="L600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600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600" s="1">
        <f>CLIENTS_CHURN345[[#This Row],[Facture_Mensuelle]]*CLIENTS_CHURN345[[#This Row],[Colonne12]]</f>
        <v>36.621000000000002</v>
      </c>
    </row>
    <row r="601" spans="1:14">
      <c r="A601" s="1" t="s">
        <v>344</v>
      </c>
      <c r="B601" t="s">
        <v>360</v>
      </c>
      <c r="C601" t="s">
        <v>63</v>
      </c>
      <c r="D601">
        <v>110</v>
      </c>
      <c r="E601" t="s">
        <v>32</v>
      </c>
      <c r="F601">
        <v>321</v>
      </c>
      <c r="G601">
        <v>81.569999999999993</v>
      </c>
      <c r="H601">
        <v>2</v>
      </c>
      <c r="I601">
        <f>CLIENTS_CHURN345[[#This Row],[Anciennete_Mois]]/12</f>
        <v>9.1666666666666661</v>
      </c>
      <c r="J601">
        <f>CLIENTS_CHURN345[[#This Row],[Duree_Cumulee_Panne_Min]]/60</f>
        <v>5.35</v>
      </c>
      <c r="K601" t="str">
        <f>IF(CLIENTS_CHURN345[[#This Row],[Type_Forfait]]="Pro Monde","B2B","B2C")</f>
        <v>B2C</v>
      </c>
      <c r="L601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601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601" s="1">
        <f>CLIENTS_CHURN345[[#This Row],[Facture_Mensuelle]]*CLIENTS_CHURN345[[#This Row],[Colonne12]]</f>
        <v>36.706499999999998</v>
      </c>
    </row>
    <row r="602" spans="1:14">
      <c r="A602" s="1" t="s">
        <v>344</v>
      </c>
      <c r="B602" t="s">
        <v>378</v>
      </c>
      <c r="C602" t="s">
        <v>76</v>
      </c>
      <c r="D602">
        <v>90</v>
      </c>
      <c r="E602" t="s">
        <v>21</v>
      </c>
      <c r="F602">
        <v>343</v>
      </c>
      <c r="G602">
        <v>82.05</v>
      </c>
      <c r="H602">
        <v>1</v>
      </c>
      <c r="I602">
        <f>CLIENTS_CHURN345[[#This Row],[Anciennete_Mois]]/12</f>
        <v>7.5</v>
      </c>
      <c r="J602">
        <f>CLIENTS_CHURN345[[#This Row],[Duree_Cumulee_Panne_Min]]/60</f>
        <v>5.7166666666666668</v>
      </c>
      <c r="K602" t="str">
        <f>IF(CLIENTS_CHURN345[[#This Row],[Type_Forfait]]="Pro Monde","B2B","B2C")</f>
        <v>B2C</v>
      </c>
      <c r="L602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602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602" s="1">
        <f>CLIENTS_CHURN345[[#This Row],[Facture_Mensuelle]]*CLIENTS_CHURN345[[#This Row],[Colonne12]]</f>
        <v>36.922499999999999</v>
      </c>
    </row>
    <row r="603" spans="1:14">
      <c r="A603" s="1" t="s">
        <v>756</v>
      </c>
      <c r="B603" t="s">
        <v>776</v>
      </c>
      <c r="C603" t="s">
        <v>43</v>
      </c>
      <c r="D603">
        <v>29</v>
      </c>
      <c r="E603" t="s">
        <v>14</v>
      </c>
      <c r="F603">
        <v>306</v>
      </c>
      <c r="G603">
        <v>82.16</v>
      </c>
      <c r="H603">
        <v>1</v>
      </c>
      <c r="I603">
        <f>CLIENTS_CHURN345[[#This Row],[Anciennete_Mois]]/12</f>
        <v>2.4166666666666665</v>
      </c>
      <c r="J603">
        <f>CLIENTS_CHURN345[[#This Row],[Duree_Cumulee_Panne_Min]]/60</f>
        <v>5.0999999999999996</v>
      </c>
      <c r="K603" t="str">
        <f>IF(CLIENTS_CHURN345[[#This Row],[Type_Forfait]]="Pro Monde","B2B","B2C")</f>
        <v>B2C</v>
      </c>
      <c r="L603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603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603" s="1">
        <f>CLIENTS_CHURN345[[#This Row],[Facture_Mensuelle]]*CLIENTS_CHURN345[[#This Row],[Colonne12]]</f>
        <v>36.972000000000001</v>
      </c>
    </row>
    <row r="604" spans="1:14">
      <c r="A604" s="1" t="s">
        <v>85</v>
      </c>
      <c r="B604" t="s">
        <v>93</v>
      </c>
      <c r="C604" t="s">
        <v>92</v>
      </c>
      <c r="D604">
        <v>91</v>
      </c>
      <c r="E604" t="s">
        <v>14</v>
      </c>
      <c r="F604">
        <v>300</v>
      </c>
      <c r="G604">
        <v>82.19</v>
      </c>
      <c r="H604">
        <v>1</v>
      </c>
      <c r="I604">
        <f>CLIENTS_CHURN345[[#This Row],[Anciennete_Mois]]/12</f>
        <v>7.583333333333333</v>
      </c>
      <c r="J604">
        <f>CLIENTS_CHURN345[[#This Row],[Duree_Cumulee_Panne_Min]]/60</f>
        <v>5</v>
      </c>
      <c r="K604" t="str">
        <f>IF(CLIENTS_CHURN345[[#This Row],[Type_Forfait]]="Pro Monde","B2B","B2C")</f>
        <v>B2C</v>
      </c>
      <c r="L604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604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604" s="1">
        <f>CLIENTS_CHURN345[[#This Row],[Facture_Mensuelle]]*CLIENTS_CHURN345[[#This Row],[Colonne12]]</f>
        <v>36.985500000000002</v>
      </c>
    </row>
    <row r="605" spans="1:14">
      <c r="A605" s="1" t="s">
        <v>602</v>
      </c>
      <c r="B605" t="s">
        <v>611</v>
      </c>
      <c r="C605" t="s">
        <v>31</v>
      </c>
      <c r="D605">
        <v>7</v>
      </c>
      <c r="E605" t="s">
        <v>11</v>
      </c>
      <c r="F605">
        <v>323</v>
      </c>
      <c r="G605">
        <v>82.81</v>
      </c>
      <c r="H605">
        <v>5</v>
      </c>
      <c r="I605">
        <f>CLIENTS_CHURN345[[#This Row],[Anciennete_Mois]]/12</f>
        <v>0.58333333333333337</v>
      </c>
      <c r="J605">
        <f>CLIENTS_CHURN345[[#This Row],[Duree_Cumulee_Panne_Min]]/60</f>
        <v>5.3833333333333337</v>
      </c>
      <c r="K605" t="str">
        <f>IF(CLIENTS_CHURN345[[#This Row],[Type_Forfait]]="Pro Monde","B2B","B2C")</f>
        <v>B2B</v>
      </c>
      <c r="L605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605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605" s="1">
        <f>CLIENTS_CHURN345[[#This Row],[Facture_Mensuelle]]*CLIENTS_CHURN345[[#This Row],[Colonne12]]</f>
        <v>37.264500000000005</v>
      </c>
    </row>
    <row r="606" spans="1:14">
      <c r="A606" s="1" t="s">
        <v>191</v>
      </c>
      <c r="B606" t="s">
        <v>228</v>
      </c>
      <c r="C606" t="s">
        <v>18</v>
      </c>
      <c r="D606">
        <v>66</v>
      </c>
      <c r="E606" t="s">
        <v>21</v>
      </c>
      <c r="F606">
        <v>387</v>
      </c>
      <c r="G606">
        <v>82.94</v>
      </c>
      <c r="H606">
        <v>3</v>
      </c>
      <c r="I606">
        <f>CLIENTS_CHURN345[[#This Row],[Anciennete_Mois]]/12</f>
        <v>5.5</v>
      </c>
      <c r="J606">
        <f>CLIENTS_CHURN345[[#This Row],[Duree_Cumulee_Panne_Min]]/60</f>
        <v>6.45</v>
      </c>
      <c r="K606" t="str">
        <f>IF(CLIENTS_CHURN345[[#This Row],[Type_Forfait]]="Pro Monde","B2B","B2C")</f>
        <v>B2C</v>
      </c>
      <c r="L606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606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606" s="1">
        <f>CLIENTS_CHURN345[[#This Row],[Facture_Mensuelle]]*CLIENTS_CHURN345[[#This Row],[Colonne12]]</f>
        <v>37.323</v>
      </c>
    </row>
    <row r="607" spans="1:14">
      <c r="A607" s="1" t="s">
        <v>551</v>
      </c>
      <c r="B607" t="s">
        <v>597</v>
      </c>
      <c r="C607" t="s">
        <v>40</v>
      </c>
      <c r="D607">
        <v>48</v>
      </c>
      <c r="E607" t="s">
        <v>14</v>
      </c>
      <c r="F607">
        <v>482</v>
      </c>
      <c r="G607">
        <v>83.24</v>
      </c>
      <c r="H607">
        <v>0</v>
      </c>
      <c r="I607">
        <f>CLIENTS_CHURN345[[#This Row],[Anciennete_Mois]]/12</f>
        <v>4</v>
      </c>
      <c r="J607">
        <f>CLIENTS_CHURN345[[#This Row],[Duree_Cumulee_Panne_Min]]/60</f>
        <v>8.0333333333333332</v>
      </c>
      <c r="K607" t="str">
        <f>IF(CLIENTS_CHURN345[[#This Row],[Type_Forfait]]="Pro Monde","B2B","B2C")</f>
        <v>B2C</v>
      </c>
      <c r="L607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607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607" s="1">
        <f>CLIENTS_CHURN345[[#This Row],[Facture_Mensuelle]]*CLIENTS_CHURN345[[#This Row],[Colonne12]]</f>
        <v>37.457999999999998</v>
      </c>
    </row>
    <row r="608" spans="1:14">
      <c r="A608" s="1" t="s">
        <v>8</v>
      </c>
      <c r="B608" t="s">
        <v>12</v>
      </c>
      <c r="C608" t="s">
        <v>13</v>
      </c>
      <c r="D608">
        <v>72</v>
      </c>
      <c r="E608" t="s">
        <v>14</v>
      </c>
      <c r="F608">
        <v>332</v>
      </c>
      <c r="G608">
        <v>83.36</v>
      </c>
      <c r="H608">
        <v>4</v>
      </c>
      <c r="I608">
        <f>CLIENTS_CHURN345[[#This Row],[Anciennete_Mois]]/12</f>
        <v>6</v>
      </c>
      <c r="J608">
        <f>CLIENTS_CHURN345[[#This Row],[Duree_Cumulee_Panne_Min]]/60</f>
        <v>5.5333333333333332</v>
      </c>
      <c r="K608" t="str">
        <f>IF(CLIENTS_CHURN345[[#This Row],[Type_Forfait]]="Pro Monde","B2B","B2C")</f>
        <v>B2C</v>
      </c>
      <c r="L608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608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608" s="1">
        <f>CLIENTS_CHURN345[[#This Row],[Facture_Mensuelle]]*CLIENTS_CHURN345[[#This Row],[Colonne12]]</f>
        <v>37.512</v>
      </c>
    </row>
    <row r="609" spans="1:14">
      <c r="A609" s="1" t="s">
        <v>499</v>
      </c>
      <c r="B609" t="s">
        <v>514</v>
      </c>
      <c r="C609" t="s">
        <v>16</v>
      </c>
      <c r="D609">
        <v>101</v>
      </c>
      <c r="E609" t="s">
        <v>14</v>
      </c>
      <c r="F609">
        <v>416</v>
      </c>
      <c r="G609">
        <v>83.49</v>
      </c>
      <c r="H609">
        <v>2</v>
      </c>
      <c r="I609">
        <f>CLIENTS_CHURN345[[#This Row],[Anciennete_Mois]]/12</f>
        <v>8.4166666666666661</v>
      </c>
      <c r="J609">
        <f>CLIENTS_CHURN345[[#This Row],[Duree_Cumulee_Panne_Min]]/60</f>
        <v>6.9333333333333336</v>
      </c>
      <c r="K609" t="str">
        <f>IF(CLIENTS_CHURN345[[#This Row],[Type_Forfait]]="Pro Monde","B2B","B2C")</f>
        <v>B2C</v>
      </c>
      <c r="L609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609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609" s="1">
        <f>CLIENTS_CHURN345[[#This Row],[Facture_Mensuelle]]*CLIENTS_CHURN345[[#This Row],[Colonne12]]</f>
        <v>37.570499999999996</v>
      </c>
    </row>
    <row r="610" spans="1:14">
      <c r="A610" s="1" t="s">
        <v>705</v>
      </c>
      <c r="B610" t="s">
        <v>729</v>
      </c>
      <c r="C610" t="s">
        <v>95</v>
      </c>
      <c r="D610">
        <v>110</v>
      </c>
      <c r="E610" t="s">
        <v>32</v>
      </c>
      <c r="F610">
        <v>289</v>
      </c>
      <c r="G610">
        <v>83.67</v>
      </c>
      <c r="H610">
        <v>4</v>
      </c>
      <c r="I610">
        <f>CLIENTS_CHURN345[[#This Row],[Anciennete_Mois]]/12</f>
        <v>9.1666666666666661</v>
      </c>
      <c r="J610">
        <f>CLIENTS_CHURN345[[#This Row],[Duree_Cumulee_Panne_Min]]/60</f>
        <v>4.8166666666666664</v>
      </c>
      <c r="K610" t="str">
        <f>IF(CLIENTS_CHURN345[[#This Row],[Type_Forfait]]="Pro Monde","B2B","B2C")</f>
        <v>B2C</v>
      </c>
      <c r="L610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610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610" s="1">
        <f>CLIENTS_CHURN345[[#This Row],[Facture_Mensuelle]]*CLIENTS_CHURN345[[#This Row],[Colonne12]]</f>
        <v>37.651499999999999</v>
      </c>
    </row>
    <row r="611" spans="1:14">
      <c r="A611" s="1" t="s">
        <v>140</v>
      </c>
      <c r="B611" t="s">
        <v>142</v>
      </c>
      <c r="C611" t="s">
        <v>79</v>
      </c>
      <c r="D611">
        <v>53</v>
      </c>
      <c r="E611" t="s">
        <v>21</v>
      </c>
      <c r="F611">
        <v>345</v>
      </c>
      <c r="G611">
        <v>83.73</v>
      </c>
      <c r="H611">
        <v>0</v>
      </c>
      <c r="I611">
        <f>CLIENTS_CHURN345[[#This Row],[Anciennete_Mois]]/12</f>
        <v>4.416666666666667</v>
      </c>
      <c r="J611">
        <f>CLIENTS_CHURN345[[#This Row],[Duree_Cumulee_Panne_Min]]/60</f>
        <v>5.75</v>
      </c>
      <c r="K611" t="str">
        <f>IF(CLIENTS_CHURN345[[#This Row],[Type_Forfait]]="Pro Monde","B2B","B2C")</f>
        <v>B2C</v>
      </c>
      <c r="L611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611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611" s="1">
        <f>CLIENTS_CHURN345[[#This Row],[Facture_Mensuelle]]*CLIENTS_CHURN345[[#This Row],[Colonne12]]</f>
        <v>37.6785</v>
      </c>
    </row>
    <row r="612" spans="1:14">
      <c r="A612" s="1" t="s">
        <v>602</v>
      </c>
      <c r="B612" t="s">
        <v>615</v>
      </c>
      <c r="C612" t="s">
        <v>24</v>
      </c>
      <c r="D612">
        <v>101</v>
      </c>
      <c r="E612" t="s">
        <v>14</v>
      </c>
      <c r="F612">
        <v>262</v>
      </c>
      <c r="G612">
        <v>83.74</v>
      </c>
      <c r="H612">
        <v>5</v>
      </c>
      <c r="I612">
        <f>CLIENTS_CHURN345[[#This Row],[Anciennete_Mois]]/12</f>
        <v>8.4166666666666661</v>
      </c>
      <c r="J612">
        <f>CLIENTS_CHURN345[[#This Row],[Duree_Cumulee_Panne_Min]]/60</f>
        <v>4.3666666666666663</v>
      </c>
      <c r="K612" t="str">
        <f>IF(CLIENTS_CHURN345[[#This Row],[Type_Forfait]]="Pro Monde","B2B","B2C")</f>
        <v>B2C</v>
      </c>
      <c r="L612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612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612" s="1">
        <f>CLIENTS_CHURN345[[#This Row],[Facture_Mensuelle]]*CLIENTS_CHURN345[[#This Row],[Colonne12]]</f>
        <v>37.683</v>
      </c>
    </row>
    <row r="613" spans="1:14">
      <c r="A613" s="1" t="s">
        <v>705</v>
      </c>
      <c r="B613" t="s">
        <v>755</v>
      </c>
      <c r="C613" t="s">
        <v>61</v>
      </c>
      <c r="D613">
        <v>7</v>
      </c>
      <c r="E613" t="s">
        <v>11</v>
      </c>
      <c r="F613">
        <v>332</v>
      </c>
      <c r="G613">
        <v>83.95</v>
      </c>
      <c r="H613">
        <v>4</v>
      </c>
      <c r="I613">
        <f>CLIENTS_CHURN345[[#This Row],[Anciennete_Mois]]/12</f>
        <v>0.58333333333333337</v>
      </c>
      <c r="J613">
        <f>CLIENTS_CHURN345[[#This Row],[Duree_Cumulee_Panne_Min]]/60</f>
        <v>5.5333333333333332</v>
      </c>
      <c r="K613" t="str">
        <f>IF(CLIENTS_CHURN345[[#This Row],[Type_Forfait]]="Pro Monde","B2B","B2C")</f>
        <v>B2B</v>
      </c>
      <c r="L613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613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613" s="1">
        <f>CLIENTS_CHURN345[[#This Row],[Facture_Mensuelle]]*CLIENTS_CHURN345[[#This Row],[Colonne12]]</f>
        <v>37.777500000000003</v>
      </c>
    </row>
    <row r="614" spans="1:14">
      <c r="A614" s="1" t="s">
        <v>395</v>
      </c>
      <c r="B614" t="s">
        <v>429</v>
      </c>
      <c r="C614" t="s">
        <v>52</v>
      </c>
      <c r="D614">
        <v>29</v>
      </c>
      <c r="E614" t="s">
        <v>32</v>
      </c>
      <c r="F614">
        <v>350</v>
      </c>
      <c r="G614">
        <v>84.32</v>
      </c>
      <c r="H614">
        <v>3</v>
      </c>
      <c r="I614">
        <f>CLIENTS_CHURN345[[#This Row],[Anciennete_Mois]]/12</f>
        <v>2.4166666666666665</v>
      </c>
      <c r="J614">
        <f>CLIENTS_CHURN345[[#This Row],[Duree_Cumulee_Panne_Min]]/60</f>
        <v>5.833333333333333</v>
      </c>
      <c r="K614" t="str">
        <f>IF(CLIENTS_CHURN345[[#This Row],[Type_Forfait]]="Pro Monde","B2B","B2C")</f>
        <v>B2C</v>
      </c>
      <c r="L614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614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614" s="1">
        <f>CLIENTS_CHURN345[[#This Row],[Facture_Mensuelle]]*CLIENTS_CHURN345[[#This Row],[Colonne12]]</f>
        <v>37.943999999999996</v>
      </c>
    </row>
    <row r="615" spans="1:14">
      <c r="A615" s="1" t="s">
        <v>499</v>
      </c>
      <c r="B615" t="s">
        <v>500</v>
      </c>
      <c r="C615" t="s">
        <v>18</v>
      </c>
      <c r="D615">
        <v>105</v>
      </c>
      <c r="E615" t="s">
        <v>11</v>
      </c>
      <c r="F615">
        <v>297</v>
      </c>
      <c r="G615">
        <v>84.66</v>
      </c>
      <c r="H615">
        <v>2</v>
      </c>
      <c r="I615">
        <f>CLIENTS_CHURN345[[#This Row],[Anciennete_Mois]]/12</f>
        <v>8.75</v>
      </c>
      <c r="J615">
        <f>CLIENTS_CHURN345[[#This Row],[Duree_Cumulee_Panne_Min]]/60</f>
        <v>4.95</v>
      </c>
      <c r="K615" t="str">
        <f>IF(CLIENTS_CHURN345[[#This Row],[Type_Forfait]]="Pro Monde","B2B","B2C")</f>
        <v>B2B</v>
      </c>
      <c r="L615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615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615" s="1">
        <f>CLIENTS_CHURN345[[#This Row],[Facture_Mensuelle]]*CLIENTS_CHURN345[[#This Row],[Colonne12]]</f>
        <v>38.097000000000001</v>
      </c>
    </row>
    <row r="616" spans="1:14">
      <c r="A616" s="1" t="s">
        <v>85</v>
      </c>
      <c r="B616" t="s">
        <v>138</v>
      </c>
      <c r="C616" t="s">
        <v>26</v>
      </c>
      <c r="D616">
        <v>91</v>
      </c>
      <c r="E616" t="s">
        <v>32</v>
      </c>
      <c r="F616">
        <v>467</v>
      </c>
      <c r="G616">
        <v>84.74</v>
      </c>
      <c r="H616">
        <v>1</v>
      </c>
      <c r="I616">
        <f>CLIENTS_CHURN345[[#This Row],[Anciennete_Mois]]/12</f>
        <v>7.583333333333333</v>
      </c>
      <c r="J616">
        <f>CLIENTS_CHURN345[[#This Row],[Duree_Cumulee_Panne_Min]]/60</f>
        <v>7.7833333333333332</v>
      </c>
      <c r="K616" t="str">
        <f>IF(CLIENTS_CHURN345[[#This Row],[Type_Forfait]]="Pro Monde","B2B","B2C")</f>
        <v>B2C</v>
      </c>
      <c r="L616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616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616" s="1">
        <f>CLIENTS_CHURN345[[#This Row],[Facture_Mensuelle]]*CLIENTS_CHURN345[[#This Row],[Colonne12]]</f>
        <v>38.132999999999996</v>
      </c>
    </row>
    <row r="617" spans="1:14">
      <c r="A617" s="1" t="s">
        <v>551</v>
      </c>
      <c r="B617" t="s">
        <v>594</v>
      </c>
      <c r="C617" t="s">
        <v>31</v>
      </c>
      <c r="D617">
        <v>47</v>
      </c>
      <c r="E617" t="s">
        <v>32</v>
      </c>
      <c r="F617">
        <v>457</v>
      </c>
      <c r="G617">
        <v>84.93</v>
      </c>
      <c r="H617">
        <v>2</v>
      </c>
      <c r="I617">
        <f>CLIENTS_CHURN345[[#This Row],[Anciennete_Mois]]/12</f>
        <v>3.9166666666666665</v>
      </c>
      <c r="J617">
        <f>CLIENTS_CHURN345[[#This Row],[Duree_Cumulee_Panne_Min]]/60</f>
        <v>7.6166666666666663</v>
      </c>
      <c r="K617" t="str">
        <f>IF(CLIENTS_CHURN345[[#This Row],[Type_Forfait]]="Pro Monde","B2B","B2C")</f>
        <v>B2C</v>
      </c>
      <c r="L617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617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617" s="1">
        <f>CLIENTS_CHURN345[[#This Row],[Facture_Mensuelle]]*CLIENTS_CHURN345[[#This Row],[Colonne12]]</f>
        <v>38.218500000000006</v>
      </c>
    </row>
    <row r="618" spans="1:14">
      <c r="A618" s="1" t="s">
        <v>705</v>
      </c>
      <c r="B618" t="s">
        <v>745</v>
      </c>
      <c r="C618" t="s">
        <v>76</v>
      </c>
      <c r="D618">
        <v>7</v>
      </c>
      <c r="E618" t="s">
        <v>11</v>
      </c>
      <c r="F618">
        <v>447</v>
      </c>
      <c r="G618">
        <v>84.95</v>
      </c>
      <c r="H618">
        <v>2</v>
      </c>
      <c r="I618">
        <f>CLIENTS_CHURN345[[#This Row],[Anciennete_Mois]]/12</f>
        <v>0.58333333333333337</v>
      </c>
      <c r="J618">
        <f>CLIENTS_CHURN345[[#This Row],[Duree_Cumulee_Panne_Min]]/60</f>
        <v>7.45</v>
      </c>
      <c r="K618" t="str">
        <f>IF(CLIENTS_CHURN345[[#This Row],[Type_Forfait]]="Pro Monde","B2B","B2C")</f>
        <v>B2B</v>
      </c>
      <c r="L618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618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618" s="1">
        <f>CLIENTS_CHURN345[[#This Row],[Facture_Mensuelle]]*CLIENTS_CHURN345[[#This Row],[Colonne12]]</f>
        <v>38.227499999999999</v>
      </c>
    </row>
    <row r="619" spans="1:14">
      <c r="A619" s="1" t="s">
        <v>191</v>
      </c>
      <c r="B619" t="s">
        <v>222</v>
      </c>
      <c r="C619" t="s">
        <v>71</v>
      </c>
      <c r="D619">
        <v>48</v>
      </c>
      <c r="E619" t="s">
        <v>14</v>
      </c>
      <c r="F619">
        <v>335</v>
      </c>
      <c r="G619">
        <v>85.09</v>
      </c>
      <c r="H619">
        <v>3</v>
      </c>
      <c r="I619">
        <f>CLIENTS_CHURN345[[#This Row],[Anciennete_Mois]]/12</f>
        <v>4</v>
      </c>
      <c r="J619">
        <f>CLIENTS_CHURN345[[#This Row],[Duree_Cumulee_Panne_Min]]/60</f>
        <v>5.583333333333333</v>
      </c>
      <c r="K619" t="str">
        <f>IF(CLIENTS_CHURN345[[#This Row],[Type_Forfait]]="Pro Monde","B2B","B2C")</f>
        <v>B2C</v>
      </c>
      <c r="L619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619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619" s="1">
        <f>CLIENTS_CHURN345[[#This Row],[Facture_Mensuelle]]*CLIENTS_CHURN345[[#This Row],[Colonne12]]</f>
        <v>38.290500000000002</v>
      </c>
    </row>
    <row r="620" spans="1:14">
      <c r="A620" s="1" t="s">
        <v>8</v>
      </c>
      <c r="B620" t="s">
        <v>49</v>
      </c>
      <c r="C620" t="s">
        <v>13</v>
      </c>
      <c r="D620">
        <v>78</v>
      </c>
      <c r="E620" t="s">
        <v>14</v>
      </c>
      <c r="F620">
        <v>312</v>
      </c>
      <c r="G620">
        <v>85.74</v>
      </c>
      <c r="H620">
        <v>2</v>
      </c>
      <c r="I620">
        <f>CLIENTS_CHURN345[[#This Row],[Anciennete_Mois]]/12</f>
        <v>6.5</v>
      </c>
      <c r="J620">
        <f>CLIENTS_CHURN345[[#This Row],[Duree_Cumulee_Panne_Min]]/60</f>
        <v>5.2</v>
      </c>
      <c r="K620" t="str">
        <f>IF(CLIENTS_CHURN345[[#This Row],[Type_Forfait]]="Pro Monde","B2B","B2C")</f>
        <v>B2C</v>
      </c>
      <c r="L620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620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620" s="1">
        <f>CLIENTS_CHURN345[[#This Row],[Facture_Mensuelle]]*CLIENTS_CHURN345[[#This Row],[Colonne12]]</f>
        <v>38.582999999999998</v>
      </c>
    </row>
    <row r="621" spans="1:14">
      <c r="A621" s="1" t="s">
        <v>499</v>
      </c>
      <c r="B621" t="s">
        <v>515</v>
      </c>
      <c r="C621" t="s">
        <v>107</v>
      </c>
      <c r="D621">
        <v>10</v>
      </c>
      <c r="E621" t="s">
        <v>32</v>
      </c>
      <c r="F621">
        <v>425</v>
      </c>
      <c r="G621">
        <v>85.75</v>
      </c>
      <c r="H621">
        <v>0</v>
      </c>
      <c r="I621">
        <f>CLIENTS_CHURN345[[#This Row],[Anciennete_Mois]]/12</f>
        <v>0.83333333333333337</v>
      </c>
      <c r="J621">
        <f>CLIENTS_CHURN345[[#This Row],[Duree_Cumulee_Panne_Min]]/60</f>
        <v>7.083333333333333</v>
      </c>
      <c r="K621" t="str">
        <f>IF(CLIENTS_CHURN345[[#This Row],[Type_Forfait]]="Pro Monde","B2B","B2C")</f>
        <v>B2C</v>
      </c>
      <c r="L621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621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621" s="1">
        <f>CLIENTS_CHURN345[[#This Row],[Facture_Mensuelle]]*CLIENTS_CHURN345[[#This Row],[Colonne12]]</f>
        <v>38.587499999999999</v>
      </c>
    </row>
    <row r="622" spans="1:14">
      <c r="A622" s="1" t="s">
        <v>344</v>
      </c>
      <c r="B622" t="s">
        <v>356</v>
      </c>
      <c r="C622" t="s">
        <v>45</v>
      </c>
      <c r="D622">
        <v>89</v>
      </c>
      <c r="E622" t="s">
        <v>21</v>
      </c>
      <c r="F622">
        <v>418</v>
      </c>
      <c r="G622">
        <v>86.63</v>
      </c>
      <c r="H622">
        <v>4</v>
      </c>
      <c r="I622">
        <f>CLIENTS_CHURN345[[#This Row],[Anciennete_Mois]]/12</f>
        <v>7.416666666666667</v>
      </c>
      <c r="J622">
        <f>CLIENTS_CHURN345[[#This Row],[Duree_Cumulee_Panne_Min]]/60</f>
        <v>6.9666666666666668</v>
      </c>
      <c r="K622" t="str">
        <f>IF(CLIENTS_CHURN345[[#This Row],[Type_Forfait]]="Pro Monde","B2B","B2C")</f>
        <v>B2C</v>
      </c>
      <c r="L622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622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622" s="1">
        <f>CLIENTS_CHURN345[[#This Row],[Facture_Mensuelle]]*CLIENTS_CHURN345[[#This Row],[Colonne12]]</f>
        <v>38.983499999999999</v>
      </c>
    </row>
    <row r="623" spans="1:14">
      <c r="A623" s="1" t="s">
        <v>653</v>
      </c>
      <c r="B623" t="s">
        <v>676</v>
      </c>
      <c r="C623" t="s">
        <v>18</v>
      </c>
      <c r="D623">
        <v>16</v>
      </c>
      <c r="E623" t="s">
        <v>32</v>
      </c>
      <c r="F623">
        <v>96</v>
      </c>
      <c r="G623">
        <v>86.78</v>
      </c>
      <c r="H623">
        <v>1</v>
      </c>
      <c r="I623">
        <f>CLIENTS_CHURN345[[#This Row],[Anciennete_Mois]]/12</f>
        <v>1.3333333333333333</v>
      </c>
      <c r="J623">
        <f>CLIENTS_CHURN345[[#This Row],[Duree_Cumulee_Panne_Min]]/60</f>
        <v>1.6</v>
      </c>
      <c r="K623" t="str">
        <f>IF(CLIENTS_CHURN345[[#This Row],[Type_Forfait]]="Pro Monde","B2B","B2C")</f>
        <v>B2C</v>
      </c>
      <c r="L623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623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623" s="1">
        <f>CLIENTS_CHURN345[[#This Row],[Facture_Mensuelle]]*CLIENTS_CHURN345[[#This Row],[Colonne12]]</f>
        <v>39.051000000000002</v>
      </c>
    </row>
    <row r="624" spans="1:14">
      <c r="A624" s="1" t="s">
        <v>447</v>
      </c>
      <c r="B624" t="s">
        <v>479</v>
      </c>
      <c r="C624" t="s">
        <v>26</v>
      </c>
      <c r="D624">
        <v>39</v>
      </c>
      <c r="E624" t="s">
        <v>21</v>
      </c>
      <c r="F624">
        <v>327</v>
      </c>
      <c r="G624">
        <v>87.24</v>
      </c>
      <c r="H624">
        <v>4</v>
      </c>
      <c r="I624">
        <f>CLIENTS_CHURN345[[#This Row],[Anciennete_Mois]]/12</f>
        <v>3.25</v>
      </c>
      <c r="J624">
        <f>CLIENTS_CHURN345[[#This Row],[Duree_Cumulee_Panne_Min]]/60</f>
        <v>5.45</v>
      </c>
      <c r="K624" t="str">
        <f>IF(CLIENTS_CHURN345[[#This Row],[Type_Forfait]]="Pro Monde","B2B","B2C")</f>
        <v>B2C</v>
      </c>
      <c r="L624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624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624" s="1">
        <f>CLIENTS_CHURN345[[#This Row],[Facture_Mensuelle]]*CLIENTS_CHURN345[[#This Row],[Colonne12]]</f>
        <v>39.257999999999996</v>
      </c>
    </row>
    <row r="625" spans="1:14">
      <c r="A625" s="1" t="s">
        <v>191</v>
      </c>
      <c r="B625" t="s">
        <v>226</v>
      </c>
      <c r="C625" t="s">
        <v>61</v>
      </c>
      <c r="D625">
        <v>11</v>
      </c>
      <c r="E625" t="s">
        <v>32</v>
      </c>
      <c r="F625">
        <v>191</v>
      </c>
      <c r="G625">
        <v>87.37</v>
      </c>
      <c r="H625">
        <v>3</v>
      </c>
      <c r="I625">
        <f>CLIENTS_CHURN345[[#This Row],[Anciennete_Mois]]/12</f>
        <v>0.91666666666666663</v>
      </c>
      <c r="J625">
        <f>CLIENTS_CHURN345[[#This Row],[Duree_Cumulee_Panne_Min]]/60</f>
        <v>3.1833333333333331</v>
      </c>
      <c r="K625" t="str">
        <f>IF(CLIENTS_CHURN345[[#This Row],[Type_Forfait]]="Pro Monde","B2B","B2C")</f>
        <v>B2C</v>
      </c>
      <c r="L625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625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625" s="1">
        <f>CLIENTS_CHURN345[[#This Row],[Facture_Mensuelle]]*CLIENTS_CHURN345[[#This Row],[Colonne12]]</f>
        <v>39.316500000000005</v>
      </c>
    </row>
    <row r="626" spans="1:14">
      <c r="A626" s="1" t="s">
        <v>551</v>
      </c>
      <c r="B626" t="s">
        <v>595</v>
      </c>
      <c r="C626" t="s">
        <v>52</v>
      </c>
      <c r="D626">
        <v>84</v>
      </c>
      <c r="E626" t="s">
        <v>14</v>
      </c>
      <c r="F626">
        <v>364</v>
      </c>
      <c r="G626">
        <v>87.79</v>
      </c>
      <c r="H626">
        <v>3</v>
      </c>
      <c r="I626">
        <f>CLIENTS_CHURN345[[#This Row],[Anciennete_Mois]]/12</f>
        <v>7</v>
      </c>
      <c r="J626">
        <f>CLIENTS_CHURN345[[#This Row],[Duree_Cumulee_Panne_Min]]/60</f>
        <v>6.0666666666666664</v>
      </c>
      <c r="K626" t="str">
        <f>IF(CLIENTS_CHURN345[[#This Row],[Type_Forfait]]="Pro Monde","B2B","B2C")</f>
        <v>B2C</v>
      </c>
      <c r="L626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626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626" s="1">
        <f>CLIENTS_CHURN345[[#This Row],[Facture_Mensuelle]]*CLIENTS_CHURN345[[#This Row],[Colonne12]]</f>
        <v>39.505500000000005</v>
      </c>
    </row>
    <row r="627" spans="1:14">
      <c r="A627" s="1" t="s">
        <v>191</v>
      </c>
      <c r="B627" t="s">
        <v>201</v>
      </c>
      <c r="C627" t="s">
        <v>92</v>
      </c>
      <c r="D627">
        <v>82</v>
      </c>
      <c r="E627" t="s">
        <v>32</v>
      </c>
      <c r="F627">
        <v>264</v>
      </c>
      <c r="G627">
        <v>88.03</v>
      </c>
      <c r="H627">
        <v>1</v>
      </c>
      <c r="I627">
        <f>CLIENTS_CHURN345[[#This Row],[Anciennete_Mois]]/12</f>
        <v>6.833333333333333</v>
      </c>
      <c r="J627">
        <f>CLIENTS_CHURN345[[#This Row],[Duree_Cumulee_Panne_Min]]/60</f>
        <v>4.4000000000000004</v>
      </c>
      <c r="K627" t="str">
        <f>IF(CLIENTS_CHURN345[[#This Row],[Type_Forfait]]="Pro Monde","B2B","B2C")</f>
        <v>B2C</v>
      </c>
      <c r="L627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627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627" s="1">
        <f>CLIENTS_CHURN345[[#This Row],[Facture_Mensuelle]]*CLIENTS_CHURN345[[#This Row],[Colonne12]]</f>
        <v>39.613500000000002</v>
      </c>
    </row>
    <row r="628" spans="1:14">
      <c r="A628" s="1" t="s">
        <v>447</v>
      </c>
      <c r="B628" t="s">
        <v>450</v>
      </c>
      <c r="C628" t="s">
        <v>57</v>
      </c>
      <c r="D628">
        <v>42</v>
      </c>
      <c r="E628" t="s">
        <v>14</v>
      </c>
      <c r="F628">
        <v>436</v>
      </c>
      <c r="G628">
        <v>88.12</v>
      </c>
      <c r="H628">
        <v>0</v>
      </c>
      <c r="I628">
        <f>CLIENTS_CHURN345[[#This Row],[Anciennete_Mois]]/12</f>
        <v>3.5</v>
      </c>
      <c r="J628">
        <f>CLIENTS_CHURN345[[#This Row],[Duree_Cumulee_Panne_Min]]/60</f>
        <v>7.2666666666666666</v>
      </c>
      <c r="K628" t="str">
        <f>IF(CLIENTS_CHURN345[[#This Row],[Type_Forfait]]="Pro Monde","B2B","B2C")</f>
        <v>B2C</v>
      </c>
      <c r="L628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628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628" s="1">
        <f>CLIENTS_CHURN345[[#This Row],[Facture_Mensuelle]]*CLIENTS_CHURN345[[#This Row],[Colonne12]]</f>
        <v>39.654000000000003</v>
      </c>
    </row>
    <row r="629" spans="1:14">
      <c r="A629" s="1" t="s">
        <v>293</v>
      </c>
      <c r="B629" t="s">
        <v>312</v>
      </c>
      <c r="C629" t="s">
        <v>13</v>
      </c>
      <c r="D629">
        <v>99</v>
      </c>
      <c r="E629" t="s">
        <v>11</v>
      </c>
      <c r="F629">
        <v>325</v>
      </c>
      <c r="G629">
        <v>88.35</v>
      </c>
      <c r="H629">
        <v>4</v>
      </c>
      <c r="I629">
        <f>CLIENTS_CHURN345[[#This Row],[Anciennete_Mois]]/12</f>
        <v>8.25</v>
      </c>
      <c r="J629">
        <f>CLIENTS_CHURN345[[#This Row],[Duree_Cumulee_Panne_Min]]/60</f>
        <v>5.416666666666667</v>
      </c>
      <c r="K629" t="str">
        <f>IF(CLIENTS_CHURN345[[#This Row],[Type_Forfait]]="Pro Monde","B2B","B2C")</f>
        <v>B2B</v>
      </c>
      <c r="L629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629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629" s="1">
        <f>CLIENTS_CHURN345[[#This Row],[Facture_Mensuelle]]*CLIENTS_CHURN345[[#This Row],[Colonne12]]</f>
        <v>39.7575</v>
      </c>
    </row>
    <row r="630" spans="1:14">
      <c r="A630" s="1" t="s">
        <v>395</v>
      </c>
      <c r="B630" t="s">
        <v>445</v>
      </c>
      <c r="C630" t="s">
        <v>16</v>
      </c>
      <c r="D630">
        <v>97</v>
      </c>
      <c r="E630" t="s">
        <v>11</v>
      </c>
      <c r="F630">
        <v>276</v>
      </c>
      <c r="G630">
        <v>88.35</v>
      </c>
      <c r="H630">
        <v>0</v>
      </c>
      <c r="I630">
        <f>CLIENTS_CHURN345[[#This Row],[Anciennete_Mois]]/12</f>
        <v>8.0833333333333339</v>
      </c>
      <c r="J630">
        <f>CLIENTS_CHURN345[[#This Row],[Duree_Cumulee_Panne_Min]]/60</f>
        <v>4.5999999999999996</v>
      </c>
      <c r="K630" t="str">
        <f>IF(CLIENTS_CHURN345[[#This Row],[Type_Forfait]]="Pro Monde","B2B","B2C")</f>
        <v>B2B</v>
      </c>
      <c r="L630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630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630" s="1">
        <f>CLIENTS_CHURN345[[#This Row],[Facture_Mensuelle]]*CLIENTS_CHURN345[[#This Row],[Colonne12]]</f>
        <v>39.7575</v>
      </c>
    </row>
    <row r="631" spans="1:14">
      <c r="A631" s="1" t="s">
        <v>293</v>
      </c>
      <c r="B631" t="s">
        <v>299</v>
      </c>
      <c r="C631" t="s">
        <v>71</v>
      </c>
      <c r="D631">
        <v>98</v>
      </c>
      <c r="E631" t="s">
        <v>32</v>
      </c>
      <c r="F631">
        <v>319</v>
      </c>
      <c r="G631">
        <v>88.58</v>
      </c>
      <c r="H631">
        <v>0</v>
      </c>
      <c r="I631">
        <f>CLIENTS_CHURN345[[#This Row],[Anciennete_Mois]]/12</f>
        <v>8.1666666666666661</v>
      </c>
      <c r="J631">
        <f>CLIENTS_CHURN345[[#This Row],[Duree_Cumulee_Panne_Min]]/60</f>
        <v>5.3166666666666664</v>
      </c>
      <c r="K631" t="str">
        <f>IF(CLIENTS_CHURN345[[#This Row],[Type_Forfait]]="Pro Monde","B2B","B2C")</f>
        <v>B2C</v>
      </c>
      <c r="L631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631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631" s="1">
        <f>CLIENTS_CHURN345[[#This Row],[Facture_Mensuelle]]*CLIENTS_CHURN345[[#This Row],[Colonne12]]</f>
        <v>39.860999999999997</v>
      </c>
    </row>
    <row r="632" spans="1:14">
      <c r="A632" s="1" t="s">
        <v>756</v>
      </c>
      <c r="B632" t="s">
        <v>766</v>
      </c>
      <c r="C632" t="s">
        <v>76</v>
      </c>
      <c r="D632">
        <v>26</v>
      </c>
      <c r="E632" t="s">
        <v>21</v>
      </c>
      <c r="F632">
        <v>378</v>
      </c>
      <c r="G632">
        <v>88.59</v>
      </c>
      <c r="H632">
        <v>4</v>
      </c>
      <c r="I632">
        <f>CLIENTS_CHURN345[[#This Row],[Anciennete_Mois]]/12</f>
        <v>2.1666666666666665</v>
      </c>
      <c r="J632">
        <f>CLIENTS_CHURN345[[#This Row],[Duree_Cumulee_Panne_Min]]/60</f>
        <v>6.3</v>
      </c>
      <c r="K632" t="str">
        <f>IF(CLIENTS_CHURN345[[#This Row],[Type_Forfait]]="Pro Monde","B2B","B2C")</f>
        <v>B2C</v>
      </c>
      <c r="L632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632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632" s="1">
        <f>CLIENTS_CHURN345[[#This Row],[Facture_Mensuelle]]*CLIENTS_CHURN345[[#This Row],[Colonne12]]</f>
        <v>39.865500000000004</v>
      </c>
    </row>
    <row r="633" spans="1:14">
      <c r="A633" s="1" t="s">
        <v>140</v>
      </c>
      <c r="B633" t="s">
        <v>174</v>
      </c>
      <c r="C633" t="s">
        <v>26</v>
      </c>
      <c r="D633">
        <v>58</v>
      </c>
      <c r="E633" t="s">
        <v>14</v>
      </c>
      <c r="F633">
        <v>293</v>
      </c>
      <c r="G633">
        <v>88.85</v>
      </c>
      <c r="H633">
        <v>5</v>
      </c>
      <c r="I633">
        <f>CLIENTS_CHURN345[[#This Row],[Anciennete_Mois]]/12</f>
        <v>4.833333333333333</v>
      </c>
      <c r="J633">
        <f>CLIENTS_CHURN345[[#This Row],[Duree_Cumulee_Panne_Min]]/60</f>
        <v>4.8833333333333337</v>
      </c>
      <c r="K633" t="str">
        <f>IF(CLIENTS_CHURN345[[#This Row],[Type_Forfait]]="Pro Monde","B2B","B2C")</f>
        <v>B2C</v>
      </c>
      <c r="L633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633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633" s="1">
        <f>CLIENTS_CHURN345[[#This Row],[Facture_Mensuelle]]*CLIENTS_CHURN345[[#This Row],[Colonne12]]</f>
        <v>39.982500000000002</v>
      </c>
    </row>
    <row r="634" spans="1:14">
      <c r="A634" s="1" t="s">
        <v>756</v>
      </c>
      <c r="B634" t="s">
        <v>784</v>
      </c>
      <c r="C634" t="s">
        <v>43</v>
      </c>
      <c r="D634">
        <v>33</v>
      </c>
      <c r="E634" t="s">
        <v>11</v>
      </c>
      <c r="F634">
        <v>391</v>
      </c>
      <c r="G634">
        <v>88.88</v>
      </c>
      <c r="H634">
        <v>4</v>
      </c>
      <c r="I634">
        <f>CLIENTS_CHURN345[[#This Row],[Anciennete_Mois]]/12</f>
        <v>2.75</v>
      </c>
      <c r="J634">
        <f>CLIENTS_CHURN345[[#This Row],[Duree_Cumulee_Panne_Min]]/60</f>
        <v>6.5166666666666666</v>
      </c>
      <c r="K634" t="str">
        <f>IF(CLIENTS_CHURN345[[#This Row],[Type_Forfait]]="Pro Monde","B2B","B2C")</f>
        <v>B2B</v>
      </c>
      <c r="L634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634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634" s="1">
        <f>CLIENTS_CHURN345[[#This Row],[Facture_Mensuelle]]*CLIENTS_CHURN345[[#This Row],[Colonne12]]</f>
        <v>39.996000000000002</v>
      </c>
    </row>
    <row r="635" spans="1:14">
      <c r="A635" s="1" t="s">
        <v>602</v>
      </c>
      <c r="B635" t="s">
        <v>620</v>
      </c>
      <c r="C635" t="s">
        <v>40</v>
      </c>
      <c r="D635">
        <v>108</v>
      </c>
      <c r="E635" t="s">
        <v>14</v>
      </c>
      <c r="F635">
        <v>460</v>
      </c>
      <c r="G635">
        <v>88.95</v>
      </c>
      <c r="H635">
        <v>3</v>
      </c>
      <c r="I635">
        <f>CLIENTS_CHURN345[[#This Row],[Anciennete_Mois]]/12</f>
        <v>9</v>
      </c>
      <c r="J635">
        <f>CLIENTS_CHURN345[[#This Row],[Duree_Cumulee_Panne_Min]]/60</f>
        <v>7.666666666666667</v>
      </c>
      <c r="K635" t="str">
        <f>IF(CLIENTS_CHURN345[[#This Row],[Type_Forfait]]="Pro Monde","B2B","B2C")</f>
        <v>B2C</v>
      </c>
      <c r="L635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635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635" s="1">
        <f>CLIENTS_CHURN345[[#This Row],[Facture_Mensuelle]]*CLIENTS_CHURN345[[#This Row],[Colonne12]]</f>
        <v>40.027500000000003</v>
      </c>
    </row>
    <row r="636" spans="1:14">
      <c r="A636" s="1" t="s">
        <v>85</v>
      </c>
      <c r="B636" t="s">
        <v>94</v>
      </c>
      <c r="C636" t="s">
        <v>95</v>
      </c>
      <c r="D636">
        <v>40</v>
      </c>
      <c r="E636" t="s">
        <v>32</v>
      </c>
      <c r="F636">
        <v>345</v>
      </c>
      <c r="G636">
        <v>89.55</v>
      </c>
      <c r="H636">
        <v>3</v>
      </c>
      <c r="I636">
        <f>CLIENTS_CHURN345[[#This Row],[Anciennete_Mois]]/12</f>
        <v>3.3333333333333335</v>
      </c>
      <c r="J636">
        <f>CLIENTS_CHURN345[[#This Row],[Duree_Cumulee_Panne_Min]]/60</f>
        <v>5.75</v>
      </c>
      <c r="K636" t="str">
        <f>IF(CLIENTS_CHURN345[[#This Row],[Type_Forfait]]="Pro Monde","B2B","B2C")</f>
        <v>B2C</v>
      </c>
      <c r="L636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636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636" s="1">
        <f>CLIENTS_CHURN345[[#This Row],[Facture_Mensuelle]]*CLIENTS_CHURN345[[#This Row],[Colonne12]]</f>
        <v>40.297499999999999</v>
      </c>
    </row>
    <row r="637" spans="1:14">
      <c r="A637" s="1" t="s">
        <v>447</v>
      </c>
      <c r="B637" t="s">
        <v>466</v>
      </c>
      <c r="C637" t="s">
        <v>31</v>
      </c>
      <c r="D637">
        <v>36</v>
      </c>
      <c r="E637" t="s">
        <v>14</v>
      </c>
      <c r="F637">
        <v>303</v>
      </c>
      <c r="G637">
        <v>89.56</v>
      </c>
      <c r="H637">
        <v>1</v>
      </c>
      <c r="I637">
        <f>CLIENTS_CHURN345[[#This Row],[Anciennete_Mois]]/12</f>
        <v>3</v>
      </c>
      <c r="J637">
        <f>CLIENTS_CHURN345[[#This Row],[Duree_Cumulee_Panne_Min]]/60</f>
        <v>5.05</v>
      </c>
      <c r="K637" t="str">
        <f>IF(CLIENTS_CHURN345[[#This Row],[Type_Forfait]]="Pro Monde","B2B","B2C")</f>
        <v>B2C</v>
      </c>
      <c r="L637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637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637" s="1">
        <f>CLIENTS_CHURN345[[#This Row],[Facture_Mensuelle]]*CLIENTS_CHURN345[[#This Row],[Colonne12]]</f>
        <v>40.302</v>
      </c>
    </row>
    <row r="638" spans="1:14">
      <c r="A638" s="1" t="s">
        <v>395</v>
      </c>
      <c r="B638" t="s">
        <v>417</v>
      </c>
      <c r="C638" t="s">
        <v>38</v>
      </c>
      <c r="D638">
        <v>16</v>
      </c>
      <c r="E638" t="s">
        <v>32</v>
      </c>
      <c r="F638">
        <v>391</v>
      </c>
      <c r="G638">
        <v>90.12</v>
      </c>
      <c r="H638">
        <v>5</v>
      </c>
      <c r="I638">
        <f>CLIENTS_CHURN345[[#This Row],[Anciennete_Mois]]/12</f>
        <v>1.3333333333333333</v>
      </c>
      <c r="J638">
        <f>CLIENTS_CHURN345[[#This Row],[Duree_Cumulee_Panne_Min]]/60</f>
        <v>6.5166666666666666</v>
      </c>
      <c r="K638" t="str">
        <f>IF(CLIENTS_CHURN345[[#This Row],[Type_Forfait]]="Pro Monde","B2B","B2C")</f>
        <v>B2C</v>
      </c>
      <c r="L638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638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638" s="1">
        <f>CLIENTS_CHURN345[[#This Row],[Facture_Mensuelle]]*CLIENTS_CHURN345[[#This Row],[Colonne12]]</f>
        <v>40.554000000000002</v>
      </c>
    </row>
    <row r="639" spans="1:14">
      <c r="A639" s="1" t="s">
        <v>242</v>
      </c>
      <c r="B639" t="s">
        <v>271</v>
      </c>
      <c r="C639" t="s">
        <v>107</v>
      </c>
      <c r="D639">
        <v>5</v>
      </c>
      <c r="E639" t="s">
        <v>32</v>
      </c>
      <c r="F639">
        <v>417</v>
      </c>
      <c r="G639">
        <v>90.71</v>
      </c>
      <c r="H639">
        <v>1</v>
      </c>
      <c r="I639">
        <f>CLIENTS_CHURN345[[#This Row],[Anciennete_Mois]]/12</f>
        <v>0.41666666666666669</v>
      </c>
      <c r="J639">
        <f>CLIENTS_CHURN345[[#This Row],[Duree_Cumulee_Panne_Min]]/60</f>
        <v>6.95</v>
      </c>
      <c r="K639" t="str">
        <f>IF(CLIENTS_CHURN345[[#This Row],[Type_Forfait]]="Pro Monde","B2B","B2C")</f>
        <v>B2C</v>
      </c>
      <c r="L639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639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639" s="1">
        <f>CLIENTS_CHURN345[[#This Row],[Facture_Mensuelle]]*CLIENTS_CHURN345[[#This Row],[Colonne12]]</f>
        <v>40.819499999999998</v>
      </c>
    </row>
    <row r="640" spans="1:14">
      <c r="A640" s="1" t="s">
        <v>344</v>
      </c>
      <c r="B640" t="s">
        <v>361</v>
      </c>
      <c r="C640" t="s">
        <v>36</v>
      </c>
      <c r="D640">
        <v>96</v>
      </c>
      <c r="E640" t="s">
        <v>21</v>
      </c>
      <c r="F640">
        <v>381</v>
      </c>
      <c r="G640">
        <v>90.78</v>
      </c>
      <c r="H640">
        <v>2</v>
      </c>
      <c r="I640">
        <f>CLIENTS_CHURN345[[#This Row],[Anciennete_Mois]]/12</f>
        <v>8</v>
      </c>
      <c r="J640">
        <f>CLIENTS_CHURN345[[#This Row],[Duree_Cumulee_Panne_Min]]/60</f>
        <v>6.35</v>
      </c>
      <c r="K640" t="str">
        <f>IF(CLIENTS_CHURN345[[#This Row],[Type_Forfait]]="Pro Monde","B2B","B2C")</f>
        <v>B2C</v>
      </c>
      <c r="L640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640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640" s="1">
        <f>CLIENTS_CHURN345[[#This Row],[Facture_Mensuelle]]*CLIENTS_CHURN345[[#This Row],[Colonne12]]</f>
        <v>40.850999999999999</v>
      </c>
    </row>
    <row r="641" spans="1:14">
      <c r="A641" s="1" t="s">
        <v>602</v>
      </c>
      <c r="B641" t="s">
        <v>624</v>
      </c>
      <c r="C641" t="s">
        <v>16</v>
      </c>
      <c r="D641">
        <v>74</v>
      </c>
      <c r="E641" t="s">
        <v>14</v>
      </c>
      <c r="F641">
        <v>265</v>
      </c>
      <c r="G641">
        <v>90.81</v>
      </c>
      <c r="H641">
        <v>3</v>
      </c>
      <c r="I641">
        <f>CLIENTS_CHURN345[[#This Row],[Anciennete_Mois]]/12</f>
        <v>6.166666666666667</v>
      </c>
      <c r="J641">
        <f>CLIENTS_CHURN345[[#This Row],[Duree_Cumulee_Panne_Min]]/60</f>
        <v>4.416666666666667</v>
      </c>
      <c r="K641" t="str">
        <f>IF(CLIENTS_CHURN345[[#This Row],[Type_Forfait]]="Pro Monde","B2B","B2C")</f>
        <v>B2C</v>
      </c>
      <c r="L641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641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641" s="1">
        <f>CLIENTS_CHURN345[[#This Row],[Facture_Mensuelle]]*CLIENTS_CHURN345[[#This Row],[Colonne12]]</f>
        <v>40.8645</v>
      </c>
    </row>
    <row r="642" spans="1:14">
      <c r="A642" s="1" t="s">
        <v>447</v>
      </c>
      <c r="B642" t="s">
        <v>472</v>
      </c>
      <c r="C642" t="s">
        <v>40</v>
      </c>
      <c r="D642">
        <v>54</v>
      </c>
      <c r="E642" t="s">
        <v>14</v>
      </c>
      <c r="F642">
        <v>450</v>
      </c>
      <c r="G642">
        <v>90.85</v>
      </c>
      <c r="H642">
        <v>1</v>
      </c>
      <c r="I642">
        <f>CLIENTS_CHURN345[[#This Row],[Anciennete_Mois]]/12</f>
        <v>4.5</v>
      </c>
      <c r="J642">
        <f>CLIENTS_CHURN345[[#This Row],[Duree_Cumulee_Panne_Min]]/60</f>
        <v>7.5</v>
      </c>
      <c r="K642" t="str">
        <f>IF(CLIENTS_CHURN345[[#This Row],[Type_Forfait]]="Pro Monde","B2B","B2C")</f>
        <v>B2C</v>
      </c>
      <c r="L642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642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642" s="1">
        <f>CLIENTS_CHURN345[[#This Row],[Facture_Mensuelle]]*CLIENTS_CHURN345[[#This Row],[Colonne12]]</f>
        <v>40.8825</v>
      </c>
    </row>
    <row r="643" spans="1:14">
      <c r="A643" s="1" t="s">
        <v>756</v>
      </c>
      <c r="B643" t="s">
        <v>764</v>
      </c>
      <c r="C643" t="s">
        <v>107</v>
      </c>
      <c r="D643">
        <v>49</v>
      </c>
      <c r="E643" t="s">
        <v>14</v>
      </c>
      <c r="F643">
        <v>288</v>
      </c>
      <c r="G643">
        <v>91.32</v>
      </c>
      <c r="H643">
        <v>4</v>
      </c>
      <c r="I643">
        <f>CLIENTS_CHURN345[[#This Row],[Anciennete_Mois]]/12</f>
        <v>4.083333333333333</v>
      </c>
      <c r="J643">
        <f>CLIENTS_CHURN345[[#This Row],[Duree_Cumulee_Panne_Min]]/60</f>
        <v>4.8</v>
      </c>
      <c r="K643" t="str">
        <f>IF(CLIENTS_CHURN345[[#This Row],[Type_Forfait]]="Pro Monde","B2B","B2C")</f>
        <v>B2C</v>
      </c>
      <c r="L643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643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643" s="1">
        <f>CLIENTS_CHURN345[[#This Row],[Facture_Mensuelle]]*CLIENTS_CHURN345[[#This Row],[Colonne12]]</f>
        <v>41.094000000000001</v>
      </c>
    </row>
    <row r="644" spans="1:14">
      <c r="A644" s="1" t="s">
        <v>140</v>
      </c>
      <c r="B644" t="s">
        <v>187</v>
      </c>
      <c r="C644" t="s">
        <v>71</v>
      </c>
      <c r="D644">
        <v>41</v>
      </c>
      <c r="E644" t="s">
        <v>32</v>
      </c>
      <c r="F644">
        <v>64</v>
      </c>
      <c r="G644">
        <v>91.95</v>
      </c>
      <c r="H644">
        <v>1</v>
      </c>
      <c r="I644">
        <f>CLIENTS_CHURN345[[#This Row],[Anciennete_Mois]]/12</f>
        <v>3.4166666666666665</v>
      </c>
      <c r="J644">
        <f>CLIENTS_CHURN345[[#This Row],[Duree_Cumulee_Panne_Min]]/60</f>
        <v>1.0666666666666667</v>
      </c>
      <c r="K644" t="str">
        <f>IF(CLIENTS_CHURN345[[#This Row],[Type_Forfait]]="Pro Monde","B2B","B2C")</f>
        <v>B2C</v>
      </c>
      <c r="L644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644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644" s="1">
        <f>CLIENTS_CHURN345[[#This Row],[Facture_Mensuelle]]*CLIENTS_CHURN345[[#This Row],[Colonne12]]</f>
        <v>41.377500000000005</v>
      </c>
    </row>
    <row r="645" spans="1:14">
      <c r="A645" s="1" t="s">
        <v>756</v>
      </c>
      <c r="B645" t="s">
        <v>803</v>
      </c>
      <c r="C645" t="s">
        <v>65</v>
      </c>
      <c r="D645">
        <v>74</v>
      </c>
      <c r="E645" t="s">
        <v>21</v>
      </c>
      <c r="F645">
        <v>359</v>
      </c>
      <c r="G645">
        <v>92.63</v>
      </c>
      <c r="H645">
        <v>0</v>
      </c>
      <c r="I645">
        <f>CLIENTS_CHURN345[[#This Row],[Anciennete_Mois]]/12</f>
        <v>6.166666666666667</v>
      </c>
      <c r="J645">
        <f>CLIENTS_CHURN345[[#This Row],[Duree_Cumulee_Panne_Min]]/60</f>
        <v>5.9833333333333334</v>
      </c>
      <c r="K645" t="str">
        <f>IF(CLIENTS_CHURN345[[#This Row],[Type_Forfait]]="Pro Monde","B2B","B2C")</f>
        <v>B2C</v>
      </c>
      <c r="L645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645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645" s="1">
        <f>CLIENTS_CHURN345[[#This Row],[Facture_Mensuelle]]*CLIENTS_CHURN345[[#This Row],[Colonne12]]</f>
        <v>41.683500000000002</v>
      </c>
    </row>
    <row r="646" spans="1:14">
      <c r="A646" s="1" t="s">
        <v>85</v>
      </c>
      <c r="B646" t="s">
        <v>98</v>
      </c>
      <c r="C646" t="s">
        <v>40</v>
      </c>
      <c r="D646">
        <v>116</v>
      </c>
      <c r="E646" t="s">
        <v>11</v>
      </c>
      <c r="F646">
        <v>486</v>
      </c>
      <c r="G646">
        <v>92.96</v>
      </c>
      <c r="H646">
        <v>5</v>
      </c>
      <c r="I646">
        <f>CLIENTS_CHURN345[[#This Row],[Anciennete_Mois]]/12</f>
        <v>9.6666666666666661</v>
      </c>
      <c r="J646">
        <f>CLIENTS_CHURN345[[#This Row],[Duree_Cumulee_Panne_Min]]/60</f>
        <v>8.1</v>
      </c>
      <c r="K646" t="str">
        <f>IF(CLIENTS_CHURN345[[#This Row],[Type_Forfait]]="Pro Monde","B2B","B2C")</f>
        <v>B2B</v>
      </c>
      <c r="L646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646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646" s="1">
        <f>CLIENTS_CHURN345[[#This Row],[Facture_Mensuelle]]*CLIENTS_CHURN345[[#This Row],[Colonne12]]</f>
        <v>41.832000000000001</v>
      </c>
    </row>
    <row r="647" spans="1:14">
      <c r="A647" s="1" t="s">
        <v>242</v>
      </c>
      <c r="B647" t="s">
        <v>289</v>
      </c>
      <c r="C647" t="s">
        <v>38</v>
      </c>
      <c r="D647">
        <v>63</v>
      </c>
      <c r="E647" t="s">
        <v>14</v>
      </c>
      <c r="F647">
        <v>392</v>
      </c>
      <c r="G647">
        <v>93.11</v>
      </c>
      <c r="H647">
        <v>3</v>
      </c>
      <c r="I647">
        <f>CLIENTS_CHURN345[[#This Row],[Anciennete_Mois]]/12</f>
        <v>5.25</v>
      </c>
      <c r="J647">
        <f>CLIENTS_CHURN345[[#This Row],[Duree_Cumulee_Panne_Min]]/60</f>
        <v>6.5333333333333332</v>
      </c>
      <c r="K647" t="str">
        <f>IF(CLIENTS_CHURN345[[#This Row],[Type_Forfait]]="Pro Monde","B2B","B2C")</f>
        <v>B2C</v>
      </c>
      <c r="L647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647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647" s="1">
        <f>CLIENTS_CHURN345[[#This Row],[Facture_Mensuelle]]*CLIENTS_CHURN345[[#This Row],[Colonne12]]</f>
        <v>41.899500000000003</v>
      </c>
    </row>
    <row r="648" spans="1:14">
      <c r="A648" s="1" t="s">
        <v>756</v>
      </c>
      <c r="B648" t="s">
        <v>806</v>
      </c>
      <c r="C648" t="s">
        <v>16</v>
      </c>
      <c r="D648">
        <v>5</v>
      </c>
      <c r="E648" t="s">
        <v>32</v>
      </c>
      <c r="F648">
        <v>71</v>
      </c>
      <c r="G648">
        <v>93.81</v>
      </c>
      <c r="H648">
        <v>3</v>
      </c>
      <c r="I648">
        <f>CLIENTS_CHURN345[[#This Row],[Anciennete_Mois]]/12</f>
        <v>0.41666666666666669</v>
      </c>
      <c r="J648">
        <f>CLIENTS_CHURN345[[#This Row],[Duree_Cumulee_Panne_Min]]/60</f>
        <v>1.1833333333333333</v>
      </c>
      <c r="K648" t="str">
        <f>IF(CLIENTS_CHURN345[[#This Row],[Type_Forfait]]="Pro Monde","B2B","B2C")</f>
        <v>B2C</v>
      </c>
      <c r="L648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648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648" s="1">
        <f>CLIENTS_CHURN345[[#This Row],[Facture_Mensuelle]]*CLIENTS_CHURN345[[#This Row],[Colonne12]]</f>
        <v>42.214500000000001</v>
      </c>
    </row>
    <row r="649" spans="1:14">
      <c r="A649" s="1" t="s">
        <v>395</v>
      </c>
      <c r="B649" t="s">
        <v>441</v>
      </c>
      <c r="C649" t="s">
        <v>79</v>
      </c>
      <c r="D649">
        <v>112</v>
      </c>
      <c r="E649" t="s">
        <v>21</v>
      </c>
      <c r="F649">
        <v>483</v>
      </c>
      <c r="G649">
        <v>93.98</v>
      </c>
      <c r="H649">
        <v>0</v>
      </c>
      <c r="I649">
        <f>CLIENTS_CHURN345[[#This Row],[Anciennete_Mois]]/12</f>
        <v>9.3333333333333339</v>
      </c>
      <c r="J649">
        <f>CLIENTS_CHURN345[[#This Row],[Duree_Cumulee_Panne_Min]]/60</f>
        <v>8.0500000000000007</v>
      </c>
      <c r="K649" t="str">
        <f>IF(CLIENTS_CHURN345[[#This Row],[Type_Forfait]]="Pro Monde","B2B","B2C")</f>
        <v>B2C</v>
      </c>
      <c r="L649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649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649" s="1">
        <f>CLIENTS_CHURN345[[#This Row],[Facture_Mensuelle]]*CLIENTS_CHURN345[[#This Row],[Colonne12]]</f>
        <v>42.291000000000004</v>
      </c>
    </row>
    <row r="650" spans="1:14">
      <c r="A650" s="1" t="s">
        <v>447</v>
      </c>
      <c r="B650" t="s">
        <v>460</v>
      </c>
      <c r="C650" t="s">
        <v>107</v>
      </c>
      <c r="D650">
        <v>117</v>
      </c>
      <c r="E650" t="s">
        <v>32</v>
      </c>
      <c r="F650">
        <v>282</v>
      </c>
      <c r="G650">
        <v>95.11</v>
      </c>
      <c r="H650">
        <v>0</v>
      </c>
      <c r="I650">
        <f>CLIENTS_CHURN345[[#This Row],[Anciennete_Mois]]/12</f>
        <v>9.75</v>
      </c>
      <c r="J650">
        <f>CLIENTS_CHURN345[[#This Row],[Duree_Cumulee_Panne_Min]]/60</f>
        <v>4.7</v>
      </c>
      <c r="K650" t="str">
        <f>IF(CLIENTS_CHURN345[[#This Row],[Type_Forfait]]="Pro Monde","B2B","B2C")</f>
        <v>B2C</v>
      </c>
      <c r="L650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650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650" s="1">
        <f>CLIENTS_CHURN345[[#This Row],[Facture_Mensuelle]]*CLIENTS_CHURN345[[#This Row],[Colonne12]]</f>
        <v>42.799500000000002</v>
      </c>
    </row>
    <row r="651" spans="1:14">
      <c r="A651" s="1" t="s">
        <v>242</v>
      </c>
      <c r="B651" t="s">
        <v>283</v>
      </c>
      <c r="C651" t="s">
        <v>36</v>
      </c>
      <c r="D651">
        <v>9</v>
      </c>
      <c r="E651" t="s">
        <v>11</v>
      </c>
      <c r="F651">
        <v>255</v>
      </c>
      <c r="G651">
        <v>95.13</v>
      </c>
      <c r="H651">
        <v>1</v>
      </c>
      <c r="I651">
        <f>CLIENTS_CHURN345[[#This Row],[Anciennete_Mois]]/12</f>
        <v>0.75</v>
      </c>
      <c r="J651">
        <f>CLIENTS_CHURN345[[#This Row],[Duree_Cumulee_Panne_Min]]/60</f>
        <v>4.25</v>
      </c>
      <c r="K651" t="str">
        <f>IF(CLIENTS_CHURN345[[#This Row],[Type_Forfait]]="Pro Monde","B2B","B2C")</f>
        <v>B2B</v>
      </c>
      <c r="L651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651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651" s="1">
        <f>CLIENTS_CHURN345[[#This Row],[Facture_Mensuelle]]*CLIENTS_CHURN345[[#This Row],[Colonne12]]</f>
        <v>42.808500000000002</v>
      </c>
    </row>
    <row r="652" spans="1:14">
      <c r="A652" s="1" t="s">
        <v>602</v>
      </c>
      <c r="B652" t="s">
        <v>635</v>
      </c>
      <c r="C652" t="s">
        <v>18</v>
      </c>
      <c r="D652">
        <v>120</v>
      </c>
      <c r="E652" t="s">
        <v>21</v>
      </c>
      <c r="F652">
        <v>437</v>
      </c>
      <c r="G652">
        <v>95.17</v>
      </c>
      <c r="H652">
        <v>1</v>
      </c>
      <c r="I652">
        <f>CLIENTS_CHURN345[[#This Row],[Anciennete_Mois]]/12</f>
        <v>10</v>
      </c>
      <c r="J652">
        <f>CLIENTS_CHURN345[[#This Row],[Duree_Cumulee_Panne_Min]]/60</f>
        <v>7.2833333333333332</v>
      </c>
      <c r="K652" t="str">
        <f>IF(CLIENTS_CHURN345[[#This Row],[Type_Forfait]]="Pro Monde","B2B","B2C")</f>
        <v>B2C</v>
      </c>
      <c r="L652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652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652" s="1">
        <f>CLIENTS_CHURN345[[#This Row],[Facture_Mensuelle]]*CLIENTS_CHURN345[[#This Row],[Colonne12]]</f>
        <v>42.826500000000003</v>
      </c>
    </row>
    <row r="653" spans="1:14">
      <c r="A653" s="1" t="s">
        <v>191</v>
      </c>
      <c r="B653" t="s">
        <v>223</v>
      </c>
      <c r="C653" t="s">
        <v>57</v>
      </c>
      <c r="D653">
        <v>64</v>
      </c>
      <c r="E653" t="s">
        <v>11</v>
      </c>
      <c r="F653">
        <v>370</v>
      </c>
      <c r="G653">
        <v>95.74</v>
      </c>
      <c r="H653">
        <v>1</v>
      </c>
      <c r="I653">
        <f>CLIENTS_CHURN345[[#This Row],[Anciennete_Mois]]/12</f>
        <v>5.333333333333333</v>
      </c>
      <c r="J653">
        <f>CLIENTS_CHURN345[[#This Row],[Duree_Cumulee_Panne_Min]]/60</f>
        <v>6.166666666666667</v>
      </c>
      <c r="K653" t="str">
        <f>IF(CLIENTS_CHURN345[[#This Row],[Type_Forfait]]="Pro Monde","B2B","B2C")</f>
        <v>B2B</v>
      </c>
      <c r="L653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653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653" s="1">
        <f>CLIENTS_CHURN345[[#This Row],[Facture_Mensuelle]]*CLIENTS_CHURN345[[#This Row],[Colonne12]]</f>
        <v>43.082999999999998</v>
      </c>
    </row>
    <row r="654" spans="1:14">
      <c r="A654" s="1" t="s">
        <v>85</v>
      </c>
      <c r="B654" t="s">
        <v>116</v>
      </c>
      <c r="C654" t="s">
        <v>71</v>
      </c>
      <c r="D654">
        <v>70</v>
      </c>
      <c r="E654" t="s">
        <v>11</v>
      </c>
      <c r="F654">
        <v>290</v>
      </c>
      <c r="G654">
        <v>96.31</v>
      </c>
      <c r="H654">
        <v>1</v>
      </c>
      <c r="I654">
        <f>CLIENTS_CHURN345[[#This Row],[Anciennete_Mois]]/12</f>
        <v>5.833333333333333</v>
      </c>
      <c r="J654">
        <f>CLIENTS_CHURN345[[#This Row],[Duree_Cumulee_Panne_Min]]/60</f>
        <v>4.833333333333333</v>
      </c>
      <c r="K654" t="str">
        <f>IF(CLIENTS_CHURN345[[#This Row],[Type_Forfait]]="Pro Monde","B2B","B2C")</f>
        <v>B2B</v>
      </c>
      <c r="L654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654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654" s="1">
        <f>CLIENTS_CHURN345[[#This Row],[Facture_Mensuelle]]*CLIENTS_CHURN345[[#This Row],[Colonne12]]</f>
        <v>43.339500000000001</v>
      </c>
    </row>
    <row r="655" spans="1:14">
      <c r="A655" s="1" t="s">
        <v>705</v>
      </c>
      <c r="B655" t="s">
        <v>726</v>
      </c>
      <c r="C655" t="s">
        <v>43</v>
      </c>
      <c r="D655">
        <v>35</v>
      </c>
      <c r="E655" t="s">
        <v>11</v>
      </c>
      <c r="F655">
        <v>299</v>
      </c>
      <c r="G655">
        <v>96.32</v>
      </c>
      <c r="H655">
        <v>4</v>
      </c>
      <c r="I655">
        <f>CLIENTS_CHURN345[[#This Row],[Anciennete_Mois]]/12</f>
        <v>2.9166666666666665</v>
      </c>
      <c r="J655">
        <f>CLIENTS_CHURN345[[#This Row],[Duree_Cumulee_Panne_Min]]/60</f>
        <v>4.9833333333333334</v>
      </c>
      <c r="K655" t="str">
        <f>IF(CLIENTS_CHURN345[[#This Row],[Type_Forfait]]="Pro Monde","B2B","B2C")</f>
        <v>B2B</v>
      </c>
      <c r="L655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655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655" s="1">
        <f>CLIENTS_CHURN345[[#This Row],[Facture_Mensuelle]]*CLIENTS_CHURN345[[#This Row],[Colonne12]]</f>
        <v>43.344000000000001</v>
      </c>
    </row>
    <row r="656" spans="1:14">
      <c r="A656" s="1" t="s">
        <v>85</v>
      </c>
      <c r="B656" t="s">
        <v>131</v>
      </c>
      <c r="C656" t="s">
        <v>29</v>
      </c>
      <c r="D656">
        <v>42</v>
      </c>
      <c r="E656" t="s">
        <v>21</v>
      </c>
      <c r="F656">
        <v>385</v>
      </c>
      <c r="G656">
        <v>96.52</v>
      </c>
      <c r="H656">
        <v>1</v>
      </c>
      <c r="I656">
        <f>CLIENTS_CHURN345[[#This Row],[Anciennete_Mois]]/12</f>
        <v>3.5</v>
      </c>
      <c r="J656">
        <f>CLIENTS_CHURN345[[#This Row],[Duree_Cumulee_Panne_Min]]/60</f>
        <v>6.416666666666667</v>
      </c>
      <c r="K656" t="str">
        <f>IF(CLIENTS_CHURN345[[#This Row],[Type_Forfait]]="Pro Monde","B2B","B2C")</f>
        <v>B2C</v>
      </c>
      <c r="L656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656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656" s="1">
        <f>CLIENTS_CHURN345[[#This Row],[Facture_Mensuelle]]*CLIENTS_CHURN345[[#This Row],[Colonne12]]</f>
        <v>43.433999999999997</v>
      </c>
    </row>
    <row r="657" spans="1:14">
      <c r="A657" s="1" t="s">
        <v>602</v>
      </c>
      <c r="B657" t="s">
        <v>623</v>
      </c>
      <c r="C657" t="s">
        <v>38</v>
      </c>
      <c r="D657">
        <v>94</v>
      </c>
      <c r="E657" t="s">
        <v>11</v>
      </c>
      <c r="F657">
        <v>247</v>
      </c>
      <c r="G657">
        <v>96.57</v>
      </c>
      <c r="H657">
        <v>0</v>
      </c>
      <c r="I657">
        <f>CLIENTS_CHURN345[[#This Row],[Anciennete_Mois]]/12</f>
        <v>7.833333333333333</v>
      </c>
      <c r="J657">
        <f>CLIENTS_CHURN345[[#This Row],[Duree_Cumulee_Panne_Min]]/60</f>
        <v>4.1166666666666663</v>
      </c>
      <c r="K657" t="str">
        <f>IF(CLIENTS_CHURN345[[#This Row],[Type_Forfait]]="Pro Monde","B2B","B2C")</f>
        <v>B2B</v>
      </c>
      <c r="L657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657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657" s="1">
        <f>CLIENTS_CHURN345[[#This Row],[Facture_Mensuelle]]*CLIENTS_CHURN345[[#This Row],[Colonne12]]</f>
        <v>43.456499999999998</v>
      </c>
    </row>
    <row r="658" spans="1:14">
      <c r="A658" s="1" t="s">
        <v>293</v>
      </c>
      <c r="B658" t="s">
        <v>314</v>
      </c>
      <c r="C658" t="s">
        <v>52</v>
      </c>
      <c r="D658">
        <v>40</v>
      </c>
      <c r="E658" t="s">
        <v>32</v>
      </c>
      <c r="F658">
        <v>102</v>
      </c>
      <c r="G658">
        <v>96.59</v>
      </c>
      <c r="H658">
        <v>5</v>
      </c>
      <c r="I658">
        <f>CLIENTS_CHURN345[[#This Row],[Anciennete_Mois]]/12</f>
        <v>3.3333333333333335</v>
      </c>
      <c r="J658">
        <f>CLIENTS_CHURN345[[#This Row],[Duree_Cumulee_Panne_Min]]/60</f>
        <v>1.7</v>
      </c>
      <c r="K658" t="str">
        <f>IF(CLIENTS_CHURN345[[#This Row],[Type_Forfait]]="Pro Monde","B2B","B2C")</f>
        <v>B2C</v>
      </c>
      <c r="L658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658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658" s="1">
        <f>CLIENTS_CHURN345[[#This Row],[Facture_Mensuelle]]*CLIENTS_CHURN345[[#This Row],[Colonne12]]</f>
        <v>43.465500000000006</v>
      </c>
    </row>
    <row r="659" spans="1:14">
      <c r="A659" s="1" t="s">
        <v>191</v>
      </c>
      <c r="B659" t="s">
        <v>219</v>
      </c>
      <c r="C659" t="s">
        <v>26</v>
      </c>
      <c r="D659">
        <v>49</v>
      </c>
      <c r="E659" t="s">
        <v>32</v>
      </c>
      <c r="F659">
        <v>357</v>
      </c>
      <c r="G659">
        <v>96.67</v>
      </c>
      <c r="H659">
        <v>3</v>
      </c>
      <c r="I659">
        <f>CLIENTS_CHURN345[[#This Row],[Anciennete_Mois]]/12</f>
        <v>4.083333333333333</v>
      </c>
      <c r="J659">
        <f>CLIENTS_CHURN345[[#This Row],[Duree_Cumulee_Panne_Min]]/60</f>
        <v>5.95</v>
      </c>
      <c r="K659" t="str">
        <f>IF(CLIENTS_CHURN345[[#This Row],[Type_Forfait]]="Pro Monde","B2B","B2C")</f>
        <v>B2C</v>
      </c>
      <c r="L659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659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659" s="1">
        <f>CLIENTS_CHURN345[[#This Row],[Facture_Mensuelle]]*CLIENTS_CHURN345[[#This Row],[Colonne12]]</f>
        <v>43.5015</v>
      </c>
    </row>
    <row r="660" spans="1:14">
      <c r="A660" s="1" t="s">
        <v>344</v>
      </c>
      <c r="B660" t="s">
        <v>348</v>
      </c>
      <c r="C660" t="s">
        <v>31</v>
      </c>
      <c r="D660">
        <v>19</v>
      </c>
      <c r="E660" t="s">
        <v>21</v>
      </c>
      <c r="F660">
        <v>334</v>
      </c>
      <c r="G660">
        <v>96.91</v>
      </c>
      <c r="H660">
        <v>1</v>
      </c>
      <c r="I660">
        <f>CLIENTS_CHURN345[[#This Row],[Anciennete_Mois]]/12</f>
        <v>1.5833333333333333</v>
      </c>
      <c r="J660">
        <f>CLIENTS_CHURN345[[#This Row],[Duree_Cumulee_Panne_Min]]/60</f>
        <v>5.5666666666666664</v>
      </c>
      <c r="K660" t="str">
        <f>IF(CLIENTS_CHURN345[[#This Row],[Type_Forfait]]="Pro Monde","B2B","B2C")</f>
        <v>B2C</v>
      </c>
      <c r="L660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660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660" s="1">
        <f>CLIENTS_CHURN345[[#This Row],[Facture_Mensuelle]]*CLIENTS_CHURN345[[#This Row],[Colonne12]]</f>
        <v>43.609499999999997</v>
      </c>
    </row>
    <row r="661" spans="1:14">
      <c r="A661" s="1" t="s">
        <v>551</v>
      </c>
      <c r="B661" t="s">
        <v>556</v>
      </c>
      <c r="C661" t="s">
        <v>26</v>
      </c>
      <c r="D661">
        <v>52</v>
      </c>
      <c r="E661" t="s">
        <v>32</v>
      </c>
      <c r="F661">
        <v>425</v>
      </c>
      <c r="G661">
        <v>97.25</v>
      </c>
      <c r="H661">
        <v>0</v>
      </c>
      <c r="I661">
        <f>CLIENTS_CHURN345[[#This Row],[Anciennete_Mois]]/12</f>
        <v>4.333333333333333</v>
      </c>
      <c r="J661">
        <f>CLIENTS_CHURN345[[#This Row],[Duree_Cumulee_Panne_Min]]/60</f>
        <v>7.083333333333333</v>
      </c>
      <c r="K661" t="str">
        <f>IF(CLIENTS_CHURN345[[#This Row],[Type_Forfait]]="Pro Monde","B2B","B2C")</f>
        <v>B2C</v>
      </c>
      <c r="L661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661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661" s="1">
        <f>CLIENTS_CHURN345[[#This Row],[Facture_Mensuelle]]*CLIENTS_CHURN345[[#This Row],[Colonne12]]</f>
        <v>43.762500000000003</v>
      </c>
    </row>
    <row r="662" spans="1:14">
      <c r="A662" s="1" t="s">
        <v>293</v>
      </c>
      <c r="B662" t="s">
        <v>336</v>
      </c>
      <c r="C662" t="s">
        <v>61</v>
      </c>
      <c r="D662">
        <v>5</v>
      </c>
      <c r="E662" t="s">
        <v>32</v>
      </c>
      <c r="F662">
        <v>384</v>
      </c>
      <c r="G662">
        <v>97.26</v>
      </c>
      <c r="H662">
        <v>3</v>
      </c>
      <c r="I662">
        <f>CLIENTS_CHURN345[[#This Row],[Anciennete_Mois]]/12</f>
        <v>0.41666666666666669</v>
      </c>
      <c r="J662">
        <f>CLIENTS_CHURN345[[#This Row],[Duree_Cumulee_Panne_Min]]/60</f>
        <v>6.4</v>
      </c>
      <c r="K662" t="str">
        <f>IF(CLIENTS_CHURN345[[#This Row],[Type_Forfait]]="Pro Monde","B2B","B2C")</f>
        <v>B2C</v>
      </c>
      <c r="L662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662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662" s="1">
        <f>CLIENTS_CHURN345[[#This Row],[Facture_Mensuelle]]*CLIENTS_CHURN345[[#This Row],[Colonne12]]</f>
        <v>43.767000000000003</v>
      </c>
    </row>
    <row r="663" spans="1:14">
      <c r="A663" s="1" t="s">
        <v>140</v>
      </c>
      <c r="B663" t="s">
        <v>162</v>
      </c>
      <c r="C663" t="s">
        <v>65</v>
      </c>
      <c r="D663">
        <v>7</v>
      </c>
      <c r="E663" t="s">
        <v>32</v>
      </c>
      <c r="F663">
        <v>317</v>
      </c>
      <c r="G663">
        <v>97.32</v>
      </c>
      <c r="H663">
        <v>1</v>
      </c>
      <c r="I663">
        <f>CLIENTS_CHURN345[[#This Row],[Anciennete_Mois]]/12</f>
        <v>0.58333333333333337</v>
      </c>
      <c r="J663">
        <f>CLIENTS_CHURN345[[#This Row],[Duree_Cumulee_Panne_Min]]/60</f>
        <v>5.2833333333333332</v>
      </c>
      <c r="K663" t="str">
        <f>IF(CLIENTS_CHURN345[[#This Row],[Type_Forfait]]="Pro Monde","B2B","B2C")</f>
        <v>B2C</v>
      </c>
      <c r="L663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663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663" s="1">
        <f>CLIENTS_CHURN345[[#This Row],[Facture_Mensuelle]]*CLIENTS_CHURN345[[#This Row],[Colonne12]]</f>
        <v>43.793999999999997</v>
      </c>
    </row>
    <row r="664" spans="1:14">
      <c r="A664" s="1" t="s">
        <v>242</v>
      </c>
      <c r="B664" t="s">
        <v>281</v>
      </c>
      <c r="C664" t="s">
        <v>29</v>
      </c>
      <c r="D664">
        <v>27</v>
      </c>
      <c r="E664" t="s">
        <v>32</v>
      </c>
      <c r="F664">
        <v>61</v>
      </c>
      <c r="G664">
        <v>97.51</v>
      </c>
      <c r="H664">
        <v>5</v>
      </c>
      <c r="I664">
        <f>CLIENTS_CHURN345[[#This Row],[Anciennete_Mois]]/12</f>
        <v>2.25</v>
      </c>
      <c r="J664">
        <f>CLIENTS_CHURN345[[#This Row],[Duree_Cumulee_Panne_Min]]/60</f>
        <v>1.0166666666666666</v>
      </c>
      <c r="K664" t="str">
        <f>IF(CLIENTS_CHURN345[[#This Row],[Type_Forfait]]="Pro Monde","B2B","B2C")</f>
        <v>B2C</v>
      </c>
      <c r="L664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664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664" s="1">
        <f>CLIENTS_CHURN345[[#This Row],[Facture_Mensuelle]]*CLIENTS_CHURN345[[#This Row],[Colonne12]]</f>
        <v>43.8795</v>
      </c>
    </row>
    <row r="665" spans="1:14">
      <c r="A665" s="1" t="s">
        <v>293</v>
      </c>
      <c r="B665" t="s">
        <v>310</v>
      </c>
      <c r="C665" t="s">
        <v>63</v>
      </c>
      <c r="D665">
        <v>25</v>
      </c>
      <c r="E665" t="s">
        <v>32</v>
      </c>
      <c r="F665">
        <v>467</v>
      </c>
      <c r="G665">
        <v>97.78</v>
      </c>
      <c r="H665">
        <v>3</v>
      </c>
      <c r="I665">
        <f>CLIENTS_CHURN345[[#This Row],[Anciennete_Mois]]/12</f>
        <v>2.0833333333333335</v>
      </c>
      <c r="J665">
        <f>CLIENTS_CHURN345[[#This Row],[Duree_Cumulee_Panne_Min]]/60</f>
        <v>7.7833333333333332</v>
      </c>
      <c r="K665" t="str">
        <f>IF(CLIENTS_CHURN345[[#This Row],[Type_Forfait]]="Pro Monde","B2B","B2C")</f>
        <v>B2C</v>
      </c>
      <c r="L665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665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665" s="1">
        <f>CLIENTS_CHURN345[[#This Row],[Facture_Mensuelle]]*CLIENTS_CHURN345[[#This Row],[Colonne12]]</f>
        <v>44.001000000000005</v>
      </c>
    </row>
    <row r="666" spans="1:14">
      <c r="A666" s="1" t="s">
        <v>140</v>
      </c>
      <c r="B666" t="s">
        <v>143</v>
      </c>
      <c r="C666" t="s">
        <v>13</v>
      </c>
      <c r="D666">
        <v>67</v>
      </c>
      <c r="E666" t="s">
        <v>21</v>
      </c>
      <c r="F666">
        <v>264</v>
      </c>
      <c r="G666">
        <v>97.89</v>
      </c>
      <c r="H666">
        <v>1</v>
      </c>
      <c r="I666">
        <f>CLIENTS_CHURN345[[#This Row],[Anciennete_Mois]]/12</f>
        <v>5.583333333333333</v>
      </c>
      <c r="J666">
        <f>CLIENTS_CHURN345[[#This Row],[Duree_Cumulee_Panne_Min]]/60</f>
        <v>4.4000000000000004</v>
      </c>
      <c r="K666" t="str">
        <f>IF(CLIENTS_CHURN345[[#This Row],[Type_Forfait]]="Pro Monde","B2B","B2C")</f>
        <v>B2C</v>
      </c>
      <c r="L666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666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666" s="1">
        <f>CLIENTS_CHURN345[[#This Row],[Facture_Mensuelle]]*CLIENTS_CHURN345[[#This Row],[Colonne12]]</f>
        <v>44.0505</v>
      </c>
    </row>
    <row r="667" spans="1:14">
      <c r="A667" s="1" t="s">
        <v>242</v>
      </c>
      <c r="B667" t="s">
        <v>258</v>
      </c>
      <c r="C667" t="s">
        <v>20</v>
      </c>
      <c r="D667">
        <v>18</v>
      </c>
      <c r="E667" t="s">
        <v>14</v>
      </c>
      <c r="F667">
        <v>291</v>
      </c>
      <c r="G667">
        <v>97.98</v>
      </c>
      <c r="H667">
        <v>1</v>
      </c>
      <c r="I667">
        <f>CLIENTS_CHURN345[[#This Row],[Anciennete_Mois]]/12</f>
        <v>1.5</v>
      </c>
      <c r="J667">
        <f>CLIENTS_CHURN345[[#This Row],[Duree_Cumulee_Panne_Min]]/60</f>
        <v>4.8499999999999996</v>
      </c>
      <c r="K667" t="str">
        <f>IF(CLIENTS_CHURN345[[#This Row],[Type_Forfait]]="Pro Monde","B2B","B2C")</f>
        <v>B2C</v>
      </c>
      <c r="L667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667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667" s="1">
        <f>CLIENTS_CHURN345[[#This Row],[Facture_Mensuelle]]*CLIENTS_CHURN345[[#This Row],[Colonne12]]</f>
        <v>44.091000000000001</v>
      </c>
    </row>
    <row r="668" spans="1:14">
      <c r="A668" s="1" t="s">
        <v>551</v>
      </c>
      <c r="B668" t="s">
        <v>577</v>
      </c>
      <c r="C668" t="s">
        <v>57</v>
      </c>
      <c r="D668">
        <v>80</v>
      </c>
      <c r="E668" t="s">
        <v>11</v>
      </c>
      <c r="F668">
        <v>458</v>
      </c>
      <c r="G668">
        <v>98.11</v>
      </c>
      <c r="H668">
        <v>0</v>
      </c>
      <c r="I668">
        <f>CLIENTS_CHURN345[[#This Row],[Anciennete_Mois]]/12</f>
        <v>6.666666666666667</v>
      </c>
      <c r="J668">
        <f>CLIENTS_CHURN345[[#This Row],[Duree_Cumulee_Panne_Min]]/60</f>
        <v>7.6333333333333337</v>
      </c>
      <c r="K668" t="str">
        <f>IF(CLIENTS_CHURN345[[#This Row],[Type_Forfait]]="Pro Monde","B2B","B2C")</f>
        <v>B2B</v>
      </c>
      <c r="L668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668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668" s="1">
        <f>CLIENTS_CHURN345[[#This Row],[Facture_Mensuelle]]*CLIENTS_CHURN345[[#This Row],[Colonne12]]</f>
        <v>44.149500000000003</v>
      </c>
    </row>
    <row r="669" spans="1:14">
      <c r="A669" s="1" t="s">
        <v>85</v>
      </c>
      <c r="B669" t="s">
        <v>106</v>
      </c>
      <c r="C669" t="s">
        <v>107</v>
      </c>
      <c r="D669">
        <v>16</v>
      </c>
      <c r="E669" t="s">
        <v>14</v>
      </c>
      <c r="F669">
        <v>390</v>
      </c>
      <c r="G669">
        <v>98.17</v>
      </c>
      <c r="H669">
        <v>5</v>
      </c>
      <c r="I669">
        <f>CLIENTS_CHURN345[[#This Row],[Anciennete_Mois]]/12</f>
        <v>1.3333333333333333</v>
      </c>
      <c r="J669">
        <f>CLIENTS_CHURN345[[#This Row],[Duree_Cumulee_Panne_Min]]/60</f>
        <v>6.5</v>
      </c>
      <c r="K669" t="str">
        <f>IF(CLIENTS_CHURN345[[#This Row],[Type_Forfait]]="Pro Monde","B2B","B2C")</f>
        <v>B2C</v>
      </c>
      <c r="L669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669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669" s="1">
        <f>CLIENTS_CHURN345[[#This Row],[Facture_Mensuelle]]*CLIENTS_CHURN345[[#This Row],[Colonne12]]</f>
        <v>44.176500000000004</v>
      </c>
    </row>
    <row r="670" spans="1:14">
      <c r="A670" s="1" t="s">
        <v>191</v>
      </c>
      <c r="B670" t="s">
        <v>232</v>
      </c>
      <c r="C670" t="s">
        <v>31</v>
      </c>
      <c r="D670">
        <v>118</v>
      </c>
      <c r="E670" t="s">
        <v>14</v>
      </c>
      <c r="F670">
        <v>300</v>
      </c>
      <c r="G670">
        <v>98.22</v>
      </c>
      <c r="H670">
        <v>4</v>
      </c>
      <c r="I670">
        <f>CLIENTS_CHURN345[[#This Row],[Anciennete_Mois]]/12</f>
        <v>9.8333333333333339</v>
      </c>
      <c r="J670">
        <f>CLIENTS_CHURN345[[#This Row],[Duree_Cumulee_Panne_Min]]/60</f>
        <v>5</v>
      </c>
      <c r="K670" t="str">
        <f>IF(CLIENTS_CHURN345[[#This Row],[Type_Forfait]]="Pro Monde","B2B","B2C")</f>
        <v>B2C</v>
      </c>
      <c r="L670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670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670" s="1">
        <f>CLIENTS_CHURN345[[#This Row],[Facture_Mensuelle]]*CLIENTS_CHURN345[[#This Row],[Colonne12]]</f>
        <v>44.198999999999998</v>
      </c>
    </row>
    <row r="671" spans="1:14">
      <c r="A671" s="1" t="s">
        <v>705</v>
      </c>
      <c r="B671" t="s">
        <v>751</v>
      </c>
      <c r="C671" t="s">
        <v>29</v>
      </c>
      <c r="D671">
        <v>46</v>
      </c>
      <c r="E671" t="s">
        <v>32</v>
      </c>
      <c r="F671">
        <v>43</v>
      </c>
      <c r="G671">
        <v>98.44</v>
      </c>
      <c r="H671">
        <v>2</v>
      </c>
      <c r="I671">
        <f>CLIENTS_CHURN345[[#This Row],[Anciennete_Mois]]/12</f>
        <v>3.8333333333333335</v>
      </c>
      <c r="J671">
        <f>CLIENTS_CHURN345[[#This Row],[Duree_Cumulee_Panne_Min]]/60</f>
        <v>0.71666666666666667</v>
      </c>
      <c r="K671" t="str">
        <f>IF(CLIENTS_CHURN345[[#This Row],[Type_Forfait]]="Pro Monde","B2B","B2C")</f>
        <v>B2C</v>
      </c>
      <c r="L671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671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671" s="1">
        <f>CLIENTS_CHURN345[[#This Row],[Facture_Mensuelle]]*CLIENTS_CHURN345[[#This Row],[Colonne12]]</f>
        <v>44.298000000000002</v>
      </c>
    </row>
    <row r="672" spans="1:14">
      <c r="A672" s="1" t="s">
        <v>447</v>
      </c>
      <c r="B672" t="s">
        <v>467</v>
      </c>
      <c r="C672" t="s">
        <v>18</v>
      </c>
      <c r="D672">
        <v>41</v>
      </c>
      <c r="E672" t="s">
        <v>21</v>
      </c>
      <c r="F672">
        <v>404</v>
      </c>
      <c r="G672">
        <v>98.67</v>
      </c>
      <c r="H672">
        <v>5</v>
      </c>
      <c r="I672">
        <f>CLIENTS_CHURN345[[#This Row],[Anciennete_Mois]]/12</f>
        <v>3.4166666666666665</v>
      </c>
      <c r="J672">
        <f>CLIENTS_CHURN345[[#This Row],[Duree_Cumulee_Panne_Min]]/60</f>
        <v>6.7333333333333334</v>
      </c>
      <c r="K672" t="str">
        <f>IF(CLIENTS_CHURN345[[#This Row],[Type_Forfait]]="Pro Monde","B2B","B2C")</f>
        <v>B2C</v>
      </c>
      <c r="L672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672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672" s="1">
        <f>CLIENTS_CHURN345[[#This Row],[Facture_Mensuelle]]*CLIENTS_CHURN345[[#This Row],[Colonne12]]</f>
        <v>44.401499999999999</v>
      </c>
    </row>
    <row r="673" spans="1:14">
      <c r="A673" s="1" t="s">
        <v>756</v>
      </c>
      <c r="B673" t="s">
        <v>792</v>
      </c>
      <c r="C673" t="s">
        <v>13</v>
      </c>
      <c r="D673">
        <v>12</v>
      </c>
      <c r="E673" t="s">
        <v>32</v>
      </c>
      <c r="F673">
        <v>138</v>
      </c>
      <c r="G673">
        <v>99.83</v>
      </c>
      <c r="H673">
        <v>1</v>
      </c>
      <c r="I673">
        <f>CLIENTS_CHURN345[[#This Row],[Anciennete_Mois]]/12</f>
        <v>1</v>
      </c>
      <c r="J673">
        <f>CLIENTS_CHURN345[[#This Row],[Duree_Cumulee_Panne_Min]]/60</f>
        <v>2.2999999999999998</v>
      </c>
      <c r="K673" t="str">
        <f>IF(CLIENTS_CHURN345[[#This Row],[Type_Forfait]]="Pro Monde","B2B","B2C")</f>
        <v>B2C</v>
      </c>
      <c r="L673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673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673" s="1">
        <f>CLIENTS_CHURN345[[#This Row],[Facture_Mensuelle]]*CLIENTS_CHURN345[[#This Row],[Colonne12]]</f>
        <v>44.923499999999997</v>
      </c>
    </row>
    <row r="674" spans="1:14">
      <c r="A674" s="1" t="s">
        <v>85</v>
      </c>
      <c r="B674" t="s">
        <v>130</v>
      </c>
      <c r="C674" t="s">
        <v>29</v>
      </c>
      <c r="D674">
        <v>6</v>
      </c>
      <c r="E674" t="s">
        <v>32</v>
      </c>
      <c r="F674">
        <v>162</v>
      </c>
      <c r="G674">
        <v>99.93</v>
      </c>
      <c r="H674">
        <v>0</v>
      </c>
      <c r="I674">
        <f>CLIENTS_CHURN345[[#This Row],[Anciennete_Mois]]/12</f>
        <v>0.5</v>
      </c>
      <c r="J674">
        <f>CLIENTS_CHURN345[[#This Row],[Duree_Cumulee_Panne_Min]]/60</f>
        <v>2.7</v>
      </c>
      <c r="K674" t="str">
        <f>IF(CLIENTS_CHURN345[[#This Row],[Type_Forfait]]="Pro Monde","B2B","B2C")</f>
        <v>B2C</v>
      </c>
      <c r="L674" s="1" t="str">
        <f>IF(AND(CLIENTS_CHURN345[[#This Row],[Duree_Cumulee_Panne_heur]]&gt;12,CLIENTS_CHURN345[[#This Row],[Anciennete_Annee]]&gt;5),"70%",IF(OR(AND(CLIENTS_CHURN345[[#This Row],[Duree_Cumulee_Panne_heur]]&gt;=4,CLIENTS_CHURN345[[#This Row],[Duree_Cumulee_Panne_heur]]&lt;=12),AND(CLIENTS_CHURN345[[#This Row],[Anciennete_Annee]]&lt;5,CLIENTS_CHURN345[[#This Row],[Type_Forfait]]="Premium 5G 150Go")),"45%",IF(CLIENTS_CHURN345[[#This Row],[Catégorie]]="B2B","10%","0%")))</f>
        <v>45%</v>
      </c>
      <c r="M674" s="1" t="str">
        <f>IF(AND(CLIENTS_CHURN345[[#This Row],[Duree_Cumulee_Panne_heur]]&gt;12,CLIENTS_CHURN345[[#This Row],[Anciennete_Annee]]&gt;5),"0.7",IF(OR(AND(CLIENTS_CHURN345[[#This Row],[Duree_Cumulee_Panne_heur]]&gt;=4,CLIENTS_CHURN345[[#This Row],[Duree_Cumulee_Panne_heur]]&lt;=12),AND(CLIENTS_CHURN345[[#This Row],[Anciennete_Annee]]&lt;5,CLIENTS_CHURN345[[#This Row],[Type_Forfait]]="Premium 5G 150Go")),"0.45",IF(CLIENTS_CHURN345[[#This Row],[Catégorie]]="B2B","0.1","0")))</f>
        <v>0.45</v>
      </c>
      <c r="N674" s="1">
        <f>CLIENTS_CHURN345[[#This Row],[Facture_Mensuelle]]*CLIENTS_CHURN345[[#This Row],[Colonne12]]</f>
        <v>44.968500000000006</v>
      </c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A3953-3C9F-4E10-B979-6175623AD6A0}">
  <dimension ref="A1:J674"/>
  <sheetViews>
    <sheetView tabSelected="1" workbookViewId="0">
      <selection activeCell="B1" sqref="B1:B1048576"/>
    </sheetView>
  </sheetViews>
  <sheetFormatPr baseColWidth="10" defaultRowHeight="14.5"/>
  <cols>
    <col min="1" max="1" width="23.6328125" bestFit="1" customWidth="1"/>
    <col min="2" max="2" width="16.08984375" bestFit="1" customWidth="1"/>
    <col min="3" max="3" width="17.6328125" bestFit="1" customWidth="1"/>
    <col min="4" max="4" width="17" bestFit="1" customWidth="1"/>
    <col min="5" max="5" width="27.26953125" bestFit="1" customWidth="1"/>
    <col min="6" max="6" width="19.08984375" bestFit="1" customWidth="1"/>
    <col min="7" max="7" width="22.453125" bestFit="1" customWidth="1"/>
    <col min="8" max="8" width="19" bestFit="1" customWidth="1"/>
    <col min="9" max="9" width="27.90625" bestFit="1" customWidth="1"/>
  </cols>
  <sheetData>
    <row r="1" spans="1:10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808</v>
      </c>
      <c r="I1" t="s">
        <v>809</v>
      </c>
      <c r="J1" s="2" t="s">
        <v>810</v>
      </c>
    </row>
    <row r="2" spans="1:10">
      <c r="A2" s="1" t="s">
        <v>602</v>
      </c>
      <c r="B2" t="s">
        <v>95</v>
      </c>
      <c r="C2">
        <v>17</v>
      </c>
      <c r="D2" t="s">
        <v>32</v>
      </c>
      <c r="E2">
        <v>499</v>
      </c>
      <c r="F2">
        <v>27.81</v>
      </c>
      <c r="G2">
        <v>2</v>
      </c>
      <c r="H2">
        <f>CLIENTS_CHURN34[[#This Row],[Anciennete_Mois]]/12</f>
        <v>1.4166666666666667</v>
      </c>
      <c r="I2">
        <f>CLIENTS_CHURN34[[#This Row],[Duree_Cumulee_Panne_Min]]/60</f>
        <v>8.3166666666666664</v>
      </c>
    </row>
    <row r="3" spans="1:10">
      <c r="A3" s="1" t="s">
        <v>344</v>
      </c>
      <c r="B3" t="s">
        <v>10</v>
      </c>
      <c r="C3">
        <v>87</v>
      </c>
      <c r="D3" t="s">
        <v>21</v>
      </c>
      <c r="E3">
        <v>498</v>
      </c>
      <c r="F3">
        <v>61.57</v>
      </c>
      <c r="G3">
        <v>0</v>
      </c>
      <c r="H3">
        <f>CLIENTS_CHURN34[[#This Row],[Anciennete_Mois]]/12</f>
        <v>7.25</v>
      </c>
      <c r="I3">
        <f>CLIENTS_CHURN34[[#This Row],[Duree_Cumulee_Panne_Min]]/60</f>
        <v>8.3000000000000007</v>
      </c>
    </row>
    <row r="4" spans="1:10">
      <c r="A4" s="1" t="s">
        <v>344</v>
      </c>
      <c r="B4" t="s">
        <v>57</v>
      </c>
      <c r="C4">
        <v>2</v>
      </c>
      <c r="D4" t="s">
        <v>11</v>
      </c>
      <c r="E4">
        <v>496</v>
      </c>
      <c r="F4">
        <v>15.71</v>
      </c>
      <c r="G4">
        <v>3</v>
      </c>
      <c r="H4">
        <f>CLIENTS_CHURN34[[#This Row],[Anciennete_Mois]]/12</f>
        <v>0.16666666666666666</v>
      </c>
      <c r="I4">
        <f>CLIENTS_CHURN34[[#This Row],[Duree_Cumulee_Panne_Min]]/60</f>
        <v>8.2666666666666675</v>
      </c>
    </row>
    <row r="5" spans="1:10">
      <c r="A5" s="1" t="s">
        <v>395</v>
      </c>
      <c r="B5" t="s">
        <v>10</v>
      </c>
      <c r="C5">
        <v>35</v>
      </c>
      <c r="D5" t="s">
        <v>11</v>
      </c>
      <c r="E5">
        <v>496</v>
      </c>
      <c r="F5">
        <v>19.78</v>
      </c>
      <c r="G5">
        <v>5</v>
      </c>
      <c r="H5">
        <f>CLIENTS_CHURN34[[#This Row],[Anciennete_Mois]]/12</f>
        <v>2.9166666666666665</v>
      </c>
      <c r="I5">
        <f>CLIENTS_CHURN34[[#This Row],[Duree_Cumulee_Panne_Min]]/60</f>
        <v>8.2666666666666675</v>
      </c>
    </row>
    <row r="6" spans="1:10">
      <c r="A6" s="1" t="s">
        <v>395</v>
      </c>
      <c r="B6" t="s">
        <v>26</v>
      </c>
      <c r="C6">
        <v>29</v>
      </c>
      <c r="D6" t="s">
        <v>11</v>
      </c>
      <c r="E6">
        <v>493</v>
      </c>
      <c r="F6">
        <v>42.02</v>
      </c>
      <c r="G6">
        <v>1</v>
      </c>
      <c r="H6">
        <f>CLIENTS_CHURN34[[#This Row],[Anciennete_Mois]]/12</f>
        <v>2.4166666666666665</v>
      </c>
      <c r="I6">
        <f>CLIENTS_CHURN34[[#This Row],[Duree_Cumulee_Panne_Min]]/60</f>
        <v>8.2166666666666668</v>
      </c>
    </row>
    <row r="7" spans="1:10">
      <c r="A7" s="1" t="s">
        <v>85</v>
      </c>
      <c r="B7" t="s">
        <v>29</v>
      </c>
      <c r="C7">
        <v>99</v>
      </c>
      <c r="D7" t="s">
        <v>21</v>
      </c>
      <c r="E7">
        <v>493</v>
      </c>
      <c r="F7">
        <v>55.43</v>
      </c>
      <c r="G7">
        <v>2</v>
      </c>
      <c r="H7">
        <f>CLIENTS_CHURN34[[#This Row],[Anciennete_Mois]]/12</f>
        <v>8.25</v>
      </c>
      <c r="I7">
        <f>CLIENTS_CHURN34[[#This Row],[Duree_Cumulee_Panne_Min]]/60</f>
        <v>8.2166666666666668</v>
      </c>
    </row>
    <row r="8" spans="1:10">
      <c r="A8" s="1" t="s">
        <v>551</v>
      </c>
      <c r="B8" t="s">
        <v>65</v>
      </c>
      <c r="C8">
        <v>57</v>
      </c>
      <c r="D8" t="s">
        <v>14</v>
      </c>
      <c r="E8">
        <v>493</v>
      </c>
      <c r="F8">
        <v>43.98</v>
      </c>
      <c r="G8">
        <v>3</v>
      </c>
      <c r="H8">
        <f>CLIENTS_CHURN34[[#This Row],[Anciennete_Mois]]/12</f>
        <v>4.75</v>
      </c>
      <c r="I8">
        <f>CLIENTS_CHURN34[[#This Row],[Duree_Cumulee_Panne_Min]]/60</f>
        <v>8.2166666666666668</v>
      </c>
    </row>
    <row r="9" spans="1:10">
      <c r="A9" s="1" t="s">
        <v>242</v>
      </c>
      <c r="B9" t="s">
        <v>18</v>
      </c>
      <c r="C9">
        <v>36</v>
      </c>
      <c r="D9" t="s">
        <v>14</v>
      </c>
      <c r="E9">
        <v>491</v>
      </c>
      <c r="F9">
        <v>12.13</v>
      </c>
      <c r="G9">
        <v>4</v>
      </c>
      <c r="H9">
        <f>CLIENTS_CHURN34[[#This Row],[Anciennete_Mois]]/12</f>
        <v>3</v>
      </c>
      <c r="I9">
        <f>CLIENTS_CHURN34[[#This Row],[Duree_Cumulee_Panne_Min]]/60</f>
        <v>8.1833333333333336</v>
      </c>
    </row>
    <row r="10" spans="1:10">
      <c r="A10" s="1" t="s">
        <v>293</v>
      </c>
      <c r="B10" t="s">
        <v>36</v>
      </c>
      <c r="C10">
        <v>118</v>
      </c>
      <c r="D10" t="s">
        <v>21</v>
      </c>
      <c r="E10">
        <v>489</v>
      </c>
      <c r="F10">
        <v>76.22</v>
      </c>
      <c r="G10">
        <v>2</v>
      </c>
      <c r="H10">
        <f>CLIENTS_CHURN34[[#This Row],[Anciennete_Mois]]/12</f>
        <v>9.8333333333333339</v>
      </c>
      <c r="I10">
        <f>CLIENTS_CHURN34[[#This Row],[Duree_Cumulee_Panne_Min]]/60</f>
        <v>8.15</v>
      </c>
    </row>
    <row r="11" spans="1:10">
      <c r="A11" s="1" t="s">
        <v>344</v>
      </c>
      <c r="B11" t="s">
        <v>36</v>
      </c>
      <c r="C11">
        <v>77</v>
      </c>
      <c r="D11" t="s">
        <v>32</v>
      </c>
      <c r="E11">
        <v>488</v>
      </c>
      <c r="F11">
        <v>21.17</v>
      </c>
      <c r="G11">
        <v>0</v>
      </c>
      <c r="H11">
        <f>CLIENTS_CHURN34[[#This Row],[Anciennete_Mois]]/12</f>
        <v>6.416666666666667</v>
      </c>
      <c r="I11">
        <f>CLIENTS_CHURN34[[#This Row],[Duree_Cumulee_Panne_Min]]/60</f>
        <v>8.1333333333333329</v>
      </c>
    </row>
    <row r="12" spans="1:10">
      <c r="A12" s="1" t="s">
        <v>191</v>
      </c>
      <c r="B12" t="s">
        <v>107</v>
      </c>
      <c r="C12">
        <v>92</v>
      </c>
      <c r="D12" t="s">
        <v>11</v>
      </c>
      <c r="E12">
        <v>487</v>
      </c>
      <c r="F12">
        <v>58.38</v>
      </c>
      <c r="G12">
        <v>1</v>
      </c>
      <c r="H12">
        <f>CLIENTS_CHURN34[[#This Row],[Anciennete_Mois]]/12</f>
        <v>7.666666666666667</v>
      </c>
      <c r="I12">
        <f>CLIENTS_CHURN34[[#This Row],[Duree_Cumulee_Panne_Min]]/60</f>
        <v>8.1166666666666671</v>
      </c>
    </row>
    <row r="13" spans="1:10">
      <c r="A13" s="1" t="s">
        <v>551</v>
      </c>
      <c r="B13" t="s">
        <v>13</v>
      </c>
      <c r="C13">
        <v>36</v>
      </c>
      <c r="D13" t="s">
        <v>21</v>
      </c>
      <c r="E13">
        <v>487</v>
      </c>
      <c r="F13">
        <v>45.02</v>
      </c>
      <c r="G13">
        <v>2</v>
      </c>
      <c r="H13">
        <f>CLIENTS_CHURN34[[#This Row],[Anciennete_Mois]]/12</f>
        <v>3</v>
      </c>
      <c r="I13">
        <f>CLIENTS_CHURN34[[#This Row],[Duree_Cumulee_Panne_Min]]/60</f>
        <v>8.1166666666666671</v>
      </c>
    </row>
    <row r="14" spans="1:10">
      <c r="A14" s="1" t="s">
        <v>344</v>
      </c>
      <c r="B14" t="s">
        <v>36</v>
      </c>
      <c r="C14">
        <v>69</v>
      </c>
      <c r="D14" t="s">
        <v>32</v>
      </c>
      <c r="E14">
        <v>486</v>
      </c>
      <c r="F14">
        <v>34.770000000000003</v>
      </c>
      <c r="G14">
        <v>0</v>
      </c>
      <c r="H14">
        <f>CLIENTS_CHURN34[[#This Row],[Anciennete_Mois]]/12</f>
        <v>5.75</v>
      </c>
      <c r="I14">
        <f>CLIENTS_CHURN34[[#This Row],[Duree_Cumulee_Panne_Min]]/60</f>
        <v>8.1</v>
      </c>
    </row>
    <row r="15" spans="1:10">
      <c r="A15" s="1" t="s">
        <v>756</v>
      </c>
      <c r="B15" t="s">
        <v>43</v>
      </c>
      <c r="C15">
        <v>87</v>
      </c>
      <c r="D15" t="s">
        <v>11</v>
      </c>
      <c r="E15">
        <v>486</v>
      </c>
      <c r="F15">
        <v>58.26</v>
      </c>
      <c r="G15">
        <v>0</v>
      </c>
      <c r="H15">
        <f>CLIENTS_CHURN34[[#This Row],[Anciennete_Mois]]/12</f>
        <v>7.25</v>
      </c>
      <c r="I15">
        <f>CLIENTS_CHURN34[[#This Row],[Duree_Cumulee_Panne_Min]]/60</f>
        <v>8.1</v>
      </c>
    </row>
    <row r="16" spans="1:10">
      <c r="A16" s="1" t="s">
        <v>395</v>
      </c>
      <c r="B16" t="s">
        <v>13</v>
      </c>
      <c r="C16">
        <v>43</v>
      </c>
      <c r="D16" t="s">
        <v>32</v>
      </c>
      <c r="E16">
        <v>486</v>
      </c>
      <c r="F16">
        <v>76.42</v>
      </c>
      <c r="G16">
        <v>1</v>
      </c>
      <c r="H16">
        <f>CLIENTS_CHURN34[[#This Row],[Anciennete_Mois]]/12</f>
        <v>3.5833333333333335</v>
      </c>
      <c r="I16">
        <f>CLIENTS_CHURN34[[#This Row],[Duree_Cumulee_Panne_Min]]/60</f>
        <v>8.1</v>
      </c>
    </row>
    <row r="17" spans="1:9">
      <c r="A17" s="1" t="s">
        <v>85</v>
      </c>
      <c r="B17" t="s">
        <v>40</v>
      </c>
      <c r="C17">
        <v>116</v>
      </c>
      <c r="D17" t="s">
        <v>11</v>
      </c>
      <c r="E17">
        <v>486</v>
      </c>
      <c r="F17">
        <v>92.96</v>
      </c>
      <c r="G17">
        <v>5</v>
      </c>
      <c r="H17">
        <f>CLIENTS_CHURN34[[#This Row],[Anciennete_Mois]]/12</f>
        <v>9.6666666666666661</v>
      </c>
      <c r="I17">
        <f>CLIENTS_CHURN34[[#This Row],[Duree_Cumulee_Panne_Min]]/60</f>
        <v>8.1</v>
      </c>
    </row>
    <row r="18" spans="1:9">
      <c r="A18" s="1" t="s">
        <v>499</v>
      </c>
      <c r="B18" t="s">
        <v>10</v>
      </c>
      <c r="C18">
        <v>58</v>
      </c>
      <c r="D18" t="s">
        <v>32</v>
      </c>
      <c r="E18">
        <v>485</v>
      </c>
      <c r="F18">
        <v>64.290000000000006</v>
      </c>
      <c r="G18">
        <v>4</v>
      </c>
      <c r="H18">
        <f>CLIENTS_CHURN34[[#This Row],[Anciennete_Mois]]/12</f>
        <v>4.833333333333333</v>
      </c>
      <c r="I18">
        <f>CLIENTS_CHURN34[[#This Row],[Duree_Cumulee_Panne_Min]]/60</f>
        <v>8.0833333333333339</v>
      </c>
    </row>
    <row r="19" spans="1:9">
      <c r="A19" s="1" t="s">
        <v>756</v>
      </c>
      <c r="B19" t="s">
        <v>10</v>
      </c>
      <c r="C19">
        <v>58</v>
      </c>
      <c r="D19" t="s">
        <v>32</v>
      </c>
      <c r="E19">
        <v>485</v>
      </c>
      <c r="F19">
        <v>65.41</v>
      </c>
      <c r="G19">
        <v>5</v>
      </c>
      <c r="H19">
        <f>CLIENTS_CHURN34[[#This Row],[Anciennete_Mois]]/12</f>
        <v>4.833333333333333</v>
      </c>
      <c r="I19">
        <f>CLIENTS_CHURN34[[#This Row],[Duree_Cumulee_Panne_Min]]/60</f>
        <v>8.0833333333333339</v>
      </c>
    </row>
    <row r="20" spans="1:9">
      <c r="A20" s="1" t="s">
        <v>191</v>
      </c>
      <c r="B20" t="s">
        <v>10</v>
      </c>
      <c r="C20">
        <v>97</v>
      </c>
      <c r="D20" t="s">
        <v>14</v>
      </c>
      <c r="E20">
        <v>484</v>
      </c>
      <c r="F20">
        <v>61.98</v>
      </c>
      <c r="G20">
        <v>1</v>
      </c>
      <c r="H20">
        <f>CLIENTS_CHURN34[[#This Row],[Anciennete_Mois]]/12</f>
        <v>8.0833333333333339</v>
      </c>
      <c r="I20">
        <f>CLIENTS_CHURN34[[#This Row],[Duree_Cumulee_Panne_Min]]/60</f>
        <v>8.0666666666666664</v>
      </c>
    </row>
    <row r="21" spans="1:9">
      <c r="A21" s="1" t="s">
        <v>756</v>
      </c>
      <c r="B21" t="s">
        <v>24</v>
      </c>
      <c r="C21">
        <v>102</v>
      </c>
      <c r="D21" t="s">
        <v>14</v>
      </c>
      <c r="E21">
        <v>484</v>
      </c>
      <c r="F21">
        <v>64.22</v>
      </c>
      <c r="G21">
        <v>2</v>
      </c>
      <c r="H21">
        <f>CLIENTS_CHURN34[[#This Row],[Anciennete_Mois]]/12</f>
        <v>8.5</v>
      </c>
      <c r="I21">
        <f>CLIENTS_CHURN34[[#This Row],[Duree_Cumulee_Panne_Min]]/60</f>
        <v>8.0666666666666664</v>
      </c>
    </row>
    <row r="22" spans="1:9">
      <c r="A22" s="1" t="s">
        <v>344</v>
      </c>
      <c r="B22" t="s">
        <v>76</v>
      </c>
      <c r="C22">
        <v>17</v>
      </c>
      <c r="D22" t="s">
        <v>21</v>
      </c>
      <c r="E22">
        <v>483</v>
      </c>
      <c r="F22">
        <v>77.08</v>
      </c>
      <c r="G22">
        <v>0</v>
      </c>
      <c r="H22">
        <f>CLIENTS_CHURN34[[#This Row],[Anciennete_Mois]]/12</f>
        <v>1.4166666666666667</v>
      </c>
      <c r="I22">
        <f>CLIENTS_CHURN34[[#This Row],[Duree_Cumulee_Panne_Min]]/60</f>
        <v>8.0500000000000007</v>
      </c>
    </row>
    <row r="23" spans="1:9">
      <c r="A23" s="1" t="s">
        <v>395</v>
      </c>
      <c r="B23" t="s">
        <v>79</v>
      </c>
      <c r="C23">
        <v>112</v>
      </c>
      <c r="D23" t="s">
        <v>21</v>
      </c>
      <c r="E23">
        <v>483</v>
      </c>
      <c r="F23">
        <v>93.98</v>
      </c>
      <c r="G23">
        <v>0</v>
      </c>
      <c r="H23">
        <f>CLIENTS_CHURN34[[#This Row],[Anciennete_Mois]]/12</f>
        <v>9.3333333333333339</v>
      </c>
      <c r="I23">
        <f>CLIENTS_CHURN34[[#This Row],[Duree_Cumulee_Panne_Min]]/60</f>
        <v>8.0500000000000007</v>
      </c>
    </row>
    <row r="24" spans="1:9">
      <c r="A24" s="1" t="s">
        <v>447</v>
      </c>
      <c r="B24" t="s">
        <v>107</v>
      </c>
      <c r="C24">
        <v>13</v>
      </c>
      <c r="D24" t="s">
        <v>21</v>
      </c>
      <c r="E24">
        <v>482</v>
      </c>
      <c r="F24">
        <v>50.15</v>
      </c>
      <c r="G24">
        <v>0</v>
      </c>
      <c r="H24">
        <f>CLIENTS_CHURN34[[#This Row],[Anciennete_Mois]]/12</f>
        <v>1.0833333333333333</v>
      </c>
      <c r="I24">
        <f>CLIENTS_CHURN34[[#This Row],[Duree_Cumulee_Panne_Min]]/60</f>
        <v>8.0333333333333332</v>
      </c>
    </row>
    <row r="25" spans="1:9">
      <c r="A25" s="1" t="s">
        <v>551</v>
      </c>
      <c r="B25" t="s">
        <v>40</v>
      </c>
      <c r="C25">
        <v>48</v>
      </c>
      <c r="D25" t="s">
        <v>14</v>
      </c>
      <c r="E25">
        <v>482</v>
      </c>
      <c r="F25">
        <v>83.24</v>
      </c>
      <c r="G25">
        <v>0</v>
      </c>
      <c r="H25">
        <f>CLIENTS_CHURN34[[#This Row],[Anciennete_Mois]]/12</f>
        <v>4</v>
      </c>
      <c r="I25">
        <f>CLIENTS_CHURN34[[#This Row],[Duree_Cumulee_Panne_Min]]/60</f>
        <v>8.0333333333333332</v>
      </c>
    </row>
    <row r="26" spans="1:9">
      <c r="A26" s="1" t="s">
        <v>191</v>
      </c>
      <c r="B26" t="s">
        <v>36</v>
      </c>
      <c r="C26">
        <v>114</v>
      </c>
      <c r="D26" t="s">
        <v>32</v>
      </c>
      <c r="E26">
        <v>482</v>
      </c>
      <c r="F26">
        <v>16.25</v>
      </c>
      <c r="G26">
        <v>3</v>
      </c>
      <c r="H26">
        <f>CLIENTS_CHURN34[[#This Row],[Anciennete_Mois]]/12</f>
        <v>9.5</v>
      </c>
      <c r="I26">
        <f>CLIENTS_CHURN34[[#This Row],[Duree_Cumulee_Panne_Min]]/60</f>
        <v>8.0333333333333332</v>
      </c>
    </row>
    <row r="27" spans="1:9">
      <c r="A27" s="1" t="s">
        <v>85</v>
      </c>
      <c r="B27" t="s">
        <v>92</v>
      </c>
      <c r="C27">
        <v>98</v>
      </c>
      <c r="D27" t="s">
        <v>11</v>
      </c>
      <c r="E27">
        <v>482</v>
      </c>
      <c r="F27">
        <v>55.04</v>
      </c>
      <c r="G27">
        <v>5</v>
      </c>
      <c r="H27">
        <f>CLIENTS_CHURN34[[#This Row],[Anciennete_Mois]]/12</f>
        <v>8.1666666666666661</v>
      </c>
      <c r="I27">
        <f>CLIENTS_CHURN34[[#This Row],[Duree_Cumulee_Panne_Min]]/60</f>
        <v>8.0333333333333332</v>
      </c>
    </row>
    <row r="28" spans="1:9">
      <c r="A28" s="1" t="s">
        <v>602</v>
      </c>
      <c r="B28" t="s">
        <v>52</v>
      </c>
      <c r="C28">
        <v>2</v>
      </c>
      <c r="D28" t="s">
        <v>11</v>
      </c>
      <c r="E28">
        <v>481</v>
      </c>
      <c r="F28">
        <v>29.37</v>
      </c>
      <c r="G28">
        <v>4</v>
      </c>
      <c r="H28">
        <f>CLIENTS_CHURN34[[#This Row],[Anciennete_Mois]]/12</f>
        <v>0.16666666666666666</v>
      </c>
      <c r="I28">
        <f>CLIENTS_CHURN34[[#This Row],[Duree_Cumulee_Panne_Min]]/60</f>
        <v>8.0166666666666675</v>
      </c>
    </row>
    <row r="29" spans="1:9">
      <c r="A29" s="1" t="s">
        <v>140</v>
      </c>
      <c r="B29" t="s">
        <v>18</v>
      </c>
      <c r="C29">
        <v>109</v>
      </c>
      <c r="D29" t="s">
        <v>11</v>
      </c>
      <c r="E29">
        <v>480</v>
      </c>
      <c r="F29">
        <v>31.36</v>
      </c>
      <c r="G29">
        <v>0</v>
      </c>
      <c r="H29">
        <f>CLIENTS_CHURN34[[#This Row],[Anciennete_Mois]]/12</f>
        <v>9.0833333333333339</v>
      </c>
      <c r="I29">
        <f>CLIENTS_CHURN34[[#This Row],[Duree_Cumulee_Panne_Min]]/60</f>
        <v>8</v>
      </c>
    </row>
    <row r="30" spans="1:9">
      <c r="A30" s="1" t="s">
        <v>395</v>
      </c>
      <c r="B30" t="s">
        <v>79</v>
      </c>
      <c r="C30">
        <v>101</v>
      </c>
      <c r="D30" t="s">
        <v>32</v>
      </c>
      <c r="E30">
        <v>476</v>
      </c>
      <c r="F30">
        <v>41.85</v>
      </c>
      <c r="G30">
        <v>4</v>
      </c>
      <c r="H30">
        <f>CLIENTS_CHURN34[[#This Row],[Anciennete_Mois]]/12</f>
        <v>8.4166666666666661</v>
      </c>
      <c r="I30">
        <f>CLIENTS_CHURN34[[#This Row],[Duree_Cumulee_Panne_Min]]/60</f>
        <v>7.9333333333333336</v>
      </c>
    </row>
    <row r="31" spans="1:9">
      <c r="A31" s="1" t="s">
        <v>756</v>
      </c>
      <c r="B31" t="s">
        <v>24</v>
      </c>
      <c r="C31">
        <v>21</v>
      </c>
      <c r="D31" t="s">
        <v>14</v>
      </c>
      <c r="E31">
        <v>475</v>
      </c>
      <c r="F31">
        <v>15.12</v>
      </c>
      <c r="G31">
        <v>2</v>
      </c>
      <c r="H31">
        <f>CLIENTS_CHURN34[[#This Row],[Anciennete_Mois]]/12</f>
        <v>1.75</v>
      </c>
      <c r="I31">
        <f>CLIENTS_CHURN34[[#This Row],[Duree_Cumulee_Panne_Min]]/60</f>
        <v>7.916666666666667</v>
      </c>
    </row>
    <row r="32" spans="1:9">
      <c r="A32" s="1" t="s">
        <v>447</v>
      </c>
      <c r="B32" t="s">
        <v>40</v>
      </c>
      <c r="C32">
        <v>32</v>
      </c>
      <c r="D32" t="s">
        <v>21</v>
      </c>
      <c r="E32">
        <v>475</v>
      </c>
      <c r="F32">
        <v>36.54</v>
      </c>
      <c r="G32">
        <v>3</v>
      </c>
      <c r="H32">
        <f>CLIENTS_CHURN34[[#This Row],[Anciennete_Mois]]/12</f>
        <v>2.6666666666666665</v>
      </c>
      <c r="I32">
        <f>CLIENTS_CHURN34[[#This Row],[Duree_Cumulee_Panne_Min]]/60</f>
        <v>7.916666666666667</v>
      </c>
    </row>
    <row r="33" spans="1:9">
      <c r="A33" s="1" t="s">
        <v>653</v>
      </c>
      <c r="B33" t="s">
        <v>57</v>
      </c>
      <c r="C33">
        <v>119</v>
      </c>
      <c r="D33" t="s">
        <v>21</v>
      </c>
      <c r="E33">
        <v>475</v>
      </c>
      <c r="F33">
        <v>25.98</v>
      </c>
      <c r="G33">
        <v>4</v>
      </c>
      <c r="H33">
        <f>CLIENTS_CHURN34[[#This Row],[Anciennete_Mois]]/12</f>
        <v>9.9166666666666661</v>
      </c>
      <c r="I33">
        <f>CLIENTS_CHURN34[[#This Row],[Duree_Cumulee_Panne_Min]]/60</f>
        <v>7.916666666666667</v>
      </c>
    </row>
    <row r="34" spans="1:9">
      <c r="A34" s="1" t="s">
        <v>602</v>
      </c>
      <c r="B34" t="s">
        <v>29</v>
      </c>
      <c r="C34">
        <v>13</v>
      </c>
      <c r="D34" t="s">
        <v>11</v>
      </c>
      <c r="E34">
        <v>474</v>
      </c>
      <c r="F34">
        <v>63.67</v>
      </c>
      <c r="G34">
        <v>2</v>
      </c>
      <c r="H34">
        <f>CLIENTS_CHURN34[[#This Row],[Anciennete_Mois]]/12</f>
        <v>1.0833333333333333</v>
      </c>
      <c r="I34">
        <f>CLIENTS_CHURN34[[#This Row],[Duree_Cumulee_Panne_Min]]/60</f>
        <v>7.9</v>
      </c>
    </row>
    <row r="35" spans="1:9">
      <c r="A35" s="1" t="s">
        <v>344</v>
      </c>
      <c r="B35" t="s">
        <v>76</v>
      </c>
      <c r="C35">
        <v>41</v>
      </c>
      <c r="D35" t="s">
        <v>11</v>
      </c>
      <c r="E35">
        <v>474</v>
      </c>
      <c r="F35">
        <v>54.03</v>
      </c>
      <c r="G35">
        <v>4</v>
      </c>
      <c r="H35">
        <f>CLIENTS_CHURN34[[#This Row],[Anciennete_Mois]]/12</f>
        <v>3.4166666666666665</v>
      </c>
      <c r="I35">
        <f>CLIENTS_CHURN34[[#This Row],[Duree_Cumulee_Panne_Min]]/60</f>
        <v>7.9</v>
      </c>
    </row>
    <row r="36" spans="1:9">
      <c r="A36" s="1" t="s">
        <v>447</v>
      </c>
      <c r="B36" t="s">
        <v>29</v>
      </c>
      <c r="C36">
        <v>88</v>
      </c>
      <c r="D36" t="s">
        <v>14</v>
      </c>
      <c r="E36">
        <v>474</v>
      </c>
      <c r="F36">
        <v>23.35</v>
      </c>
      <c r="G36">
        <v>5</v>
      </c>
      <c r="H36">
        <f>CLIENTS_CHURN34[[#This Row],[Anciennete_Mois]]/12</f>
        <v>7.333333333333333</v>
      </c>
      <c r="I36">
        <f>CLIENTS_CHURN34[[#This Row],[Duree_Cumulee_Panne_Min]]/60</f>
        <v>7.9</v>
      </c>
    </row>
    <row r="37" spans="1:9">
      <c r="A37" s="1" t="s">
        <v>653</v>
      </c>
      <c r="B37" t="s">
        <v>40</v>
      </c>
      <c r="C37">
        <v>89</v>
      </c>
      <c r="D37" t="s">
        <v>14</v>
      </c>
      <c r="E37">
        <v>474</v>
      </c>
      <c r="F37">
        <v>28.51</v>
      </c>
      <c r="G37">
        <v>5</v>
      </c>
      <c r="H37">
        <f>CLIENTS_CHURN34[[#This Row],[Anciennete_Mois]]/12</f>
        <v>7.416666666666667</v>
      </c>
      <c r="I37">
        <f>CLIENTS_CHURN34[[#This Row],[Duree_Cumulee_Panne_Min]]/60</f>
        <v>7.9</v>
      </c>
    </row>
    <row r="38" spans="1:9">
      <c r="A38" s="1" t="s">
        <v>242</v>
      </c>
      <c r="B38" t="s">
        <v>79</v>
      </c>
      <c r="C38">
        <v>23</v>
      </c>
      <c r="D38" t="s">
        <v>11</v>
      </c>
      <c r="E38">
        <v>473</v>
      </c>
      <c r="F38">
        <v>71.86</v>
      </c>
      <c r="G38">
        <v>3</v>
      </c>
      <c r="H38">
        <f>CLIENTS_CHURN34[[#This Row],[Anciennete_Mois]]/12</f>
        <v>1.9166666666666667</v>
      </c>
      <c r="I38">
        <f>CLIENTS_CHURN34[[#This Row],[Duree_Cumulee_Panne_Min]]/60</f>
        <v>7.8833333333333337</v>
      </c>
    </row>
    <row r="39" spans="1:9">
      <c r="A39" s="1" t="s">
        <v>756</v>
      </c>
      <c r="B39" t="s">
        <v>16</v>
      </c>
      <c r="C39">
        <v>48</v>
      </c>
      <c r="D39" t="s">
        <v>32</v>
      </c>
      <c r="E39">
        <v>473</v>
      </c>
      <c r="F39">
        <v>71.52</v>
      </c>
      <c r="G39">
        <v>5</v>
      </c>
      <c r="H39">
        <f>CLIENTS_CHURN34[[#This Row],[Anciennete_Mois]]/12</f>
        <v>4</v>
      </c>
      <c r="I39">
        <f>CLIENTS_CHURN34[[#This Row],[Duree_Cumulee_Panne_Min]]/60</f>
        <v>7.8833333333333337</v>
      </c>
    </row>
    <row r="40" spans="1:9">
      <c r="A40" s="1" t="s">
        <v>242</v>
      </c>
      <c r="B40" t="s">
        <v>63</v>
      </c>
      <c r="C40">
        <v>92</v>
      </c>
      <c r="D40" t="s">
        <v>14</v>
      </c>
      <c r="E40">
        <v>472</v>
      </c>
      <c r="F40">
        <v>78.44</v>
      </c>
      <c r="G40">
        <v>1</v>
      </c>
      <c r="H40">
        <f>CLIENTS_CHURN34[[#This Row],[Anciennete_Mois]]/12</f>
        <v>7.666666666666667</v>
      </c>
      <c r="I40">
        <f>CLIENTS_CHURN34[[#This Row],[Duree_Cumulee_Panne_Min]]/60</f>
        <v>7.8666666666666663</v>
      </c>
    </row>
    <row r="41" spans="1:9">
      <c r="A41" s="1" t="s">
        <v>8</v>
      </c>
      <c r="B41" t="s">
        <v>31</v>
      </c>
      <c r="C41">
        <v>86</v>
      </c>
      <c r="D41" t="s">
        <v>32</v>
      </c>
      <c r="E41">
        <v>471</v>
      </c>
      <c r="F41">
        <v>33.380000000000003</v>
      </c>
      <c r="G41">
        <v>4</v>
      </c>
      <c r="H41">
        <f>CLIENTS_CHURN34[[#This Row],[Anciennete_Mois]]/12</f>
        <v>7.166666666666667</v>
      </c>
      <c r="I41">
        <f>CLIENTS_CHURN34[[#This Row],[Duree_Cumulee_Panne_Min]]/60</f>
        <v>7.85</v>
      </c>
    </row>
    <row r="42" spans="1:9">
      <c r="A42" s="1" t="s">
        <v>85</v>
      </c>
      <c r="B42" t="s">
        <v>26</v>
      </c>
      <c r="C42">
        <v>91</v>
      </c>
      <c r="D42" t="s">
        <v>32</v>
      </c>
      <c r="E42">
        <v>467</v>
      </c>
      <c r="F42">
        <v>84.74</v>
      </c>
      <c r="G42">
        <v>1</v>
      </c>
      <c r="H42">
        <f>CLIENTS_CHURN34[[#This Row],[Anciennete_Mois]]/12</f>
        <v>7.583333333333333</v>
      </c>
      <c r="I42">
        <f>CLIENTS_CHURN34[[#This Row],[Duree_Cumulee_Panne_Min]]/60</f>
        <v>7.7833333333333332</v>
      </c>
    </row>
    <row r="43" spans="1:9">
      <c r="A43" s="1" t="s">
        <v>293</v>
      </c>
      <c r="B43" t="s">
        <v>63</v>
      </c>
      <c r="C43">
        <v>25</v>
      </c>
      <c r="D43" t="s">
        <v>32</v>
      </c>
      <c r="E43">
        <v>467</v>
      </c>
      <c r="F43">
        <v>97.78</v>
      </c>
      <c r="G43">
        <v>3</v>
      </c>
      <c r="H43">
        <f>CLIENTS_CHURN34[[#This Row],[Anciennete_Mois]]/12</f>
        <v>2.0833333333333335</v>
      </c>
      <c r="I43">
        <f>CLIENTS_CHURN34[[#This Row],[Duree_Cumulee_Panne_Min]]/60</f>
        <v>7.7833333333333332</v>
      </c>
    </row>
    <row r="44" spans="1:9">
      <c r="A44" s="1" t="s">
        <v>395</v>
      </c>
      <c r="B44" t="s">
        <v>79</v>
      </c>
      <c r="C44">
        <v>115</v>
      </c>
      <c r="D44" t="s">
        <v>21</v>
      </c>
      <c r="E44">
        <v>467</v>
      </c>
      <c r="F44">
        <v>24.57</v>
      </c>
      <c r="G44">
        <v>3</v>
      </c>
      <c r="H44">
        <f>CLIENTS_CHURN34[[#This Row],[Anciennete_Mois]]/12</f>
        <v>9.5833333333333339</v>
      </c>
      <c r="I44">
        <f>CLIENTS_CHURN34[[#This Row],[Duree_Cumulee_Panne_Min]]/60</f>
        <v>7.7833333333333332</v>
      </c>
    </row>
    <row r="45" spans="1:9">
      <c r="A45" s="1" t="s">
        <v>756</v>
      </c>
      <c r="B45" t="s">
        <v>71</v>
      </c>
      <c r="C45">
        <v>108</v>
      </c>
      <c r="D45" t="s">
        <v>14</v>
      </c>
      <c r="E45">
        <v>467</v>
      </c>
      <c r="F45">
        <v>44.84</v>
      </c>
      <c r="G45">
        <v>4</v>
      </c>
      <c r="H45">
        <f>CLIENTS_CHURN34[[#This Row],[Anciennete_Mois]]/12</f>
        <v>9</v>
      </c>
      <c r="I45">
        <f>CLIENTS_CHURN34[[#This Row],[Duree_Cumulee_Panne_Min]]/60</f>
        <v>7.7833333333333332</v>
      </c>
    </row>
    <row r="46" spans="1:9">
      <c r="A46" s="1" t="s">
        <v>8</v>
      </c>
      <c r="B46" t="s">
        <v>29</v>
      </c>
      <c r="C46">
        <v>35</v>
      </c>
      <c r="D46" t="s">
        <v>11</v>
      </c>
      <c r="E46">
        <v>465</v>
      </c>
      <c r="F46">
        <v>58.59</v>
      </c>
      <c r="G46">
        <v>5</v>
      </c>
      <c r="H46">
        <f>CLIENTS_CHURN34[[#This Row],[Anciennete_Mois]]/12</f>
        <v>2.9166666666666665</v>
      </c>
      <c r="I46">
        <f>CLIENTS_CHURN34[[#This Row],[Duree_Cumulee_Panne_Min]]/60</f>
        <v>7.75</v>
      </c>
    </row>
    <row r="47" spans="1:9">
      <c r="A47" s="1" t="s">
        <v>140</v>
      </c>
      <c r="B47" t="s">
        <v>36</v>
      </c>
      <c r="C47">
        <v>69</v>
      </c>
      <c r="D47" t="s">
        <v>11</v>
      </c>
      <c r="E47">
        <v>463</v>
      </c>
      <c r="F47">
        <v>19.440000000000001</v>
      </c>
      <c r="G47">
        <v>0</v>
      </c>
      <c r="H47">
        <f>CLIENTS_CHURN34[[#This Row],[Anciennete_Mois]]/12</f>
        <v>5.75</v>
      </c>
      <c r="I47">
        <f>CLIENTS_CHURN34[[#This Row],[Duree_Cumulee_Panne_Min]]/60</f>
        <v>7.7166666666666668</v>
      </c>
    </row>
    <row r="48" spans="1:9">
      <c r="A48" s="1" t="s">
        <v>756</v>
      </c>
      <c r="B48" t="s">
        <v>26</v>
      </c>
      <c r="C48">
        <v>18</v>
      </c>
      <c r="D48" t="s">
        <v>14</v>
      </c>
      <c r="E48">
        <v>463</v>
      </c>
      <c r="F48">
        <v>41.66</v>
      </c>
      <c r="G48">
        <v>4</v>
      </c>
      <c r="H48">
        <f>CLIENTS_CHURN34[[#This Row],[Anciennete_Mois]]/12</f>
        <v>1.5</v>
      </c>
      <c r="I48">
        <f>CLIENTS_CHURN34[[#This Row],[Duree_Cumulee_Panne_Min]]/60</f>
        <v>7.7166666666666668</v>
      </c>
    </row>
    <row r="49" spans="1:9">
      <c r="A49" s="1" t="s">
        <v>602</v>
      </c>
      <c r="B49" t="s">
        <v>95</v>
      </c>
      <c r="C49">
        <v>79</v>
      </c>
      <c r="D49" t="s">
        <v>14</v>
      </c>
      <c r="E49">
        <v>462</v>
      </c>
      <c r="F49">
        <v>18.28</v>
      </c>
      <c r="G49">
        <v>0</v>
      </c>
      <c r="H49">
        <f>CLIENTS_CHURN34[[#This Row],[Anciennete_Mois]]/12</f>
        <v>6.583333333333333</v>
      </c>
      <c r="I49">
        <f>CLIENTS_CHURN34[[#This Row],[Duree_Cumulee_Panne_Min]]/60</f>
        <v>7.7</v>
      </c>
    </row>
    <row r="50" spans="1:9">
      <c r="A50" s="1" t="s">
        <v>395</v>
      </c>
      <c r="B50" t="s">
        <v>31</v>
      </c>
      <c r="C50">
        <v>68</v>
      </c>
      <c r="D50" t="s">
        <v>11</v>
      </c>
      <c r="E50">
        <v>462</v>
      </c>
      <c r="F50">
        <v>41.91</v>
      </c>
      <c r="G50">
        <v>1</v>
      </c>
      <c r="H50">
        <f>CLIENTS_CHURN34[[#This Row],[Anciennete_Mois]]/12</f>
        <v>5.666666666666667</v>
      </c>
      <c r="I50">
        <f>CLIENTS_CHURN34[[#This Row],[Duree_Cumulee_Panne_Min]]/60</f>
        <v>7.7</v>
      </c>
    </row>
    <row r="51" spans="1:9">
      <c r="A51" s="1" t="s">
        <v>293</v>
      </c>
      <c r="B51" t="s">
        <v>52</v>
      </c>
      <c r="C51">
        <v>16</v>
      </c>
      <c r="D51" t="s">
        <v>14</v>
      </c>
      <c r="E51">
        <v>461</v>
      </c>
      <c r="F51">
        <v>38.369999999999997</v>
      </c>
      <c r="G51">
        <v>4</v>
      </c>
      <c r="H51">
        <f>CLIENTS_CHURN34[[#This Row],[Anciennete_Mois]]/12</f>
        <v>1.3333333333333333</v>
      </c>
      <c r="I51">
        <f>CLIENTS_CHURN34[[#This Row],[Duree_Cumulee_Panne_Min]]/60</f>
        <v>7.6833333333333336</v>
      </c>
    </row>
    <row r="52" spans="1:9">
      <c r="A52" s="1" t="s">
        <v>551</v>
      </c>
      <c r="B52" t="s">
        <v>43</v>
      </c>
      <c r="C52">
        <v>118</v>
      </c>
      <c r="D52" t="s">
        <v>14</v>
      </c>
      <c r="E52">
        <v>461</v>
      </c>
      <c r="F52">
        <v>47.82</v>
      </c>
      <c r="G52">
        <v>5</v>
      </c>
      <c r="H52">
        <f>CLIENTS_CHURN34[[#This Row],[Anciennete_Mois]]/12</f>
        <v>9.8333333333333339</v>
      </c>
      <c r="I52">
        <f>CLIENTS_CHURN34[[#This Row],[Duree_Cumulee_Panne_Min]]/60</f>
        <v>7.6833333333333336</v>
      </c>
    </row>
    <row r="53" spans="1:9">
      <c r="A53" s="1" t="s">
        <v>705</v>
      </c>
      <c r="B53" t="s">
        <v>26</v>
      </c>
      <c r="C53">
        <v>21</v>
      </c>
      <c r="D53" t="s">
        <v>21</v>
      </c>
      <c r="E53">
        <v>460</v>
      </c>
      <c r="F53">
        <v>70.81</v>
      </c>
      <c r="G53">
        <v>2</v>
      </c>
      <c r="H53">
        <f>CLIENTS_CHURN34[[#This Row],[Anciennete_Mois]]/12</f>
        <v>1.75</v>
      </c>
      <c r="I53">
        <f>CLIENTS_CHURN34[[#This Row],[Duree_Cumulee_Panne_Min]]/60</f>
        <v>7.666666666666667</v>
      </c>
    </row>
    <row r="54" spans="1:9">
      <c r="A54" s="1" t="s">
        <v>602</v>
      </c>
      <c r="B54" t="s">
        <v>40</v>
      </c>
      <c r="C54">
        <v>108</v>
      </c>
      <c r="D54" t="s">
        <v>14</v>
      </c>
      <c r="E54">
        <v>460</v>
      </c>
      <c r="F54">
        <v>88.95</v>
      </c>
      <c r="G54">
        <v>3</v>
      </c>
      <c r="H54">
        <f>CLIENTS_CHURN34[[#This Row],[Anciennete_Mois]]/12</f>
        <v>9</v>
      </c>
      <c r="I54">
        <f>CLIENTS_CHURN34[[#This Row],[Duree_Cumulee_Panne_Min]]/60</f>
        <v>7.666666666666667</v>
      </c>
    </row>
    <row r="55" spans="1:9">
      <c r="A55" s="1" t="s">
        <v>85</v>
      </c>
      <c r="B55" t="s">
        <v>45</v>
      </c>
      <c r="C55">
        <v>86</v>
      </c>
      <c r="D55" t="s">
        <v>14</v>
      </c>
      <c r="E55">
        <v>460</v>
      </c>
      <c r="F55">
        <v>22.81</v>
      </c>
      <c r="G55">
        <v>4</v>
      </c>
      <c r="H55">
        <f>CLIENTS_CHURN34[[#This Row],[Anciennete_Mois]]/12</f>
        <v>7.166666666666667</v>
      </c>
      <c r="I55">
        <f>CLIENTS_CHURN34[[#This Row],[Duree_Cumulee_Panne_Min]]/60</f>
        <v>7.666666666666667</v>
      </c>
    </row>
    <row r="56" spans="1:9">
      <c r="A56" s="1" t="s">
        <v>8</v>
      </c>
      <c r="B56" t="s">
        <v>43</v>
      </c>
      <c r="C56">
        <v>112</v>
      </c>
      <c r="D56" t="s">
        <v>32</v>
      </c>
      <c r="E56">
        <v>460</v>
      </c>
      <c r="F56">
        <v>55.47</v>
      </c>
      <c r="G56">
        <v>4</v>
      </c>
      <c r="H56">
        <f>CLIENTS_CHURN34[[#This Row],[Anciennete_Mois]]/12</f>
        <v>9.3333333333333339</v>
      </c>
      <c r="I56">
        <f>CLIENTS_CHURN34[[#This Row],[Duree_Cumulee_Panne_Min]]/60</f>
        <v>7.666666666666667</v>
      </c>
    </row>
    <row r="57" spans="1:9">
      <c r="A57" s="1" t="s">
        <v>551</v>
      </c>
      <c r="B57" t="s">
        <v>57</v>
      </c>
      <c r="C57">
        <v>80</v>
      </c>
      <c r="D57" t="s">
        <v>11</v>
      </c>
      <c r="E57">
        <v>458</v>
      </c>
      <c r="F57">
        <v>98.11</v>
      </c>
      <c r="G57">
        <v>0</v>
      </c>
      <c r="H57">
        <f>CLIENTS_CHURN34[[#This Row],[Anciennete_Mois]]/12</f>
        <v>6.666666666666667</v>
      </c>
      <c r="I57">
        <f>CLIENTS_CHURN34[[#This Row],[Duree_Cumulee_Panne_Min]]/60</f>
        <v>7.6333333333333337</v>
      </c>
    </row>
    <row r="58" spans="1:9">
      <c r="A58" s="1" t="s">
        <v>653</v>
      </c>
      <c r="B58" t="s">
        <v>71</v>
      </c>
      <c r="C58">
        <v>22</v>
      </c>
      <c r="D58" t="s">
        <v>11</v>
      </c>
      <c r="E58">
        <v>457</v>
      </c>
      <c r="F58">
        <v>13.21</v>
      </c>
      <c r="G58">
        <v>1</v>
      </c>
      <c r="H58">
        <f>CLIENTS_CHURN34[[#This Row],[Anciennete_Mois]]/12</f>
        <v>1.8333333333333333</v>
      </c>
      <c r="I58">
        <f>CLIENTS_CHURN34[[#This Row],[Duree_Cumulee_Panne_Min]]/60</f>
        <v>7.6166666666666663</v>
      </c>
    </row>
    <row r="59" spans="1:9">
      <c r="A59" s="1" t="s">
        <v>551</v>
      </c>
      <c r="B59" t="s">
        <v>31</v>
      </c>
      <c r="C59">
        <v>47</v>
      </c>
      <c r="D59" t="s">
        <v>32</v>
      </c>
      <c r="E59">
        <v>457</v>
      </c>
      <c r="F59">
        <v>84.93</v>
      </c>
      <c r="G59">
        <v>2</v>
      </c>
      <c r="H59">
        <f>CLIENTS_CHURN34[[#This Row],[Anciennete_Mois]]/12</f>
        <v>3.9166666666666665</v>
      </c>
      <c r="I59">
        <f>CLIENTS_CHURN34[[#This Row],[Duree_Cumulee_Panne_Min]]/60</f>
        <v>7.6166666666666663</v>
      </c>
    </row>
    <row r="60" spans="1:9">
      <c r="A60" s="1" t="s">
        <v>8</v>
      </c>
      <c r="B60" t="s">
        <v>20</v>
      </c>
      <c r="C60">
        <v>110</v>
      </c>
      <c r="D60" t="s">
        <v>21</v>
      </c>
      <c r="E60">
        <v>454</v>
      </c>
      <c r="F60">
        <v>31.05</v>
      </c>
      <c r="G60">
        <v>1</v>
      </c>
      <c r="H60">
        <f>CLIENTS_CHURN34[[#This Row],[Anciennete_Mois]]/12</f>
        <v>9.1666666666666661</v>
      </c>
      <c r="I60">
        <f>CLIENTS_CHURN34[[#This Row],[Duree_Cumulee_Panne_Min]]/60</f>
        <v>7.5666666666666664</v>
      </c>
    </row>
    <row r="61" spans="1:9">
      <c r="A61" s="1" t="s">
        <v>756</v>
      </c>
      <c r="B61" t="s">
        <v>107</v>
      </c>
      <c r="C61">
        <v>79</v>
      </c>
      <c r="D61" t="s">
        <v>32</v>
      </c>
      <c r="E61">
        <v>454</v>
      </c>
      <c r="F61">
        <v>80.34</v>
      </c>
      <c r="G61">
        <v>2</v>
      </c>
      <c r="H61">
        <f>CLIENTS_CHURN34[[#This Row],[Anciennete_Mois]]/12</f>
        <v>6.583333333333333</v>
      </c>
      <c r="I61">
        <f>CLIENTS_CHURN34[[#This Row],[Duree_Cumulee_Panne_Min]]/60</f>
        <v>7.5666666666666664</v>
      </c>
    </row>
    <row r="62" spans="1:9">
      <c r="A62" s="1" t="s">
        <v>756</v>
      </c>
      <c r="B62" t="s">
        <v>40</v>
      </c>
      <c r="C62">
        <v>105</v>
      </c>
      <c r="D62" t="s">
        <v>32</v>
      </c>
      <c r="E62">
        <v>454</v>
      </c>
      <c r="F62">
        <v>49.47</v>
      </c>
      <c r="G62">
        <v>4</v>
      </c>
      <c r="H62">
        <f>CLIENTS_CHURN34[[#This Row],[Anciennete_Mois]]/12</f>
        <v>8.75</v>
      </c>
      <c r="I62">
        <f>CLIENTS_CHURN34[[#This Row],[Duree_Cumulee_Panne_Min]]/60</f>
        <v>7.5666666666666664</v>
      </c>
    </row>
    <row r="63" spans="1:9">
      <c r="A63" s="1" t="s">
        <v>8</v>
      </c>
      <c r="B63" t="s">
        <v>43</v>
      </c>
      <c r="C63">
        <v>59</v>
      </c>
      <c r="D63" t="s">
        <v>21</v>
      </c>
      <c r="E63">
        <v>454</v>
      </c>
      <c r="F63">
        <v>10.47</v>
      </c>
      <c r="G63">
        <v>5</v>
      </c>
      <c r="H63">
        <f>CLIENTS_CHURN34[[#This Row],[Anciennete_Mois]]/12</f>
        <v>4.916666666666667</v>
      </c>
      <c r="I63">
        <f>CLIENTS_CHURN34[[#This Row],[Duree_Cumulee_Panne_Min]]/60</f>
        <v>7.5666666666666664</v>
      </c>
    </row>
    <row r="64" spans="1:9">
      <c r="A64" s="1" t="s">
        <v>8</v>
      </c>
      <c r="B64" t="s">
        <v>57</v>
      </c>
      <c r="C64">
        <v>34</v>
      </c>
      <c r="D64" t="s">
        <v>11</v>
      </c>
      <c r="E64">
        <v>453</v>
      </c>
      <c r="F64">
        <v>56.84</v>
      </c>
      <c r="G64">
        <v>0</v>
      </c>
      <c r="H64">
        <f>CLIENTS_CHURN34[[#This Row],[Anciennete_Mois]]/12</f>
        <v>2.8333333333333335</v>
      </c>
      <c r="I64">
        <f>CLIENTS_CHURN34[[#This Row],[Duree_Cumulee_Panne_Min]]/60</f>
        <v>7.55</v>
      </c>
    </row>
    <row r="65" spans="1:9">
      <c r="A65" s="1" t="s">
        <v>85</v>
      </c>
      <c r="B65" t="s">
        <v>45</v>
      </c>
      <c r="C65">
        <v>4</v>
      </c>
      <c r="D65" t="s">
        <v>14</v>
      </c>
      <c r="E65">
        <v>453</v>
      </c>
      <c r="F65">
        <v>75.260000000000005</v>
      </c>
      <c r="G65">
        <v>5</v>
      </c>
      <c r="H65">
        <f>CLIENTS_CHURN34[[#This Row],[Anciennete_Mois]]/12</f>
        <v>0.33333333333333331</v>
      </c>
      <c r="I65">
        <f>CLIENTS_CHURN34[[#This Row],[Duree_Cumulee_Panne_Min]]/60</f>
        <v>7.55</v>
      </c>
    </row>
    <row r="66" spans="1:9">
      <c r="A66" s="1" t="s">
        <v>447</v>
      </c>
      <c r="B66" t="s">
        <v>52</v>
      </c>
      <c r="C66">
        <v>86</v>
      </c>
      <c r="D66" t="s">
        <v>32</v>
      </c>
      <c r="E66">
        <v>452</v>
      </c>
      <c r="F66">
        <v>75.680000000000007</v>
      </c>
      <c r="G66">
        <v>0</v>
      </c>
      <c r="H66">
        <f>CLIENTS_CHURN34[[#This Row],[Anciennete_Mois]]/12</f>
        <v>7.166666666666667</v>
      </c>
      <c r="I66">
        <f>CLIENTS_CHURN34[[#This Row],[Duree_Cumulee_Panne_Min]]/60</f>
        <v>7.5333333333333332</v>
      </c>
    </row>
    <row r="67" spans="1:9">
      <c r="A67" s="1" t="s">
        <v>8</v>
      </c>
      <c r="B67" t="s">
        <v>26</v>
      </c>
      <c r="C67">
        <v>22</v>
      </c>
      <c r="D67" t="s">
        <v>21</v>
      </c>
      <c r="E67">
        <v>451</v>
      </c>
      <c r="F67">
        <v>76.38</v>
      </c>
      <c r="G67">
        <v>3</v>
      </c>
      <c r="H67">
        <f>CLIENTS_CHURN34[[#This Row],[Anciennete_Mois]]/12</f>
        <v>1.8333333333333333</v>
      </c>
      <c r="I67">
        <f>CLIENTS_CHURN34[[#This Row],[Duree_Cumulee_Panne_Min]]/60</f>
        <v>7.5166666666666666</v>
      </c>
    </row>
    <row r="68" spans="1:9">
      <c r="A68" s="1" t="s">
        <v>395</v>
      </c>
      <c r="B68" t="s">
        <v>57</v>
      </c>
      <c r="C68">
        <v>119</v>
      </c>
      <c r="D68" t="s">
        <v>11</v>
      </c>
      <c r="E68">
        <v>451</v>
      </c>
      <c r="F68">
        <v>10.46</v>
      </c>
      <c r="G68">
        <v>5</v>
      </c>
      <c r="H68">
        <f>CLIENTS_CHURN34[[#This Row],[Anciennete_Mois]]/12</f>
        <v>9.9166666666666661</v>
      </c>
      <c r="I68">
        <f>CLIENTS_CHURN34[[#This Row],[Duree_Cumulee_Panne_Min]]/60</f>
        <v>7.5166666666666666</v>
      </c>
    </row>
    <row r="69" spans="1:9">
      <c r="A69" s="1" t="s">
        <v>447</v>
      </c>
      <c r="B69" t="s">
        <v>40</v>
      </c>
      <c r="C69">
        <v>54</v>
      </c>
      <c r="D69" t="s">
        <v>14</v>
      </c>
      <c r="E69">
        <v>450</v>
      </c>
      <c r="F69">
        <v>90.85</v>
      </c>
      <c r="G69">
        <v>1</v>
      </c>
      <c r="H69">
        <f>CLIENTS_CHURN34[[#This Row],[Anciennete_Mois]]/12</f>
        <v>4.5</v>
      </c>
      <c r="I69">
        <f>CLIENTS_CHURN34[[#This Row],[Duree_Cumulee_Panne_Min]]/60</f>
        <v>7.5</v>
      </c>
    </row>
    <row r="70" spans="1:9">
      <c r="A70" s="1" t="s">
        <v>395</v>
      </c>
      <c r="B70" t="s">
        <v>26</v>
      </c>
      <c r="C70">
        <v>19</v>
      </c>
      <c r="D70" t="s">
        <v>21</v>
      </c>
      <c r="E70">
        <v>450</v>
      </c>
      <c r="F70">
        <v>37.43</v>
      </c>
      <c r="G70">
        <v>2</v>
      </c>
      <c r="H70">
        <f>CLIENTS_CHURN34[[#This Row],[Anciennete_Mois]]/12</f>
        <v>1.5833333333333333</v>
      </c>
      <c r="I70">
        <f>CLIENTS_CHURN34[[#This Row],[Duree_Cumulee_Panne_Min]]/60</f>
        <v>7.5</v>
      </c>
    </row>
    <row r="71" spans="1:9">
      <c r="A71" s="1" t="s">
        <v>705</v>
      </c>
      <c r="B71" t="s">
        <v>107</v>
      </c>
      <c r="C71">
        <v>63</v>
      </c>
      <c r="D71" t="s">
        <v>11</v>
      </c>
      <c r="E71">
        <v>449</v>
      </c>
      <c r="F71">
        <v>37.08</v>
      </c>
      <c r="G71">
        <v>0</v>
      </c>
      <c r="H71">
        <f>CLIENTS_CHURN34[[#This Row],[Anciennete_Mois]]/12</f>
        <v>5.25</v>
      </c>
      <c r="I71">
        <f>CLIENTS_CHURN34[[#This Row],[Duree_Cumulee_Panne_Min]]/60</f>
        <v>7.4833333333333334</v>
      </c>
    </row>
    <row r="72" spans="1:9">
      <c r="A72" s="1" t="s">
        <v>756</v>
      </c>
      <c r="B72" t="s">
        <v>38</v>
      </c>
      <c r="C72">
        <v>4</v>
      </c>
      <c r="D72" t="s">
        <v>11</v>
      </c>
      <c r="E72">
        <v>449</v>
      </c>
      <c r="F72">
        <v>43.95</v>
      </c>
      <c r="G72">
        <v>2</v>
      </c>
      <c r="H72">
        <f>CLIENTS_CHURN34[[#This Row],[Anciennete_Mois]]/12</f>
        <v>0.33333333333333331</v>
      </c>
      <c r="I72">
        <f>CLIENTS_CHURN34[[#This Row],[Duree_Cumulee_Panne_Min]]/60</f>
        <v>7.4833333333333334</v>
      </c>
    </row>
    <row r="73" spans="1:9">
      <c r="A73" s="1" t="s">
        <v>653</v>
      </c>
      <c r="B73" t="s">
        <v>57</v>
      </c>
      <c r="C73">
        <v>42</v>
      </c>
      <c r="D73" t="s">
        <v>14</v>
      </c>
      <c r="E73">
        <v>448</v>
      </c>
      <c r="F73">
        <v>49.02</v>
      </c>
      <c r="G73">
        <v>0</v>
      </c>
      <c r="H73">
        <f>CLIENTS_CHURN34[[#This Row],[Anciennete_Mois]]/12</f>
        <v>3.5</v>
      </c>
      <c r="I73">
        <f>CLIENTS_CHURN34[[#This Row],[Duree_Cumulee_Panne_Min]]/60</f>
        <v>7.4666666666666668</v>
      </c>
    </row>
    <row r="74" spans="1:9">
      <c r="A74" s="1" t="s">
        <v>447</v>
      </c>
      <c r="B74" t="s">
        <v>24</v>
      </c>
      <c r="C74">
        <v>111</v>
      </c>
      <c r="D74" t="s">
        <v>11</v>
      </c>
      <c r="E74">
        <v>447</v>
      </c>
      <c r="F74">
        <v>51.35</v>
      </c>
      <c r="G74">
        <v>0</v>
      </c>
      <c r="H74">
        <f>CLIENTS_CHURN34[[#This Row],[Anciennete_Mois]]/12</f>
        <v>9.25</v>
      </c>
      <c r="I74">
        <f>CLIENTS_CHURN34[[#This Row],[Duree_Cumulee_Panne_Min]]/60</f>
        <v>7.45</v>
      </c>
    </row>
    <row r="75" spans="1:9">
      <c r="A75" s="1" t="s">
        <v>705</v>
      </c>
      <c r="B75" t="s">
        <v>76</v>
      </c>
      <c r="C75">
        <v>7</v>
      </c>
      <c r="D75" t="s">
        <v>11</v>
      </c>
      <c r="E75">
        <v>447</v>
      </c>
      <c r="F75">
        <v>84.95</v>
      </c>
      <c r="G75">
        <v>2</v>
      </c>
      <c r="H75">
        <f>CLIENTS_CHURN34[[#This Row],[Anciennete_Mois]]/12</f>
        <v>0.58333333333333337</v>
      </c>
      <c r="I75">
        <f>CLIENTS_CHURN34[[#This Row],[Duree_Cumulee_Panne_Min]]/60</f>
        <v>7.45</v>
      </c>
    </row>
    <row r="76" spans="1:9">
      <c r="A76" s="1" t="s">
        <v>551</v>
      </c>
      <c r="B76" t="s">
        <v>10</v>
      </c>
      <c r="C76">
        <v>57</v>
      </c>
      <c r="D76" t="s">
        <v>14</v>
      </c>
      <c r="E76">
        <v>447</v>
      </c>
      <c r="F76">
        <v>23.27</v>
      </c>
      <c r="G76">
        <v>3</v>
      </c>
      <c r="H76">
        <f>CLIENTS_CHURN34[[#This Row],[Anciennete_Mois]]/12</f>
        <v>4.75</v>
      </c>
      <c r="I76">
        <f>CLIENTS_CHURN34[[#This Row],[Duree_Cumulee_Panne_Min]]/60</f>
        <v>7.45</v>
      </c>
    </row>
    <row r="77" spans="1:9">
      <c r="A77" s="1" t="s">
        <v>293</v>
      </c>
      <c r="B77" t="s">
        <v>26</v>
      </c>
      <c r="C77">
        <v>50</v>
      </c>
      <c r="D77" t="s">
        <v>21</v>
      </c>
      <c r="E77">
        <v>446</v>
      </c>
      <c r="F77">
        <v>31.56</v>
      </c>
      <c r="G77">
        <v>5</v>
      </c>
      <c r="H77">
        <f>CLIENTS_CHURN34[[#This Row],[Anciennete_Mois]]/12</f>
        <v>4.166666666666667</v>
      </c>
      <c r="I77">
        <f>CLIENTS_CHURN34[[#This Row],[Duree_Cumulee_Panne_Min]]/60</f>
        <v>7.4333333333333336</v>
      </c>
    </row>
    <row r="78" spans="1:9">
      <c r="A78" s="1" t="s">
        <v>499</v>
      </c>
      <c r="B78" t="s">
        <v>24</v>
      </c>
      <c r="C78">
        <v>35</v>
      </c>
      <c r="D78" t="s">
        <v>11</v>
      </c>
      <c r="E78">
        <v>445</v>
      </c>
      <c r="F78">
        <v>24.11</v>
      </c>
      <c r="G78">
        <v>2</v>
      </c>
      <c r="H78">
        <f>CLIENTS_CHURN34[[#This Row],[Anciennete_Mois]]/12</f>
        <v>2.9166666666666665</v>
      </c>
      <c r="I78">
        <f>CLIENTS_CHURN34[[#This Row],[Duree_Cumulee_Panne_Min]]/60</f>
        <v>7.416666666666667</v>
      </c>
    </row>
    <row r="79" spans="1:9">
      <c r="A79" s="1" t="s">
        <v>551</v>
      </c>
      <c r="B79" t="s">
        <v>111</v>
      </c>
      <c r="C79">
        <v>21</v>
      </c>
      <c r="D79" t="s">
        <v>21</v>
      </c>
      <c r="E79">
        <v>444</v>
      </c>
      <c r="F79">
        <v>41.92</v>
      </c>
      <c r="G79">
        <v>3</v>
      </c>
      <c r="H79">
        <f>CLIENTS_CHURN34[[#This Row],[Anciennete_Mois]]/12</f>
        <v>1.75</v>
      </c>
      <c r="I79">
        <f>CLIENTS_CHURN34[[#This Row],[Duree_Cumulee_Panne_Min]]/60</f>
        <v>7.4</v>
      </c>
    </row>
    <row r="80" spans="1:9">
      <c r="A80" s="1" t="s">
        <v>293</v>
      </c>
      <c r="B80" t="s">
        <v>36</v>
      </c>
      <c r="C80">
        <v>33</v>
      </c>
      <c r="D80" t="s">
        <v>32</v>
      </c>
      <c r="E80">
        <v>444</v>
      </c>
      <c r="F80">
        <v>10.28</v>
      </c>
      <c r="G80">
        <v>5</v>
      </c>
      <c r="H80">
        <f>CLIENTS_CHURN34[[#This Row],[Anciennete_Mois]]/12</f>
        <v>2.75</v>
      </c>
      <c r="I80">
        <f>CLIENTS_CHURN34[[#This Row],[Duree_Cumulee_Panne_Min]]/60</f>
        <v>7.4</v>
      </c>
    </row>
    <row r="81" spans="1:9">
      <c r="A81" s="1" t="s">
        <v>602</v>
      </c>
      <c r="B81" t="s">
        <v>65</v>
      </c>
      <c r="C81">
        <v>81</v>
      </c>
      <c r="D81" t="s">
        <v>11</v>
      </c>
      <c r="E81">
        <v>443</v>
      </c>
      <c r="F81">
        <v>32.78</v>
      </c>
      <c r="G81">
        <v>1</v>
      </c>
      <c r="H81">
        <f>CLIENTS_CHURN34[[#This Row],[Anciennete_Mois]]/12</f>
        <v>6.75</v>
      </c>
      <c r="I81">
        <f>CLIENTS_CHURN34[[#This Row],[Duree_Cumulee_Panne_Min]]/60</f>
        <v>7.3833333333333337</v>
      </c>
    </row>
    <row r="82" spans="1:9">
      <c r="A82" s="1" t="s">
        <v>191</v>
      </c>
      <c r="B82" t="s">
        <v>20</v>
      </c>
      <c r="C82">
        <v>68</v>
      </c>
      <c r="D82" t="s">
        <v>32</v>
      </c>
      <c r="E82">
        <v>443</v>
      </c>
      <c r="F82">
        <v>12.09</v>
      </c>
      <c r="G82">
        <v>3</v>
      </c>
      <c r="H82">
        <f>CLIENTS_CHURN34[[#This Row],[Anciennete_Mois]]/12</f>
        <v>5.666666666666667</v>
      </c>
      <c r="I82">
        <f>CLIENTS_CHURN34[[#This Row],[Duree_Cumulee_Panne_Min]]/60</f>
        <v>7.3833333333333337</v>
      </c>
    </row>
    <row r="83" spans="1:9">
      <c r="A83" s="1" t="s">
        <v>140</v>
      </c>
      <c r="B83" t="s">
        <v>40</v>
      </c>
      <c r="C83">
        <v>87</v>
      </c>
      <c r="D83" t="s">
        <v>11</v>
      </c>
      <c r="E83">
        <v>442</v>
      </c>
      <c r="F83">
        <v>22.39</v>
      </c>
      <c r="G83">
        <v>3</v>
      </c>
      <c r="H83">
        <f>CLIENTS_CHURN34[[#This Row],[Anciennete_Mois]]/12</f>
        <v>7.25</v>
      </c>
      <c r="I83">
        <f>CLIENTS_CHURN34[[#This Row],[Duree_Cumulee_Panne_Min]]/60</f>
        <v>7.3666666666666663</v>
      </c>
    </row>
    <row r="84" spans="1:9">
      <c r="A84" s="1" t="s">
        <v>344</v>
      </c>
      <c r="B84" t="s">
        <v>29</v>
      </c>
      <c r="C84">
        <v>65</v>
      </c>
      <c r="D84" t="s">
        <v>14</v>
      </c>
      <c r="E84">
        <v>442</v>
      </c>
      <c r="F84">
        <v>60.62</v>
      </c>
      <c r="G84">
        <v>5</v>
      </c>
      <c r="H84">
        <f>CLIENTS_CHURN34[[#This Row],[Anciennete_Mois]]/12</f>
        <v>5.416666666666667</v>
      </c>
      <c r="I84">
        <f>CLIENTS_CHURN34[[#This Row],[Duree_Cumulee_Panne_Min]]/60</f>
        <v>7.3666666666666663</v>
      </c>
    </row>
    <row r="85" spans="1:9">
      <c r="A85" s="1" t="s">
        <v>395</v>
      </c>
      <c r="B85" t="s">
        <v>26</v>
      </c>
      <c r="C85">
        <v>45</v>
      </c>
      <c r="D85" t="s">
        <v>14</v>
      </c>
      <c r="E85">
        <v>439</v>
      </c>
      <c r="F85">
        <v>13.62</v>
      </c>
      <c r="G85">
        <v>4</v>
      </c>
      <c r="H85">
        <f>CLIENTS_CHURN34[[#This Row],[Anciennete_Mois]]/12</f>
        <v>3.75</v>
      </c>
      <c r="I85">
        <f>CLIENTS_CHURN34[[#This Row],[Duree_Cumulee_Panne_Min]]/60</f>
        <v>7.3166666666666664</v>
      </c>
    </row>
    <row r="86" spans="1:9">
      <c r="A86" s="1" t="s">
        <v>602</v>
      </c>
      <c r="B86" t="s">
        <v>18</v>
      </c>
      <c r="C86">
        <v>120</v>
      </c>
      <c r="D86" t="s">
        <v>21</v>
      </c>
      <c r="E86">
        <v>437</v>
      </c>
      <c r="F86">
        <v>95.17</v>
      </c>
      <c r="G86">
        <v>1</v>
      </c>
      <c r="H86">
        <f>CLIENTS_CHURN34[[#This Row],[Anciennete_Mois]]/12</f>
        <v>10</v>
      </c>
      <c r="I86">
        <f>CLIENTS_CHURN34[[#This Row],[Duree_Cumulee_Panne_Min]]/60</f>
        <v>7.2833333333333332</v>
      </c>
    </row>
    <row r="87" spans="1:9">
      <c r="A87" s="1" t="s">
        <v>447</v>
      </c>
      <c r="B87" t="s">
        <v>57</v>
      </c>
      <c r="C87">
        <v>42</v>
      </c>
      <c r="D87" t="s">
        <v>14</v>
      </c>
      <c r="E87">
        <v>436</v>
      </c>
      <c r="F87">
        <v>88.12</v>
      </c>
      <c r="G87">
        <v>0</v>
      </c>
      <c r="H87">
        <f>CLIENTS_CHURN34[[#This Row],[Anciennete_Mois]]/12</f>
        <v>3.5</v>
      </c>
      <c r="I87">
        <f>CLIENTS_CHURN34[[#This Row],[Duree_Cumulee_Panne_Min]]/60</f>
        <v>7.2666666666666666</v>
      </c>
    </row>
    <row r="88" spans="1:9">
      <c r="A88" s="1" t="s">
        <v>191</v>
      </c>
      <c r="B88" t="s">
        <v>10</v>
      </c>
      <c r="C88">
        <v>48</v>
      </c>
      <c r="D88" t="s">
        <v>14</v>
      </c>
      <c r="E88">
        <v>436</v>
      </c>
      <c r="F88">
        <v>15.17</v>
      </c>
      <c r="G88">
        <v>0</v>
      </c>
      <c r="H88">
        <f>CLIENTS_CHURN34[[#This Row],[Anciennete_Mois]]/12</f>
        <v>4</v>
      </c>
      <c r="I88">
        <f>CLIENTS_CHURN34[[#This Row],[Duree_Cumulee_Panne_Min]]/60</f>
        <v>7.2666666666666666</v>
      </c>
    </row>
    <row r="89" spans="1:9">
      <c r="A89" s="1" t="s">
        <v>395</v>
      </c>
      <c r="B89" t="s">
        <v>63</v>
      </c>
      <c r="C89">
        <v>50</v>
      </c>
      <c r="D89" t="s">
        <v>14</v>
      </c>
      <c r="E89">
        <v>435</v>
      </c>
      <c r="F89">
        <v>27.86</v>
      </c>
      <c r="G89">
        <v>3</v>
      </c>
      <c r="H89">
        <f>CLIENTS_CHURN34[[#This Row],[Anciennete_Mois]]/12</f>
        <v>4.166666666666667</v>
      </c>
      <c r="I89">
        <f>CLIENTS_CHURN34[[#This Row],[Duree_Cumulee_Panne_Min]]/60</f>
        <v>7.25</v>
      </c>
    </row>
    <row r="90" spans="1:9">
      <c r="A90" s="1" t="s">
        <v>242</v>
      </c>
      <c r="B90" t="s">
        <v>18</v>
      </c>
      <c r="C90">
        <v>57</v>
      </c>
      <c r="D90" t="s">
        <v>21</v>
      </c>
      <c r="E90">
        <v>435</v>
      </c>
      <c r="F90">
        <v>56.88</v>
      </c>
      <c r="G90">
        <v>4</v>
      </c>
      <c r="H90">
        <f>CLIENTS_CHURN34[[#This Row],[Anciennete_Mois]]/12</f>
        <v>4.75</v>
      </c>
      <c r="I90">
        <f>CLIENTS_CHURN34[[#This Row],[Duree_Cumulee_Panne_Min]]/60</f>
        <v>7.25</v>
      </c>
    </row>
    <row r="91" spans="1:9">
      <c r="A91" s="1" t="s">
        <v>191</v>
      </c>
      <c r="B91" t="s">
        <v>61</v>
      </c>
      <c r="C91">
        <v>51</v>
      </c>
      <c r="D91" t="s">
        <v>21</v>
      </c>
      <c r="E91">
        <v>433</v>
      </c>
      <c r="F91">
        <v>12.89</v>
      </c>
      <c r="G91">
        <v>1</v>
      </c>
      <c r="H91">
        <f>CLIENTS_CHURN34[[#This Row],[Anciennete_Mois]]/12</f>
        <v>4.25</v>
      </c>
      <c r="I91">
        <f>CLIENTS_CHURN34[[#This Row],[Duree_Cumulee_Panne_Min]]/60</f>
        <v>7.2166666666666668</v>
      </c>
    </row>
    <row r="92" spans="1:9">
      <c r="A92" s="1" t="s">
        <v>705</v>
      </c>
      <c r="B92" t="s">
        <v>57</v>
      </c>
      <c r="C92">
        <v>38</v>
      </c>
      <c r="D92" t="s">
        <v>32</v>
      </c>
      <c r="E92">
        <v>432</v>
      </c>
      <c r="F92">
        <v>53.65</v>
      </c>
      <c r="G92">
        <v>4</v>
      </c>
      <c r="H92">
        <f>CLIENTS_CHURN34[[#This Row],[Anciennete_Mois]]/12</f>
        <v>3.1666666666666665</v>
      </c>
      <c r="I92">
        <f>CLIENTS_CHURN34[[#This Row],[Duree_Cumulee_Panne_Min]]/60</f>
        <v>7.2</v>
      </c>
    </row>
    <row r="93" spans="1:9">
      <c r="A93" s="1" t="s">
        <v>140</v>
      </c>
      <c r="B93" t="s">
        <v>92</v>
      </c>
      <c r="C93">
        <v>118</v>
      </c>
      <c r="D93" t="s">
        <v>21</v>
      </c>
      <c r="E93">
        <v>430</v>
      </c>
      <c r="F93">
        <v>36.97</v>
      </c>
      <c r="G93">
        <v>2</v>
      </c>
      <c r="H93">
        <f>CLIENTS_CHURN34[[#This Row],[Anciennete_Mois]]/12</f>
        <v>9.8333333333333339</v>
      </c>
      <c r="I93">
        <f>CLIENTS_CHURN34[[#This Row],[Duree_Cumulee_Panne_Min]]/60</f>
        <v>7.166666666666667</v>
      </c>
    </row>
    <row r="94" spans="1:9">
      <c r="A94" s="1" t="s">
        <v>395</v>
      </c>
      <c r="B94" t="s">
        <v>57</v>
      </c>
      <c r="C94">
        <v>106</v>
      </c>
      <c r="D94" t="s">
        <v>11</v>
      </c>
      <c r="E94">
        <v>429</v>
      </c>
      <c r="F94">
        <v>23.83</v>
      </c>
      <c r="G94">
        <v>1</v>
      </c>
      <c r="H94">
        <f>CLIENTS_CHURN34[[#This Row],[Anciennete_Mois]]/12</f>
        <v>8.8333333333333339</v>
      </c>
      <c r="I94">
        <f>CLIENTS_CHURN34[[#This Row],[Duree_Cumulee_Panne_Min]]/60</f>
        <v>7.15</v>
      </c>
    </row>
    <row r="95" spans="1:9">
      <c r="A95" s="1" t="s">
        <v>705</v>
      </c>
      <c r="B95" t="s">
        <v>52</v>
      </c>
      <c r="C95">
        <v>1</v>
      </c>
      <c r="D95" t="s">
        <v>32</v>
      </c>
      <c r="E95">
        <v>429</v>
      </c>
      <c r="F95">
        <v>20.96</v>
      </c>
      <c r="G95">
        <v>5</v>
      </c>
      <c r="H95">
        <f>CLIENTS_CHURN34[[#This Row],[Anciennete_Mois]]/12</f>
        <v>8.3333333333333329E-2</v>
      </c>
      <c r="I95">
        <f>CLIENTS_CHURN34[[#This Row],[Duree_Cumulee_Panne_Min]]/60</f>
        <v>7.15</v>
      </c>
    </row>
    <row r="96" spans="1:9">
      <c r="A96" s="1" t="s">
        <v>499</v>
      </c>
      <c r="B96" t="s">
        <v>71</v>
      </c>
      <c r="C96">
        <v>113</v>
      </c>
      <c r="D96" t="s">
        <v>21</v>
      </c>
      <c r="E96">
        <v>428</v>
      </c>
      <c r="F96">
        <v>73.84</v>
      </c>
      <c r="G96">
        <v>0</v>
      </c>
      <c r="H96">
        <f>CLIENTS_CHURN34[[#This Row],[Anciennete_Mois]]/12</f>
        <v>9.4166666666666661</v>
      </c>
      <c r="I96">
        <f>CLIENTS_CHURN34[[#This Row],[Duree_Cumulee_Panne_Min]]/60</f>
        <v>7.1333333333333337</v>
      </c>
    </row>
    <row r="97" spans="1:9">
      <c r="A97" s="1" t="s">
        <v>756</v>
      </c>
      <c r="B97" t="s">
        <v>36</v>
      </c>
      <c r="C97">
        <v>72</v>
      </c>
      <c r="D97" t="s">
        <v>14</v>
      </c>
      <c r="E97">
        <v>427</v>
      </c>
      <c r="F97">
        <v>31.44</v>
      </c>
      <c r="G97">
        <v>2</v>
      </c>
      <c r="H97">
        <f>CLIENTS_CHURN34[[#This Row],[Anciennete_Mois]]/12</f>
        <v>6</v>
      </c>
      <c r="I97">
        <f>CLIENTS_CHURN34[[#This Row],[Duree_Cumulee_Panne_Min]]/60</f>
        <v>7.1166666666666663</v>
      </c>
    </row>
    <row r="98" spans="1:9">
      <c r="A98" s="1" t="s">
        <v>499</v>
      </c>
      <c r="B98" t="s">
        <v>107</v>
      </c>
      <c r="C98">
        <v>10</v>
      </c>
      <c r="D98" t="s">
        <v>32</v>
      </c>
      <c r="E98">
        <v>425</v>
      </c>
      <c r="F98">
        <v>85.75</v>
      </c>
      <c r="G98">
        <v>0</v>
      </c>
      <c r="H98">
        <f>CLIENTS_CHURN34[[#This Row],[Anciennete_Mois]]/12</f>
        <v>0.83333333333333337</v>
      </c>
      <c r="I98">
        <f>CLIENTS_CHURN34[[#This Row],[Duree_Cumulee_Panne_Min]]/60</f>
        <v>7.083333333333333</v>
      </c>
    </row>
    <row r="99" spans="1:9">
      <c r="A99" s="1" t="s">
        <v>551</v>
      </c>
      <c r="B99" t="s">
        <v>26</v>
      </c>
      <c r="C99">
        <v>52</v>
      </c>
      <c r="D99" t="s">
        <v>32</v>
      </c>
      <c r="E99">
        <v>425</v>
      </c>
      <c r="F99">
        <v>97.25</v>
      </c>
      <c r="G99">
        <v>0</v>
      </c>
      <c r="H99">
        <f>CLIENTS_CHURN34[[#This Row],[Anciennete_Mois]]/12</f>
        <v>4.333333333333333</v>
      </c>
      <c r="I99">
        <f>CLIENTS_CHURN34[[#This Row],[Duree_Cumulee_Panne_Min]]/60</f>
        <v>7.083333333333333</v>
      </c>
    </row>
    <row r="100" spans="1:9">
      <c r="A100" s="1" t="s">
        <v>395</v>
      </c>
      <c r="B100" t="s">
        <v>18</v>
      </c>
      <c r="C100">
        <v>41</v>
      </c>
      <c r="D100" t="s">
        <v>14</v>
      </c>
      <c r="E100">
        <v>425</v>
      </c>
      <c r="F100">
        <v>42.33</v>
      </c>
      <c r="G100">
        <v>3</v>
      </c>
      <c r="H100">
        <f>CLIENTS_CHURN34[[#This Row],[Anciennete_Mois]]/12</f>
        <v>3.4166666666666665</v>
      </c>
      <c r="I100">
        <f>CLIENTS_CHURN34[[#This Row],[Duree_Cumulee_Panne_Min]]/60</f>
        <v>7.083333333333333</v>
      </c>
    </row>
    <row r="101" spans="1:9">
      <c r="A101" s="1" t="s">
        <v>85</v>
      </c>
      <c r="B101" t="s">
        <v>29</v>
      </c>
      <c r="C101">
        <v>58</v>
      </c>
      <c r="D101" t="s">
        <v>14</v>
      </c>
      <c r="E101">
        <v>423</v>
      </c>
      <c r="F101">
        <v>80.459999999999994</v>
      </c>
      <c r="G101">
        <v>0</v>
      </c>
      <c r="H101">
        <f>CLIENTS_CHURN34[[#This Row],[Anciennete_Mois]]/12</f>
        <v>4.833333333333333</v>
      </c>
      <c r="I101">
        <f>CLIENTS_CHURN34[[#This Row],[Duree_Cumulee_Panne_Min]]/60</f>
        <v>7.05</v>
      </c>
    </row>
    <row r="102" spans="1:9">
      <c r="A102" s="1" t="s">
        <v>8</v>
      </c>
      <c r="B102" t="s">
        <v>26</v>
      </c>
      <c r="C102">
        <v>110</v>
      </c>
      <c r="D102" t="s">
        <v>11</v>
      </c>
      <c r="E102">
        <v>423</v>
      </c>
      <c r="F102">
        <v>37.35</v>
      </c>
      <c r="G102">
        <v>4</v>
      </c>
      <c r="H102">
        <f>CLIENTS_CHURN34[[#This Row],[Anciennete_Mois]]/12</f>
        <v>9.1666666666666661</v>
      </c>
      <c r="I102">
        <f>CLIENTS_CHURN34[[#This Row],[Duree_Cumulee_Panne_Min]]/60</f>
        <v>7.05</v>
      </c>
    </row>
    <row r="103" spans="1:9">
      <c r="A103" s="1" t="s">
        <v>447</v>
      </c>
      <c r="B103" t="s">
        <v>45</v>
      </c>
      <c r="C103">
        <v>104</v>
      </c>
      <c r="D103" t="s">
        <v>11</v>
      </c>
      <c r="E103">
        <v>421</v>
      </c>
      <c r="F103">
        <v>26.24</v>
      </c>
      <c r="G103">
        <v>3</v>
      </c>
      <c r="H103">
        <f>CLIENTS_CHURN34[[#This Row],[Anciennete_Mois]]/12</f>
        <v>8.6666666666666661</v>
      </c>
      <c r="I103">
        <f>CLIENTS_CHURN34[[#This Row],[Duree_Cumulee_Panne_Min]]/60</f>
        <v>7.0166666666666666</v>
      </c>
    </row>
    <row r="104" spans="1:9">
      <c r="A104" s="1" t="s">
        <v>395</v>
      </c>
      <c r="B104" t="s">
        <v>95</v>
      </c>
      <c r="C104">
        <v>35</v>
      </c>
      <c r="D104" t="s">
        <v>21</v>
      </c>
      <c r="E104">
        <v>421</v>
      </c>
      <c r="F104">
        <v>29.57</v>
      </c>
      <c r="G104">
        <v>5</v>
      </c>
      <c r="H104">
        <f>CLIENTS_CHURN34[[#This Row],[Anciennete_Mois]]/12</f>
        <v>2.9166666666666665</v>
      </c>
      <c r="I104">
        <f>CLIENTS_CHURN34[[#This Row],[Duree_Cumulee_Panne_Min]]/60</f>
        <v>7.0166666666666666</v>
      </c>
    </row>
    <row r="105" spans="1:9">
      <c r="A105" s="1" t="s">
        <v>705</v>
      </c>
      <c r="B105" t="s">
        <v>52</v>
      </c>
      <c r="C105">
        <v>37</v>
      </c>
      <c r="D105" t="s">
        <v>32</v>
      </c>
      <c r="E105">
        <v>420</v>
      </c>
      <c r="F105">
        <v>67.260000000000005</v>
      </c>
      <c r="G105">
        <v>4</v>
      </c>
      <c r="H105">
        <f>CLIENTS_CHURN34[[#This Row],[Anciennete_Mois]]/12</f>
        <v>3.0833333333333335</v>
      </c>
      <c r="I105">
        <f>CLIENTS_CHURN34[[#This Row],[Duree_Cumulee_Panne_Min]]/60</f>
        <v>7</v>
      </c>
    </row>
    <row r="106" spans="1:9">
      <c r="A106" s="1" t="s">
        <v>756</v>
      </c>
      <c r="B106" t="s">
        <v>38</v>
      </c>
      <c r="C106">
        <v>10</v>
      </c>
      <c r="D106" t="s">
        <v>21</v>
      </c>
      <c r="E106">
        <v>418</v>
      </c>
      <c r="F106">
        <v>27.66</v>
      </c>
      <c r="G106">
        <v>2</v>
      </c>
      <c r="H106">
        <f>CLIENTS_CHURN34[[#This Row],[Anciennete_Mois]]/12</f>
        <v>0.83333333333333337</v>
      </c>
      <c r="I106">
        <f>CLIENTS_CHURN34[[#This Row],[Duree_Cumulee_Panne_Min]]/60</f>
        <v>6.9666666666666668</v>
      </c>
    </row>
    <row r="107" spans="1:9">
      <c r="A107" s="1" t="s">
        <v>344</v>
      </c>
      <c r="B107" t="s">
        <v>45</v>
      </c>
      <c r="C107">
        <v>89</v>
      </c>
      <c r="D107" t="s">
        <v>21</v>
      </c>
      <c r="E107">
        <v>418</v>
      </c>
      <c r="F107">
        <v>86.63</v>
      </c>
      <c r="G107">
        <v>4</v>
      </c>
      <c r="H107">
        <f>CLIENTS_CHURN34[[#This Row],[Anciennete_Mois]]/12</f>
        <v>7.416666666666667</v>
      </c>
      <c r="I107">
        <f>CLIENTS_CHURN34[[#This Row],[Duree_Cumulee_Panne_Min]]/60</f>
        <v>6.9666666666666668</v>
      </c>
    </row>
    <row r="108" spans="1:9">
      <c r="A108" s="1" t="s">
        <v>242</v>
      </c>
      <c r="B108" t="s">
        <v>107</v>
      </c>
      <c r="C108">
        <v>5</v>
      </c>
      <c r="D108" t="s">
        <v>32</v>
      </c>
      <c r="E108">
        <v>417</v>
      </c>
      <c r="F108">
        <v>90.71</v>
      </c>
      <c r="G108">
        <v>1</v>
      </c>
      <c r="H108">
        <f>CLIENTS_CHURN34[[#This Row],[Anciennete_Mois]]/12</f>
        <v>0.41666666666666669</v>
      </c>
      <c r="I108">
        <f>CLIENTS_CHURN34[[#This Row],[Duree_Cumulee_Panne_Min]]/60</f>
        <v>6.95</v>
      </c>
    </row>
    <row r="109" spans="1:9">
      <c r="A109" s="1" t="s">
        <v>191</v>
      </c>
      <c r="B109" t="s">
        <v>24</v>
      </c>
      <c r="C109">
        <v>29</v>
      </c>
      <c r="D109" t="s">
        <v>21</v>
      </c>
      <c r="E109">
        <v>416</v>
      </c>
      <c r="F109">
        <v>61.26</v>
      </c>
      <c r="G109">
        <v>0</v>
      </c>
      <c r="H109">
        <f>CLIENTS_CHURN34[[#This Row],[Anciennete_Mois]]/12</f>
        <v>2.4166666666666665</v>
      </c>
      <c r="I109">
        <f>CLIENTS_CHURN34[[#This Row],[Duree_Cumulee_Panne_Min]]/60</f>
        <v>6.9333333333333336</v>
      </c>
    </row>
    <row r="110" spans="1:9">
      <c r="A110" s="1" t="s">
        <v>499</v>
      </c>
      <c r="B110" t="s">
        <v>16</v>
      </c>
      <c r="C110">
        <v>101</v>
      </c>
      <c r="D110" t="s">
        <v>14</v>
      </c>
      <c r="E110">
        <v>416</v>
      </c>
      <c r="F110">
        <v>83.49</v>
      </c>
      <c r="G110">
        <v>2</v>
      </c>
      <c r="H110">
        <f>CLIENTS_CHURN34[[#This Row],[Anciennete_Mois]]/12</f>
        <v>8.4166666666666661</v>
      </c>
      <c r="I110">
        <f>CLIENTS_CHURN34[[#This Row],[Duree_Cumulee_Panne_Min]]/60</f>
        <v>6.9333333333333336</v>
      </c>
    </row>
    <row r="111" spans="1:9">
      <c r="A111" s="1" t="s">
        <v>293</v>
      </c>
      <c r="B111" t="s">
        <v>61</v>
      </c>
      <c r="C111">
        <v>48</v>
      </c>
      <c r="D111" t="s">
        <v>32</v>
      </c>
      <c r="E111">
        <v>416</v>
      </c>
      <c r="F111">
        <v>81.260000000000005</v>
      </c>
      <c r="G111">
        <v>5</v>
      </c>
      <c r="H111">
        <f>CLIENTS_CHURN34[[#This Row],[Anciennete_Mois]]/12</f>
        <v>4</v>
      </c>
      <c r="I111">
        <f>CLIENTS_CHURN34[[#This Row],[Duree_Cumulee_Panne_Min]]/60</f>
        <v>6.9333333333333336</v>
      </c>
    </row>
    <row r="112" spans="1:9">
      <c r="A112" s="1" t="s">
        <v>8</v>
      </c>
      <c r="B112" t="s">
        <v>16</v>
      </c>
      <c r="C112">
        <v>14</v>
      </c>
      <c r="D112" t="s">
        <v>14</v>
      </c>
      <c r="E112">
        <v>415</v>
      </c>
      <c r="F112">
        <v>36.93</v>
      </c>
      <c r="G112">
        <v>5</v>
      </c>
      <c r="H112">
        <f>CLIENTS_CHURN34[[#This Row],[Anciennete_Mois]]/12</f>
        <v>1.1666666666666667</v>
      </c>
      <c r="I112">
        <f>CLIENTS_CHURN34[[#This Row],[Duree_Cumulee_Panne_Min]]/60</f>
        <v>6.916666666666667</v>
      </c>
    </row>
    <row r="113" spans="1:9">
      <c r="A113" s="1" t="s">
        <v>705</v>
      </c>
      <c r="B113" t="s">
        <v>16</v>
      </c>
      <c r="C113">
        <v>76</v>
      </c>
      <c r="D113" t="s">
        <v>32</v>
      </c>
      <c r="E113">
        <v>413</v>
      </c>
      <c r="F113">
        <v>28.39</v>
      </c>
      <c r="G113">
        <v>3</v>
      </c>
      <c r="H113">
        <f>CLIENTS_CHURN34[[#This Row],[Anciennete_Mois]]/12</f>
        <v>6.333333333333333</v>
      </c>
      <c r="I113">
        <f>CLIENTS_CHURN34[[#This Row],[Duree_Cumulee_Panne_Min]]/60</f>
        <v>6.8833333333333337</v>
      </c>
    </row>
    <row r="114" spans="1:9">
      <c r="A114" s="1" t="s">
        <v>756</v>
      </c>
      <c r="B114" t="s">
        <v>92</v>
      </c>
      <c r="C114">
        <v>90</v>
      </c>
      <c r="D114" t="s">
        <v>21</v>
      </c>
      <c r="E114">
        <v>412</v>
      </c>
      <c r="F114">
        <v>20.62</v>
      </c>
      <c r="G114">
        <v>2</v>
      </c>
      <c r="H114">
        <f>CLIENTS_CHURN34[[#This Row],[Anciennete_Mois]]/12</f>
        <v>7.5</v>
      </c>
      <c r="I114">
        <f>CLIENTS_CHURN34[[#This Row],[Duree_Cumulee_Panne_Min]]/60</f>
        <v>6.8666666666666663</v>
      </c>
    </row>
    <row r="115" spans="1:9">
      <c r="A115" s="1" t="s">
        <v>140</v>
      </c>
      <c r="B115" t="s">
        <v>38</v>
      </c>
      <c r="C115">
        <v>55</v>
      </c>
      <c r="D115" t="s">
        <v>14</v>
      </c>
      <c r="E115">
        <v>407</v>
      </c>
      <c r="F115">
        <v>23.11</v>
      </c>
      <c r="G115">
        <v>0</v>
      </c>
      <c r="H115">
        <f>CLIENTS_CHURN34[[#This Row],[Anciennete_Mois]]/12</f>
        <v>4.583333333333333</v>
      </c>
      <c r="I115">
        <f>CLIENTS_CHURN34[[#This Row],[Duree_Cumulee_Panne_Min]]/60</f>
        <v>6.7833333333333332</v>
      </c>
    </row>
    <row r="116" spans="1:9">
      <c r="A116" s="1" t="s">
        <v>344</v>
      </c>
      <c r="B116" t="s">
        <v>71</v>
      </c>
      <c r="C116">
        <v>106</v>
      </c>
      <c r="D116" t="s">
        <v>21</v>
      </c>
      <c r="E116">
        <v>407</v>
      </c>
      <c r="F116">
        <v>59.92</v>
      </c>
      <c r="G116">
        <v>4</v>
      </c>
      <c r="H116">
        <f>CLIENTS_CHURN34[[#This Row],[Anciennete_Mois]]/12</f>
        <v>8.8333333333333339</v>
      </c>
      <c r="I116">
        <f>CLIENTS_CHURN34[[#This Row],[Duree_Cumulee_Panne_Min]]/60</f>
        <v>6.7833333333333332</v>
      </c>
    </row>
    <row r="117" spans="1:9">
      <c r="A117" s="1" t="s">
        <v>191</v>
      </c>
      <c r="B117" t="s">
        <v>40</v>
      </c>
      <c r="C117">
        <v>58</v>
      </c>
      <c r="D117" t="s">
        <v>14</v>
      </c>
      <c r="E117">
        <v>405</v>
      </c>
      <c r="F117">
        <v>18.39</v>
      </c>
      <c r="G117">
        <v>0</v>
      </c>
      <c r="H117">
        <f>CLIENTS_CHURN34[[#This Row],[Anciennete_Mois]]/12</f>
        <v>4.833333333333333</v>
      </c>
      <c r="I117">
        <f>CLIENTS_CHURN34[[#This Row],[Duree_Cumulee_Panne_Min]]/60</f>
        <v>6.75</v>
      </c>
    </row>
    <row r="118" spans="1:9">
      <c r="A118" s="1" t="s">
        <v>242</v>
      </c>
      <c r="B118" t="s">
        <v>111</v>
      </c>
      <c r="C118">
        <v>32</v>
      </c>
      <c r="D118" t="s">
        <v>21</v>
      </c>
      <c r="E118">
        <v>405</v>
      </c>
      <c r="F118">
        <v>67.92</v>
      </c>
      <c r="G118">
        <v>3</v>
      </c>
      <c r="H118">
        <f>CLIENTS_CHURN34[[#This Row],[Anciennete_Mois]]/12</f>
        <v>2.6666666666666665</v>
      </c>
      <c r="I118">
        <f>CLIENTS_CHURN34[[#This Row],[Duree_Cumulee_Panne_Min]]/60</f>
        <v>6.75</v>
      </c>
    </row>
    <row r="119" spans="1:9">
      <c r="A119" s="1" t="s">
        <v>447</v>
      </c>
      <c r="B119" t="s">
        <v>18</v>
      </c>
      <c r="C119">
        <v>41</v>
      </c>
      <c r="D119" t="s">
        <v>21</v>
      </c>
      <c r="E119">
        <v>404</v>
      </c>
      <c r="F119">
        <v>98.67</v>
      </c>
      <c r="G119">
        <v>5</v>
      </c>
      <c r="H119">
        <f>CLIENTS_CHURN34[[#This Row],[Anciennete_Mois]]/12</f>
        <v>3.4166666666666665</v>
      </c>
      <c r="I119">
        <f>CLIENTS_CHURN34[[#This Row],[Duree_Cumulee_Panne_Min]]/60</f>
        <v>6.7333333333333334</v>
      </c>
    </row>
    <row r="120" spans="1:9">
      <c r="A120" s="1" t="s">
        <v>293</v>
      </c>
      <c r="B120" t="s">
        <v>107</v>
      </c>
      <c r="C120">
        <v>91</v>
      </c>
      <c r="D120" t="s">
        <v>21</v>
      </c>
      <c r="E120">
        <v>404</v>
      </c>
      <c r="F120">
        <v>76.53</v>
      </c>
      <c r="G120">
        <v>5</v>
      </c>
      <c r="H120">
        <f>CLIENTS_CHURN34[[#This Row],[Anciennete_Mois]]/12</f>
        <v>7.583333333333333</v>
      </c>
      <c r="I120">
        <f>CLIENTS_CHURN34[[#This Row],[Duree_Cumulee_Panne_Min]]/60</f>
        <v>6.7333333333333334</v>
      </c>
    </row>
    <row r="121" spans="1:9">
      <c r="A121" s="1" t="s">
        <v>140</v>
      </c>
      <c r="B121" t="s">
        <v>24</v>
      </c>
      <c r="C121">
        <v>79</v>
      </c>
      <c r="D121" t="s">
        <v>21</v>
      </c>
      <c r="E121">
        <v>403</v>
      </c>
      <c r="F121">
        <v>21.49</v>
      </c>
      <c r="G121">
        <v>0</v>
      </c>
      <c r="H121">
        <f>CLIENTS_CHURN34[[#This Row],[Anciennete_Mois]]/12</f>
        <v>6.583333333333333</v>
      </c>
      <c r="I121">
        <f>CLIENTS_CHURN34[[#This Row],[Duree_Cumulee_Panne_Min]]/60</f>
        <v>6.7166666666666668</v>
      </c>
    </row>
    <row r="122" spans="1:9">
      <c r="A122" s="1" t="s">
        <v>8</v>
      </c>
      <c r="B122" t="s">
        <v>31</v>
      </c>
      <c r="C122">
        <v>15</v>
      </c>
      <c r="D122" t="s">
        <v>11</v>
      </c>
      <c r="E122">
        <v>403</v>
      </c>
      <c r="F122">
        <v>77.12</v>
      </c>
      <c r="G122">
        <v>1</v>
      </c>
      <c r="H122">
        <f>CLIENTS_CHURN34[[#This Row],[Anciennete_Mois]]/12</f>
        <v>1.25</v>
      </c>
      <c r="I122">
        <f>CLIENTS_CHURN34[[#This Row],[Duree_Cumulee_Panne_Min]]/60</f>
        <v>6.7166666666666668</v>
      </c>
    </row>
    <row r="123" spans="1:9">
      <c r="A123" s="1" t="s">
        <v>191</v>
      </c>
      <c r="B123" t="s">
        <v>63</v>
      </c>
      <c r="C123">
        <v>102</v>
      </c>
      <c r="D123" t="s">
        <v>32</v>
      </c>
      <c r="E123">
        <v>402</v>
      </c>
      <c r="F123">
        <v>28.38</v>
      </c>
      <c r="G123">
        <v>5</v>
      </c>
      <c r="H123">
        <f>CLIENTS_CHURN34[[#This Row],[Anciennete_Mois]]/12</f>
        <v>8.5</v>
      </c>
      <c r="I123">
        <f>CLIENTS_CHURN34[[#This Row],[Duree_Cumulee_Panne_Min]]/60</f>
        <v>6.7</v>
      </c>
    </row>
    <row r="124" spans="1:9">
      <c r="A124" s="1" t="s">
        <v>499</v>
      </c>
      <c r="B124" t="s">
        <v>71</v>
      </c>
      <c r="C124">
        <v>15</v>
      </c>
      <c r="D124" t="s">
        <v>14</v>
      </c>
      <c r="E124">
        <v>400</v>
      </c>
      <c r="F124">
        <v>78.09</v>
      </c>
      <c r="G124">
        <v>0</v>
      </c>
      <c r="H124">
        <f>CLIENTS_CHURN34[[#This Row],[Anciennete_Mois]]/12</f>
        <v>1.25</v>
      </c>
      <c r="I124">
        <f>CLIENTS_CHURN34[[#This Row],[Duree_Cumulee_Panne_Min]]/60</f>
        <v>6.666666666666667</v>
      </c>
    </row>
    <row r="125" spans="1:9">
      <c r="A125" s="1" t="s">
        <v>140</v>
      </c>
      <c r="B125" t="s">
        <v>92</v>
      </c>
      <c r="C125">
        <v>36</v>
      </c>
      <c r="D125" t="s">
        <v>32</v>
      </c>
      <c r="E125">
        <v>400</v>
      </c>
      <c r="F125">
        <v>60.35</v>
      </c>
      <c r="G125">
        <v>1</v>
      </c>
      <c r="H125">
        <f>CLIENTS_CHURN34[[#This Row],[Anciennete_Mois]]/12</f>
        <v>3</v>
      </c>
      <c r="I125">
        <f>CLIENTS_CHURN34[[#This Row],[Duree_Cumulee_Panne_Min]]/60</f>
        <v>6.666666666666667</v>
      </c>
    </row>
    <row r="126" spans="1:9">
      <c r="A126" s="1" t="s">
        <v>8</v>
      </c>
      <c r="B126" t="s">
        <v>13</v>
      </c>
      <c r="C126">
        <v>106</v>
      </c>
      <c r="D126" t="s">
        <v>14</v>
      </c>
      <c r="E126">
        <v>400</v>
      </c>
      <c r="F126">
        <v>70.02</v>
      </c>
      <c r="G126">
        <v>4</v>
      </c>
      <c r="H126">
        <f>CLIENTS_CHURN34[[#This Row],[Anciennete_Mois]]/12</f>
        <v>8.8333333333333339</v>
      </c>
      <c r="I126">
        <f>CLIENTS_CHURN34[[#This Row],[Duree_Cumulee_Panne_Min]]/60</f>
        <v>6.666666666666667</v>
      </c>
    </row>
    <row r="127" spans="1:9">
      <c r="A127" s="1" t="s">
        <v>344</v>
      </c>
      <c r="B127" t="s">
        <v>36</v>
      </c>
      <c r="C127">
        <v>41</v>
      </c>
      <c r="D127" t="s">
        <v>14</v>
      </c>
      <c r="E127">
        <v>398</v>
      </c>
      <c r="F127">
        <v>28.56</v>
      </c>
      <c r="G127">
        <v>2</v>
      </c>
      <c r="H127">
        <f>CLIENTS_CHURN34[[#This Row],[Anciennete_Mois]]/12</f>
        <v>3.4166666666666665</v>
      </c>
      <c r="I127">
        <f>CLIENTS_CHURN34[[#This Row],[Duree_Cumulee_Panne_Min]]/60</f>
        <v>6.6333333333333337</v>
      </c>
    </row>
    <row r="128" spans="1:9">
      <c r="A128" s="1" t="s">
        <v>344</v>
      </c>
      <c r="B128" t="s">
        <v>92</v>
      </c>
      <c r="C128">
        <v>109</v>
      </c>
      <c r="D128" t="s">
        <v>11</v>
      </c>
      <c r="E128">
        <v>397</v>
      </c>
      <c r="F128">
        <v>63.92</v>
      </c>
      <c r="G128">
        <v>1</v>
      </c>
      <c r="H128">
        <f>CLIENTS_CHURN34[[#This Row],[Anciennete_Mois]]/12</f>
        <v>9.0833333333333339</v>
      </c>
      <c r="I128">
        <f>CLIENTS_CHURN34[[#This Row],[Duree_Cumulee_Panne_Min]]/60</f>
        <v>6.6166666666666663</v>
      </c>
    </row>
    <row r="129" spans="1:9">
      <c r="A129" s="1" t="s">
        <v>395</v>
      </c>
      <c r="B129" t="s">
        <v>52</v>
      </c>
      <c r="C129">
        <v>24</v>
      </c>
      <c r="D129" t="s">
        <v>21</v>
      </c>
      <c r="E129">
        <v>392</v>
      </c>
      <c r="F129">
        <v>27.06</v>
      </c>
      <c r="G129">
        <v>1</v>
      </c>
      <c r="H129">
        <f>CLIENTS_CHURN34[[#This Row],[Anciennete_Mois]]/12</f>
        <v>2</v>
      </c>
      <c r="I129">
        <f>CLIENTS_CHURN34[[#This Row],[Duree_Cumulee_Panne_Min]]/60</f>
        <v>6.5333333333333332</v>
      </c>
    </row>
    <row r="130" spans="1:9">
      <c r="A130" s="1" t="s">
        <v>242</v>
      </c>
      <c r="B130" t="s">
        <v>38</v>
      </c>
      <c r="C130">
        <v>63</v>
      </c>
      <c r="D130" t="s">
        <v>14</v>
      </c>
      <c r="E130">
        <v>392</v>
      </c>
      <c r="F130">
        <v>93.11</v>
      </c>
      <c r="G130">
        <v>3</v>
      </c>
      <c r="H130">
        <f>CLIENTS_CHURN34[[#This Row],[Anciennete_Mois]]/12</f>
        <v>5.25</v>
      </c>
      <c r="I130">
        <f>CLIENTS_CHURN34[[#This Row],[Duree_Cumulee_Panne_Min]]/60</f>
        <v>6.5333333333333332</v>
      </c>
    </row>
    <row r="131" spans="1:9">
      <c r="A131" s="1" t="s">
        <v>756</v>
      </c>
      <c r="B131" t="s">
        <v>13</v>
      </c>
      <c r="C131">
        <v>26</v>
      </c>
      <c r="D131" t="s">
        <v>32</v>
      </c>
      <c r="E131">
        <v>391</v>
      </c>
      <c r="F131">
        <v>18.28</v>
      </c>
      <c r="G131">
        <v>3</v>
      </c>
      <c r="H131">
        <f>CLIENTS_CHURN34[[#This Row],[Anciennete_Mois]]/12</f>
        <v>2.1666666666666665</v>
      </c>
      <c r="I131">
        <f>CLIENTS_CHURN34[[#This Row],[Duree_Cumulee_Panne_Min]]/60</f>
        <v>6.5166666666666666</v>
      </c>
    </row>
    <row r="132" spans="1:9">
      <c r="A132" s="1" t="s">
        <v>756</v>
      </c>
      <c r="B132" t="s">
        <v>43</v>
      </c>
      <c r="C132">
        <v>33</v>
      </c>
      <c r="D132" t="s">
        <v>11</v>
      </c>
      <c r="E132">
        <v>391</v>
      </c>
      <c r="F132">
        <v>88.88</v>
      </c>
      <c r="G132">
        <v>4</v>
      </c>
      <c r="H132">
        <f>CLIENTS_CHURN34[[#This Row],[Anciennete_Mois]]/12</f>
        <v>2.75</v>
      </c>
      <c r="I132">
        <f>CLIENTS_CHURN34[[#This Row],[Duree_Cumulee_Panne_Min]]/60</f>
        <v>6.5166666666666666</v>
      </c>
    </row>
    <row r="133" spans="1:9">
      <c r="A133" s="1" t="s">
        <v>499</v>
      </c>
      <c r="B133" t="s">
        <v>43</v>
      </c>
      <c r="C133">
        <v>120</v>
      </c>
      <c r="D133" t="s">
        <v>32</v>
      </c>
      <c r="E133">
        <v>391</v>
      </c>
      <c r="F133">
        <v>67.77</v>
      </c>
      <c r="G133">
        <v>4</v>
      </c>
      <c r="H133">
        <f>CLIENTS_CHURN34[[#This Row],[Anciennete_Mois]]/12</f>
        <v>10</v>
      </c>
      <c r="I133">
        <f>CLIENTS_CHURN34[[#This Row],[Duree_Cumulee_Panne_Min]]/60</f>
        <v>6.5166666666666666</v>
      </c>
    </row>
    <row r="134" spans="1:9">
      <c r="A134" s="1" t="s">
        <v>395</v>
      </c>
      <c r="B134" t="s">
        <v>38</v>
      </c>
      <c r="C134">
        <v>16</v>
      </c>
      <c r="D134" t="s">
        <v>32</v>
      </c>
      <c r="E134">
        <v>391</v>
      </c>
      <c r="F134">
        <v>90.12</v>
      </c>
      <c r="G134">
        <v>5</v>
      </c>
      <c r="H134">
        <f>CLIENTS_CHURN34[[#This Row],[Anciennete_Mois]]/12</f>
        <v>1.3333333333333333</v>
      </c>
      <c r="I134">
        <f>CLIENTS_CHURN34[[#This Row],[Duree_Cumulee_Panne_Min]]/60</f>
        <v>6.5166666666666666</v>
      </c>
    </row>
    <row r="135" spans="1:9">
      <c r="A135" s="1" t="s">
        <v>705</v>
      </c>
      <c r="B135" t="s">
        <v>20</v>
      </c>
      <c r="C135">
        <v>16</v>
      </c>
      <c r="D135" t="s">
        <v>21</v>
      </c>
      <c r="E135">
        <v>390</v>
      </c>
      <c r="F135">
        <v>52.64</v>
      </c>
      <c r="G135">
        <v>0</v>
      </c>
      <c r="H135">
        <f>CLIENTS_CHURN34[[#This Row],[Anciennete_Mois]]/12</f>
        <v>1.3333333333333333</v>
      </c>
      <c r="I135">
        <f>CLIENTS_CHURN34[[#This Row],[Duree_Cumulee_Panne_Min]]/60</f>
        <v>6.5</v>
      </c>
    </row>
    <row r="136" spans="1:9">
      <c r="A136" s="1" t="s">
        <v>85</v>
      </c>
      <c r="B136" t="s">
        <v>107</v>
      </c>
      <c r="C136">
        <v>16</v>
      </c>
      <c r="D136" t="s">
        <v>14</v>
      </c>
      <c r="E136">
        <v>390</v>
      </c>
      <c r="F136">
        <v>98.17</v>
      </c>
      <c r="G136">
        <v>5</v>
      </c>
      <c r="H136">
        <f>CLIENTS_CHURN34[[#This Row],[Anciennete_Mois]]/12</f>
        <v>1.3333333333333333</v>
      </c>
      <c r="I136">
        <f>CLIENTS_CHURN34[[#This Row],[Duree_Cumulee_Panne_Min]]/60</f>
        <v>6.5</v>
      </c>
    </row>
    <row r="137" spans="1:9">
      <c r="A137" s="1" t="s">
        <v>191</v>
      </c>
      <c r="B137" t="s">
        <v>63</v>
      </c>
      <c r="C137">
        <v>42</v>
      </c>
      <c r="D137" t="s">
        <v>11</v>
      </c>
      <c r="E137">
        <v>389</v>
      </c>
      <c r="F137">
        <v>80.08</v>
      </c>
      <c r="G137">
        <v>1</v>
      </c>
      <c r="H137">
        <f>CLIENTS_CHURN34[[#This Row],[Anciennete_Mois]]/12</f>
        <v>3.5</v>
      </c>
      <c r="I137">
        <f>CLIENTS_CHURN34[[#This Row],[Duree_Cumulee_Panne_Min]]/60</f>
        <v>6.4833333333333334</v>
      </c>
    </row>
    <row r="138" spans="1:9">
      <c r="A138" s="1" t="s">
        <v>602</v>
      </c>
      <c r="B138" t="s">
        <v>65</v>
      </c>
      <c r="C138">
        <v>51</v>
      </c>
      <c r="D138" t="s">
        <v>11</v>
      </c>
      <c r="E138">
        <v>389</v>
      </c>
      <c r="F138">
        <v>50.45</v>
      </c>
      <c r="G138">
        <v>3</v>
      </c>
      <c r="H138">
        <f>CLIENTS_CHURN34[[#This Row],[Anciennete_Mois]]/12</f>
        <v>4.25</v>
      </c>
      <c r="I138">
        <f>CLIENTS_CHURN34[[#This Row],[Duree_Cumulee_Panne_Min]]/60</f>
        <v>6.4833333333333334</v>
      </c>
    </row>
    <row r="139" spans="1:9">
      <c r="A139" s="1" t="s">
        <v>293</v>
      </c>
      <c r="B139" t="s">
        <v>31</v>
      </c>
      <c r="C139">
        <v>55</v>
      </c>
      <c r="D139" t="s">
        <v>11</v>
      </c>
      <c r="E139">
        <v>389</v>
      </c>
      <c r="F139">
        <v>67.430000000000007</v>
      </c>
      <c r="G139">
        <v>3</v>
      </c>
      <c r="H139">
        <f>CLIENTS_CHURN34[[#This Row],[Anciennete_Mois]]/12</f>
        <v>4.583333333333333</v>
      </c>
      <c r="I139">
        <f>CLIENTS_CHURN34[[#This Row],[Duree_Cumulee_Panne_Min]]/60</f>
        <v>6.4833333333333334</v>
      </c>
    </row>
    <row r="140" spans="1:9">
      <c r="A140" s="1" t="s">
        <v>551</v>
      </c>
      <c r="B140" t="s">
        <v>61</v>
      </c>
      <c r="C140">
        <v>74</v>
      </c>
      <c r="D140" t="s">
        <v>14</v>
      </c>
      <c r="E140">
        <v>388</v>
      </c>
      <c r="F140">
        <v>10.89</v>
      </c>
      <c r="G140">
        <v>4</v>
      </c>
      <c r="H140">
        <f>CLIENTS_CHURN34[[#This Row],[Anciennete_Mois]]/12</f>
        <v>6.166666666666667</v>
      </c>
      <c r="I140">
        <f>CLIENTS_CHURN34[[#This Row],[Duree_Cumulee_Panne_Min]]/60</f>
        <v>6.4666666666666668</v>
      </c>
    </row>
    <row r="141" spans="1:9">
      <c r="A141" s="1" t="s">
        <v>293</v>
      </c>
      <c r="B141" t="s">
        <v>65</v>
      </c>
      <c r="C141">
        <v>114</v>
      </c>
      <c r="D141" t="s">
        <v>14</v>
      </c>
      <c r="E141">
        <v>388</v>
      </c>
      <c r="F141">
        <v>40.29</v>
      </c>
      <c r="G141">
        <v>5</v>
      </c>
      <c r="H141">
        <f>CLIENTS_CHURN34[[#This Row],[Anciennete_Mois]]/12</f>
        <v>9.5</v>
      </c>
      <c r="I141">
        <f>CLIENTS_CHURN34[[#This Row],[Duree_Cumulee_Panne_Min]]/60</f>
        <v>6.4666666666666668</v>
      </c>
    </row>
    <row r="142" spans="1:9">
      <c r="A142" s="1" t="s">
        <v>756</v>
      </c>
      <c r="B142" t="s">
        <v>61</v>
      </c>
      <c r="C142">
        <v>78</v>
      </c>
      <c r="D142" t="s">
        <v>32</v>
      </c>
      <c r="E142">
        <v>387</v>
      </c>
      <c r="F142">
        <v>11.63</v>
      </c>
      <c r="G142">
        <v>2</v>
      </c>
      <c r="H142">
        <f>CLIENTS_CHURN34[[#This Row],[Anciennete_Mois]]/12</f>
        <v>6.5</v>
      </c>
      <c r="I142">
        <f>CLIENTS_CHURN34[[#This Row],[Duree_Cumulee_Panne_Min]]/60</f>
        <v>6.45</v>
      </c>
    </row>
    <row r="143" spans="1:9">
      <c r="A143" s="1" t="s">
        <v>191</v>
      </c>
      <c r="B143" t="s">
        <v>18</v>
      </c>
      <c r="C143">
        <v>66</v>
      </c>
      <c r="D143" t="s">
        <v>21</v>
      </c>
      <c r="E143">
        <v>387</v>
      </c>
      <c r="F143">
        <v>82.94</v>
      </c>
      <c r="G143">
        <v>3</v>
      </c>
      <c r="H143">
        <f>CLIENTS_CHURN34[[#This Row],[Anciennete_Mois]]/12</f>
        <v>5.5</v>
      </c>
      <c r="I143">
        <f>CLIENTS_CHURN34[[#This Row],[Duree_Cumulee_Panne_Min]]/60</f>
        <v>6.45</v>
      </c>
    </row>
    <row r="144" spans="1:9">
      <c r="A144" s="1" t="s">
        <v>705</v>
      </c>
      <c r="B144" t="s">
        <v>79</v>
      </c>
      <c r="C144">
        <v>103</v>
      </c>
      <c r="D144" t="s">
        <v>32</v>
      </c>
      <c r="E144">
        <v>386</v>
      </c>
      <c r="F144">
        <v>10.58</v>
      </c>
      <c r="G144">
        <v>0</v>
      </c>
      <c r="H144">
        <f>CLIENTS_CHURN34[[#This Row],[Anciennete_Mois]]/12</f>
        <v>8.5833333333333339</v>
      </c>
      <c r="I144">
        <f>CLIENTS_CHURN34[[#This Row],[Duree_Cumulee_Panne_Min]]/60</f>
        <v>6.4333333333333336</v>
      </c>
    </row>
    <row r="145" spans="1:9">
      <c r="A145" s="1" t="s">
        <v>551</v>
      </c>
      <c r="B145" t="s">
        <v>71</v>
      </c>
      <c r="C145">
        <v>47</v>
      </c>
      <c r="D145" t="s">
        <v>21</v>
      </c>
      <c r="E145">
        <v>385</v>
      </c>
      <c r="F145">
        <v>41.33</v>
      </c>
      <c r="G145">
        <v>0</v>
      </c>
      <c r="H145">
        <f>CLIENTS_CHURN34[[#This Row],[Anciennete_Mois]]/12</f>
        <v>3.9166666666666665</v>
      </c>
      <c r="I145">
        <f>CLIENTS_CHURN34[[#This Row],[Duree_Cumulee_Panne_Min]]/60</f>
        <v>6.416666666666667</v>
      </c>
    </row>
    <row r="146" spans="1:9">
      <c r="A146" s="1" t="s">
        <v>85</v>
      </c>
      <c r="B146" t="s">
        <v>29</v>
      </c>
      <c r="C146">
        <v>42</v>
      </c>
      <c r="D146" t="s">
        <v>21</v>
      </c>
      <c r="E146">
        <v>385</v>
      </c>
      <c r="F146">
        <v>96.52</v>
      </c>
      <c r="G146">
        <v>1</v>
      </c>
      <c r="H146">
        <f>CLIENTS_CHURN34[[#This Row],[Anciennete_Mois]]/12</f>
        <v>3.5</v>
      </c>
      <c r="I146">
        <f>CLIENTS_CHURN34[[#This Row],[Duree_Cumulee_Panne_Min]]/60</f>
        <v>6.416666666666667</v>
      </c>
    </row>
    <row r="147" spans="1:9">
      <c r="A147" s="1" t="s">
        <v>85</v>
      </c>
      <c r="B147" t="s">
        <v>40</v>
      </c>
      <c r="C147">
        <v>53</v>
      </c>
      <c r="D147" t="s">
        <v>11</v>
      </c>
      <c r="E147">
        <v>385</v>
      </c>
      <c r="F147">
        <v>68.78</v>
      </c>
      <c r="G147">
        <v>3</v>
      </c>
      <c r="H147">
        <f>CLIENTS_CHURN34[[#This Row],[Anciennete_Mois]]/12</f>
        <v>4.416666666666667</v>
      </c>
      <c r="I147">
        <f>CLIENTS_CHURN34[[#This Row],[Duree_Cumulee_Panne_Min]]/60</f>
        <v>6.416666666666667</v>
      </c>
    </row>
    <row r="148" spans="1:9">
      <c r="A148" s="1" t="s">
        <v>293</v>
      </c>
      <c r="B148" t="s">
        <v>61</v>
      </c>
      <c r="C148">
        <v>5</v>
      </c>
      <c r="D148" t="s">
        <v>32</v>
      </c>
      <c r="E148">
        <v>384</v>
      </c>
      <c r="F148">
        <v>97.26</v>
      </c>
      <c r="G148">
        <v>3</v>
      </c>
      <c r="H148">
        <f>CLIENTS_CHURN34[[#This Row],[Anciennete_Mois]]/12</f>
        <v>0.41666666666666669</v>
      </c>
      <c r="I148">
        <f>CLIENTS_CHURN34[[#This Row],[Duree_Cumulee_Panne_Min]]/60</f>
        <v>6.4</v>
      </c>
    </row>
    <row r="149" spans="1:9">
      <c r="A149" s="1" t="s">
        <v>293</v>
      </c>
      <c r="B149" t="s">
        <v>71</v>
      </c>
      <c r="C149">
        <v>76</v>
      </c>
      <c r="D149" t="s">
        <v>21</v>
      </c>
      <c r="E149">
        <v>383</v>
      </c>
      <c r="F149">
        <v>53.73</v>
      </c>
      <c r="G149">
        <v>2</v>
      </c>
      <c r="H149">
        <f>CLIENTS_CHURN34[[#This Row],[Anciennete_Mois]]/12</f>
        <v>6.333333333333333</v>
      </c>
      <c r="I149">
        <f>CLIENTS_CHURN34[[#This Row],[Duree_Cumulee_Panne_Min]]/60</f>
        <v>6.3833333333333337</v>
      </c>
    </row>
    <row r="150" spans="1:9">
      <c r="A150" s="1" t="s">
        <v>499</v>
      </c>
      <c r="B150" t="s">
        <v>29</v>
      </c>
      <c r="C150">
        <v>41</v>
      </c>
      <c r="D150" t="s">
        <v>32</v>
      </c>
      <c r="E150">
        <v>383</v>
      </c>
      <c r="F150">
        <v>27.53</v>
      </c>
      <c r="G150">
        <v>4</v>
      </c>
      <c r="H150">
        <f>CLIENTS_CHURN34[[#This Row],[Anciennete_Mois]]/12</f>
        <v>3.4166666666666665</v>
      </c>
      <c r="I150">
        <f>CLIENTS_CHURN34[[#This Row],[Duree_Cumulee_Panne_Min]]/60</f>
        <v>6.3833333333333337</v>
      </c>
    </row>
    <row r="151" spans="1:9">
      <c r="A151" s="1" t="s">
        <v>191</v>
      </c>
      <c r="B151" t="s">
        <v>24</v>
      </c>
      <c r="C151">
        <v>61</v>
      </c>
      <c r="D151" t="s">
        <v>14</v>
      </c>
      <c r="E151">
        <v>383</v>
      </c>
      <c r="F151">
        <v>39.72</v>
      </c>
      <c r="G151">
        <v>4</v>
      </c>
      <c r="H151">
        <f>CLIENTS_CHURN34[[#This Row],[Anciennete_Mois]]/12</f>
        <v>5.083333333333333</v>
      </c>
      <c r="I151">
        <f>CLIENTS_CHURN34[[#This Row],[Duree_Cumulee_Panne_Min]]/60</f>
        <v>6.3833333333333337</v>
      </c>
    </row>
    <row r="152" spans="1:9">
      <c r="A152" s="1" t="s">
        <v>653</v>
      </c>
      <c r="B152" t="s">
        <v>92</v>
      </c>
      <c r="C152">
        <v>89</v>
      </c>
      <c r="D152" t="s">
        <v>11</v>
      </c>
      <c r="E152">
        <v>381</v>
      </c>
      <c r="F152">
        <v>68.17</v>
      </c>
      <c r="G152">
        <v>0</v>
      </c>
      <c r="H152">
        <f>CLIENTS_CHURN34[[#This Row],[Anciennete_Mois]]/12</f>
        <v>7.416666666666667</v>
      </c>
      <c r="I152">
        <f>CLIENTS_CHURN34[[#This Row],[Duree_Cumulee_Panne_Min]]/60</f>
        <v>6.35</v>
      </c>
    </row>
    <row r="153" spans="1:9">
      <c r="A153" s="1" t="s">
        <v>344</v>
      </c>
      <c r="B153" t="s">
        <v>36</v>
      </c>
      <c r="C153">
        <v>96</v>
      </c>
      <c r="D153" t="s">
        <v>21</v>
      </c>
      <c r="E153">
        <v>381</v>
      </c>
      <c r="F153">
        <v>90.78</v>
      </c>
      <c r="G153">
        <v>2</v>
      </c>
      <c r="H153">
        <f>CLIENTS_CHURN34[[#This Row],[Anciennete_Mois]]/12</f>
        <v>8</v>
      </c>
      <c r="I153">
        <f>CLIENTS_CHURN34[[#This Row],[Duree_Cumulee_Panne_Min]]/60</f>
        <v>6.35</v>
      </c>
    </row>
    <row r="154" spans="1:9">
      <c r="A154" s="1" t="s">
        <v>8</v>
      </c>
      <c r="B154" t="s">
        <v>10</v>
      </c>
      <c r="C154">
        <v>113</v>
      </c>
      <c r="D154" t="s">
        <v>21</v>
      </c>
      <c r="E154">
        <v>380</v>
      </c>
      <c r="F154">
        <v>12.11</v>
      </c>
      <c r="G154">
        <v>0</v>
      </c>
      <c r="H154">
        <f>CLIENTS_CHURN34[[#This Row],[Anciennete_Mois]]/12</f>
        <v>9.4166666666666661</v>
      </c>
      <c r="I154">
        <f>CLIENTS_CHURN34[[#This Row],[Duree_Cumulee_Panne_Min]]/60</f>
        <v>6.333333333333333</v>
      </c>
    </row>
    <row r="155" spans="1:9">
      <c r="A155" s="1" t="s">
        <v>602</v>
      </c>
      <c r="B155" t="s">
        <v>24</v>
      </c>
      <c r="C155">
        <v>56</v>
      </c>
      <c r="D155" t="s">
        <v>14</v>
      </c>
      <c r="E155">
        <v>379</v>
      </c>
      <c r="F155">
        <v>49.01</v>
      </c>
      <c r="G155">
        <v>0</v>
      </c>
      <c r="H155">
        <f>CLIENTS_CHURN34[[#This Row],[Anciennete_Mois]]/12</f>
        <v>4.666666666666667</v>
      </c>
      <c r="I155">
        <f>CLIENTS_CHURN34[[#This Row],[Duree_Cumulee_Panne_Min]]/60</f>
        <v>6.3166666666666664</v>
      </c>
    </row>
    <row r="156" spans="1:9">
      <c r="A156" s="1" t="s">
        <v>705</v>
      </c>
      <c r="B156" t="s">
        <v>65</v>
      </c>
      <c r="C156">
        <v>92</v>
      </c>
      <c r="D156" t="s">
        <v>14</v>
      </c>
      <c r="E156">
        <v>379</v>
      </c>
      <c r="F156">
        <v>70.08</v>
      </c>
      <c r="G156">
        <v>5</v>
      </c>
      <c r="H156">
        <f>CLIENTS_CHURN34[[#This Row],[Anciennete_Mois]]/12</f>
        <v>7.666666666666667</v>
      </c>
      <c r="I156">
        <f>CLIENTS_CHURN34[[#This Row],[Duree_Cumulee_Panne_Min]]/60</f>
        <v>6.3166666666666664</v>
      </c>
    </row>
    <row r="157" spans="1:9">
      <c r="A157" s="1" t="s">
        <v>395</v>
      </c>
      <c r="B157" t="s">
        <v>107</v>
      </c>
      <c r="C157">
        <v>47</v>
      </c>
      <c r="D157" t="s">
        <v>11</v>
      </c>
      <c r="E157">
        <v>378</v>
      </c>
      <c r="F157">
        <v>36.42</v>
      </c>
      <c r="G157">
        <v>1</v>
      </c>
      <c r="H157">
        <f>CLIENTS_CHURN34[[#This Row],[Anciennete_Mois]]/12</f>
        <v>3.9166666666666665</v>
      </c>
      <c r="I157">
        <f>CLIENTS_CHURN34[[#This Row],[Duree_Cumulee_Panne_Min]]/60</f>
        <v>6.3</v>
      </c>
    </row>
    <row r="158" spans="1:9">
      <c r="A158" s="1" t="s">
        <v>756</v>
      </c>
      <c r="B158" t="s">
        <v>76</v>
      </c>
      <c r="C158">
        <v>26</v>
      </c>
      <c r="D158" t="s">
        <v>21</v>
      </c>
      <c r="E158">
        <v>378</v>
      </c>
      <c r="F158">
        <v>88.59</v>
      </c>
      <c r="G158">
        <v>4</v>
      </c>
      <c r="H158">
        <f>CLIENTS_CHURN34[[#This Row],[Anciennete_Mois]]/12</f>
        <v>2.1666666666666665</v>
      </c>
      <c r="I158">
        <f>CLIENTS_CHURN34[[#This Row],[Duree_Cumulee_Panne_Min]]/60</f>
        <v>6.3</v>
      </c>
    </row>
    <row r="159" spans="1:9">
      <c r="A159" s="1" t="s">
        <v>705</v>
      </c>
      <c r="B159" t="s">
        <v>95</v>
      </c>
      <c r="C159">
        <v>26</v>
      </c>
      <c r="D159" t="s">
        <v>32</v>
      </c>
      <c r="E159">
        <v>378</v>
      </c>
      <c r="F159">
        <v>45.21</v>
      </c>
      <c r="G159">
        <v>5</v>
      </c>
      <c r="H159">
        <f>CLIENTS_CHURN34[[#This Row],[Anciennete_Mois]]/12</f>
        <v>2.1666666666666665</v>
      </c>
      <c r="I159">
        <f>CLIENTS_CHURN34[[#This Row],[Duree_Cumulee_Panne_Min]]/60</f>
        <v>6.3</v>
      </c>
    </row>
    <row r="160" spans="1:9">
      <c r="A160" s="1" t="s">
        <v>756</v>
      </c>
      <c r="B160" t="s">
        <v>61</v>
      </c>
      <c r="C160">
        <v>57</v>
      </c>
      <c r="D160" t="s">
        <v>21</v>
      </c>
      <c r="E160">
        <v>375</v>
      </c>
      <c r="F160">
        <v>64.73</v>
      </c>
      <c r="G160">
        <v>1</v>
      </c>
      <c r="H160">
        <f>CLIENTS_CHURN34[[#This Row],[Anciennete_Mois]]/12</f>
        <v>4.75</v>
      </c>
      <c r="I160">
        <f>CLIENTS_CHURN34[[#This Row],[Duree_Cumulee_Panne_Min]]/60</f>
        <v>6.25</v>
      </c>
    </row>
    <row r="161" spans="1:9">
      <c r="A161" s="1" t="s">
        <v>499</v>
      </c>
      <c r="B161" t="s">
        <v>38</v>
      </c>
      <c r="C161">
        <v>77</v>
      </c>
      <c r="D161" t="s">
        <v>21</v>
      </c>
      <c r="E161">
        <v>375</v>
      </c>
      <c r="F161">
        <v>24.03</v>
      </c>
      <c r="G161">
        <v>1</v>
      </c>
      <c r="H161">
        <f>CLIENTS_CHURN34[[#This Row],[Anciennete_Mois]]/12</f>
        <v>6.416666666666667</v>
      </c>
      <c r="I161">
        <f>CLIENTS_CHURN34[[#This Row],[Duree_Cumulee_Panne_Min]]/60</f>
        <v>6.25</v>
      </c>
    </row>
    <row r="162" spans="1:9">
      <c r="A162" s="1" t="s">
        <v>653</v>
      </c>
      <c r="B162" t="s">
        <v>43</v>
      </c>
      <c r="C162">
        <v>22</v>
      </c>
      <c r="D162" t="s">
        <v>11</v>
      </c>
      <c r="E162">
        <v>374</v>
      </c>
      <c r="F162">
        <v>40.06</v>
      </c>
      <c r="G162">
        <v>5</v>
      </c>
      <c r="H162">
        <f>CLIENTS_CHURN34[[#This Row],[Anciennete_Mois]]/12</f>
        <v>1.8333333333333333</v>
      </c>
      <c r="I162">
        <f>CLIENTS_CHURN34[[#This Row],[Duree_Cumulee_Panne_Min]]/60</f>
        <v>6.2333333333333334</v>
      </c>
    </row>
    <row r="163" spans="1:9">
      <c r="A163" s="1" t="s">
        <v>602</v>
      </c>
      <c r="B163" t="s">
        <v>13</v>
      </c>
      <c r="C163">
        <v>4</v>
      </c>
      <c r="D163" t="s">
        <v>11</v>
      </c>
      <c r="E163">
        <v>372</v>
      </c>
      <c r="F163">
        <v>26.73</v>
      </c>
      <c r="G163">
        <v>3</v>
      </c>
      <c r="H163">
        <f>CLIENTS_CHURN34[[#This Row],[Anciennete_Mois]]/12</f>
        <v>0.33333333333333331</v>
      </c>
      <c r="I163">
        <f>CLIENTS_CHURN34[[#This Row],[Duree_Cumulee_Panne_Min]]/60</f>
        <v>6.2</v>
      </c>
    </row>
    <row r="164" spans="1:9">
      <c r="A164" s="1" t="s">
        <v>8</v>
      </c>
      <c r="B164" t="s">
        <v>63</v>
      </c>
      <c r="C164">
        <v>21</v>
      </c>
      <c r="D164" t="s">
        <v>32</v>
      </c>
      <c r="E164">
        <v>371</v>
      </c>
      <c r="F164">
        <v>48.31</v>
      </c>
      <c r="G164">
        <v>0</v>
      </c>
      <c r="H164">
        <f>CLIENTS_CHURN34[[#This Row],[Anciennete_Mois]]/12</f>
        <v>1.75</v>
      </c>
      <c r="I164">
        <f>CLIENTS_CHURN34[[#This Row],[Duree_Cumulee_Panne_Min]]/60</f>
        <v>6.1833333333333336</v>
      </c>
    </row>
    <row r="165" spans="1:9">
      <c r="A165" s="1" t="s">
        <v>140</v>
      </c>
      <c r="B165" t="s">
        <v>79</v>
      </c>
      <c r="C165">
        <v>74</v>
      </c>
      <c r="D165" t="s">
        <v>11</v>
      </c>
      <c r="E165">
        <v>371</v>
      </c>
      <c r="F165">
        <v>53.27</v>
      </c>
      <c r="G165">
        <v>3</v>
      </c>
      <c r="H165">
        <f>CLIENTS_CHURN34[[#This Row],[Anciennete_Mois]]/12</f>
        <v>6.166666666666667</v>
      </c>
      <c r="I165">
        <f>CLIENTS_CHURN34[[#This Row],[Duree_Cumulee_Panne_Min]]/60</f>
        <v>6.1833333333333336</v>
      </c>
    </row>
    <row r="166" spans="1:9">
      <c r="A166" s="1" t="s">
        <v>756</v>
      </c>
      <c r="B166" t="s">
        <v>36</v>
      </c>
      <c r="C166">
        <v>75</v>
      </c>
      <c r="D166" t="s">
        <v>14</v>
      </c>
      <c r="E166">
        <v>370</v>
      </c>
      <c r="F166">
        <v>21.67</v>
      </c>
      <c r="G166">
        <v>0</v>
      </c>
      <c r="H166">
        <f>CLIENTS_CHURN34[[#This Row],[Anciennete_Mois]]/12</f>
        <v>6.25</v>
      </c>
      <c r="I166">
        <f>CLIENTS_CHURN34[[#This Row],[Duree_Cumulee_Panne_Min]]/60</f>
        <v>6.166666666666667</v>
      </c>
    </row>
    <row r="167" spans="1:9">
      <c r="A167" s="1" t="s">
        <v>191</v>
      </c>
      <c r="B167" t="s">
        <v>57</v>
      </c>
      <c r="C167">
        <v>64</v>
      </c>
      <c r="D167" t="s">
        <v>11</v>
      </c>
      <c r="E167">
        <v>370</v>
      </c>
      <c r="F167">
        <v>95.74</v>
      </c>
      <c r="G167">
        <v>1</v>
      </c>
      <c r="H167">
        <f>CLIENTS_CHURN34[[#This Row],[Anciennete_Mois]]/12</f>
        <v>5.333333333333333</v>
      </c>
      <c r="I167">
        <f>CLIENTS_CHURN34[[#This Row],[Duree_Cumulee_Panne_Min]]/60</f>
        <v>6.166666666666667</v>
      </c>
    </row>
    <row r="168" spans="1:9">
      <c r="A168" s="1" t="s">
        <v>191</v>
      </c>
      <c r="B168" t="s">
        <v>76</v>
      </c>
      <c r="C168">
        <v>27</v>
      </c>
      <c r="D168" t="s">
        <v>32</v>
      </c>
      <c r="E168">
        <v>369</v>
      </c>
      <c r="F168">
        <v>19.78</v>
      </c>
      <c r="G168">
        <v>1</v>
      </c>
      <c r="H168">
        <f>CLIENTS_CHURN34[[#This Row],[Anciennete_Mois]]/12</f>
        <v>2.25</v>
      </c>
      <c r="I168">
        <f>CLIENTS_CHURN34[[#This Row],[Duree_Cumulee_Panne_Min]]/60</f>
        <v>6.15</v>
      </c>
    </row>
    <row r="169" spans="1:9">
      <c r="A169" s="1" t="s">
        <v>8</v>
      </c>
      <c r="B169" t="s">
        <v>13</v>
      </c>
      <c r="C169">
        <v>99</v>
      </c>
      <c r="D169" t="s">
        <v>14</v>
      </c>
      <c r="E169">
        <v>369</v>
      </c>
      <c r="F169">
        <v>67.209999999999994</v>
      </c>
      <c r="G169">
        <v>3</v>
      </c>
      <c r="H169">
        <f>CLIENTS_CHURN34[[#This Row],[Anciennete_Mois]]/12</f>
        <v>8.25</v>
      </c>
      <c r="I169">
        <f>CLIENTS_CHURN34[[#This Row],[Duree_Cumulee_Panne_Min]]/60</f>
        <v>6.15</v>
      </c>
    </row>
    <row r="170" spans="1:9">
      <c r="A170" s="1" t="s">
        <v>344</v>
      </c>
      <c r="B170" t="s">
        <v>52</v>
      </c>
      <c r="C170">
        <v>59</v>
      </c>
      <c r="D170" t="s">
        <v>11</v>
      </c>
      <c r="E170">
        <v>369</v>
      </c>
      <c r="F170">
        <v>26.64</v>
      </c>
      <c r="G170">
        <v>4</v>
      </c>
      <c r="H170">
        <f>CLIENTS_CHURN34[[#This Row],[Anciennete_Mois]]/12</f>
        <v>4.916666666666667</v>
      </c>
      <c r="I170">
        <f>CLIENTS_CHURN34[[#This Row],[Duree_Cumulee_Panne_Min]]/60</f>
        <v>6.15</v>
      </c>
    </row>
    <row r="171" spans="1:9">
      <c r="A171" s="1" t="s">
        <v>447</v>
      </c>
      <c r="B171" t="s">
        <v>13</v>
      </c>
      <c r="C171">
        <v>1</v>
      </c>
      <c r="D171" t="s">
        <v>32</v>
      </c>
      <c r="E171">
        <v>368</v>
      </c>
      <c r="F171">
        <v>35.17</v>
      </c>
      <c r="G171">
        <v>1</v>
      </c>
      <c r="H171">
        <f>CLIENTS_CHURN34[[#This Row],[Anciennete_Mois]]/12</f>
        <v>8.3333333333333329E-2</v>
      </c>
      <c r="I171">
        <f>CLIENTS_CHURN34[[#This Row],[Duree_Cumulee_Panne_Min]]/60</f>
        <v>6.1333333333333337</v>
      </c>
    </row>
    <row r="172" spans="1:9">
      <c r="A172" s="1" t="s">
        <v>705</v>
      </c>
      <c r="B172" t="s">
        <v>16</v>
      </c>
      <c r="C172">
        <v>56</v>
      </c>
      <c r="D172" t="s">
        <v>21</v>
      </c>
      <c r="E172">
        <v>367</v>
      </c>
      <c r="F172">
        <v>72.790000000000006</v>
      </c>
      <c r="G172">
        <v>1</v>
      </c>
      <c r="H172">
        <f>CLIENTS_CHURN34[[#This Row],[Anciennete_Mois]]/12</f>
        <v>4.666666666666667</v>
      </c>
      <c r="I172">
        <f>CLIENTS_CHURN34[[#This Row],[Duree_Cumulee_Panne_Min]]/60</f>
        <v>6.1166666666666663</v>
      </c>
    </row>
    <row r="173" spans="1:9">
      <c r="A173" s="1" t="s">
        <v>140</v>
      </c>
      <c r="B173" t="s">
        <v>10</v>
      </c>
      <c r="C173">
        <v>93</v>
      </c>
      <c r="D173" t="s">
        <v>14</v>
      </c>
      <c r="E173">
        <v>365</v>
      </c>
      <c r="F173">
        <v>72.319999999999993</v>
      </c>
      <c r="G173">
        <v>1</v>
      </c>
      <c r="H173">
        <f>CLIENTS_CHURN34[[#This Row],[Anciennete_Mois]]/12</f>
        <v>7.75</v>
      </c>
      <c r="I173">
        <f>CLIENTS_CHURN34[[#This Row],[Duree_Cumulee_Panne_Min]]/60</f>
        <v>6.083333333333333</v>
      </c>
    </row>
    <row r="174" spans="1:9">
      <c r="A174" s="1" t="s">
        <v>242</v>
      </c>
      <c r="B174" t="s">
        <v>43</v>
      </c>
      <c r="C174">
        <v>71</v>
      </c>
      <c r="D174" t="s">
        <v>14</v>
      </c>
      <c r="E174">
        <v>364</v>
      </c>
      <c r="F174">
        <v>39.58</v>
      </c>
      <c r="G174">
        <v>1</v>
      </c>
      <c r="H174">
        <f>CLIENTS_CHURN34[[#This Row],[Anciennete_Mois]]/12</f>
        <v>5.916666666666667</v>
      </c>
      <c r="I174">
        <f>CLIENTS_CHURN34[[#This Row],[Duree_Cumulee_Panne_Min]]/60</f>
        <v>6.0666666666666664</v>
      </c>
    </row>
    <row r="175" spans="1:9">
      <c r="A175" s="1" t="s">
        <v>551</v>
      </c>
      <c r="B175" t="s">
        <v>52</v>
      </c>
      <c r="C175">
        <v>84</v>
      </c>
      <c r="D175" t="s">
        <v>14</v>
      </c>
      <c r="E175">
        <v>364</v>
      </c>
      <c r="F175">
        <v>87.79</v>
      </c>
      <c r="G175">
        <v>3</v>
      </c>
      <c r="H175">
        <f>CLIENTS_CHURN34[[#This Row],[Anciennete_Mois]]/12</f>
        <v>7</v>
      </c>
      <c r="I175">
        <f>CLIENTS_CHURN34[[#This Row],[Duree_Cumulee_Panne_Min]]/60</f>
        <v>6.0666666666666664</v>
      </c>
    </row>
    <row r="176" spans="1:9">
      <c r="A176" s="1" t="s">
        <v>447</v>
      </c>
      <c r="B176" t="s">
        <v>18</v>
      </c>
      <c r="C176">
        <v>61</v>
      </c>
      <c r="D176" t="s">
        <v>11</v>
      </c>
      <c r="E176">
        <v>362</v>
      </c>
      <c r="F176">
        <v>75.03</v>
      </c>
      <c r="G176">
        <v>0</v>
      </c>
      <c r="H176">
        <f>CLIENTS_CHURN34[[#This Row],[Anciennete_Mois]]/12</f>
        <v>5.083333333333333</v>
      </c>
      <c r="I176">
        <f>CLIENTS_CHURN34[[#This Row],[Duree_Cumulee_Panne_Min]]/60</f>
        <v>6.0333333333333332</v>
      </c>
    </row>
    <row r="177" spans="1:9">
      <c r="A177" s="1" t="s">
        <v>447</v>
      </c>
      <c r="B177" t="s">
        <v>10</v>
      </c>
      <c r="C177">
        <v>6</v>
      </c>
      <c r="D177" t="s">
        <v>32</v>
      </c>
      <c r="E177">
        <v>362</v>
      </c>
      <c r="F177">
        <v>75.739999999999995</v>
      </c>
      <c r="G177">
        <v>4</v>
      </c>
      <c r="H177">
        <f>CLIENTS_CHURN34[[#This Row],[Anciennete_Mois]]/12</f>
        <v>0.5</v>
      </c>
      <c r="I177">
        <f>CLIENTS_CHURN34[[#This Row],[Duree_Cumulee_Panne_Min]]/60</f>
        <v>6.0333333333333332</v>
      </c>
    </row>
    <row r="178" spans="1:9">
      <c r="A178" s="1" t="s">
        <v>756</v>
      </c>
      <c r="B178" t="s">
        <v>65</v>
      </c>
      <c r="C178">
        <v>74</v>
      </c>
      <c r="D178" t="s">
        <v>21</v>
      </c>
      <c r="E178">
        <v>359</v>
      </c>
      <c r="F178">
        <v>92.63</v>
      </c>
      <c r="G178">
        <v>0</v>
      </c>
      <c r="H178">
        <f>CLIENTS_CHURN34[[#This Row],[Anciennete_Mois]]/12</f>
        <v>6.166666666666667</v>
      </c>
      <c r="I178">
        <f>CLIENTS_CHURN34[[#This Row],[Duree_Cumulee_Panne_Min]]/60</f>
        <v>5.9833333333333334</v>
      </c>
    </row>
    <row r="179" spans="1:9">
      <c r="A179" s="1" t="s">
        <v>499</v>
      </c>
      <c r="B179" t="s">
        <v>18</v>
      </c>
      <c r="C179">
        <v>88</v>
      </c>
      <c r="D179" t="s">
        <v>32</v>
      </c>
      <c r="E179">
        <v>359</v>
      </c>
      <c r="F179">
        <v>71.19</v>
      </c>
      <c r="G179">
        <v>3</v>
      </c>
      <c r="H179">
        <f>CLIENTS_CHURN34[[#This Row],[Anciennete_Mois]]/12</f>
        <v>7.333333333333333</v>
      </c>
      <c r="I179">
        <f>CLIENTS_CHURN34[[#This Row],[Duree_Cumulee_Panne_Min]]/60</f>
        <v>5.9833333333333334</v>
      </c>
    </row>
    <row r="180" spans="1:9">
      <c r="A180" s="1" t="s">
        <v>8</v>
      </c>
      <c r="B180" t="s">
        <v>20</v>
      </c>
      <c r="C180">
        <v>101</v>
      </c>
      <c r="D180" t="s">
        <v>21</v>
      </c>
      <c r="E180">
        <v>358</v>
      </c>
      <c r="F180">
        <v>29.24</v>
      </c>
      <c r="G180">
        <v>3</v>
      </c>
      <c r="H180">
        <f>CLIENTS_CHURN34[[#This Row],[Anciennete_Mois]]/12</f>
        <v>8.4166666666666661</v>
      </c>
      <c r="I180">
        <f>CLIENTS_CHURN34[[#This Row],[Duree_Cumulee_Panne_Min]]/60</f>
        <v>5.9666666666666668</v>
      </c>
    </row>
    <row r="181" spans="1:9">
      <c r="A181" s="1" t="s">
        <v>8</v>
      </c>
      <c r="B181" t="s">
        <v>10</v>
      </c>
      <c r="C181">
        <v>91</v>
      </c>
      <c r="D181" t="s">
        <v>11</v>
      </c>
      <c r="E181">
        <v>358</v>
      </c>
      <c r="F181">
        <v>21.14</v>
      </c>
      <c r="G181">
        <v>5</v>
      </c>
      <c r="H181">
        <f>CLIENTS_CHURN34[[#This Row],[Anciennete_Mois]]/12</f>
        <v>7.583333333333333</v>
      </c>
      <c r="I181">
        <f>CLIENTS_CHURN34[[#This Row],[Duree_Cumulee_Panne_Min]]/60</f>
        <v>5.9666666666666668</v>
      </c>
    </row>
    <row r="182" spans="1:9">
      <c r="A182" s="1" t="s">
        <v>191</v>
      </c>
      <c r="B182" t="s">
        <v>26</v>
      </c>
      <c r="C182">
        <v>49</v>
      </c>
      <c r="D182" t="s">
        <v>32</v>
      </c>
      <c r="E182">
        <v>357</v>
      </c>
      <c r="F182">
        <v>96.67</v>
      </c>
      <c r="G182">
        <v>3</v>
      </c>
      <c r="H182">
        <f>CLIENTS_CHURN34[[#This Row],[Anciennete_Mois]]/12</f>
        <v>4.083333333333333</v>
      </c>
      <c r="I182">
        <f>CLIENTS_CHURN34[[#This Row],[Duree_Cumulee_Panne_Min]]/60</f>
        <v>5.95</v>
      </c>
    </row>
    <row r="183" spans="1:9">
      <c r="A183" s="1" t="s">
        <v>447</v>
      </c>
      <c r="B183" t="s">
        <v>43</v>
      </c>
      <c r="C183">
        <v>45</v>
      </c>
      <c r="D183" t="s">
        <v>21</v>
      </c>
      <c r="E183">
        <v>356</v>
      </c>
      <c r="F183">
        <v>33.76</v>
      </c>
      <c r="G183">
        <v>0</v>
      </c>
      <c r="H183">
        <f>CLIENTS_CHURN34[[#This Row],[Anciennete_Mois]]/12</f>
        <v>3.75</v>
      </c>
      <c r="I183">
        <f>CLIENTS_CHURN34[[#This Row],[Duree_Cumulee_Panne_Min]]/60</f>
        <v>5.9333333333333336</v>
      </c>
    </row>
    <row r="184" spans="1:9">
      <c r="A184" s="1" t="s">
        <v>499</v>
      </c>
      <c r="B184" t="s">
        <v>57</v>
      </c>
      <c r="C184">
        <v>87</v>
      </c>
      <c r="D184" t="s">
        <v>32</v>
      </c>
      <c r="E184">
        <v>356</v>
      </c>
      <c r="F184">
        <v>12.89</v>
      </c>
      <c r="G184">
        <v>0</v>
      </c>
      <c r="H184">
        <f>CLIENTS_CHURN34[[#This Row],[Anciennete_Mois]]/12</f>
        <v>7.25</v>
      </c>
      <c r="I184">
        <f>CLIENTS_CHURN34[[#This Row],[Duree_Cumulee_Panne_Min]]/60</f>
        <v>5.9333333333333336</v>
      </c>
    </row>
    <row r="185" spans="1:9">
      <c r="A185" s="1" t="s">
        <v>499</v>
      </c>
      <c r="B185" t="s">
        <v>52</v>
      </c>
      <c r="C185">
        <v>55</v>
      </c>
      <c r="D185" t="s">
        <v>14</v>
      </c>
      <c r="E185">
        <v>355</v>
      </c>
      <c r="F185">
        <v>59.65</v>
      </c>
      <c r="G185">
        <v>0</v>
      </c>
      <c r="H185">
        <f>CLIENTS_CHURN34[[#This Row],[Anciennete_Mois]]/12</f>
        <v>4.583333333333333</v>
      </c>
      <c r="I185">
        <f>CLIENTS_CHURN34[[#This Row],[Duree_Cumulee_Panne_Min]]/60</f>
        <v>5.916666666666667</v>
      </c>
    </row>
    <row r="186" spans="1:9">
      <c r="A186" s="1" t="s">
        <v>602</v>
      </c>
      <c r="B186" t="s">
        <v>92</v>
      </c>
      <c r="C186">
        <v>56</v>
      </c>
      <c r="D186" t="s">
        <v>32</v>
      </c>
      <c r="E186">
        <v>354</v>
      </c>
      <c r="F186">
        <v>32.08</v>
      </c>
      <c r="G186">
        <v>1</v>
      </c>
      <c r="H186">
        <f>CLIENTS_CHURN34[[#This Row],[Anciennete_Mois]]/12</f>
        <v>4.666666666666667</v>
      </c>
      <c r="I186">
        <f>CLIENTS_CHURN34[[#This Row],[Duree_Cumulee_Panne_Min]]/60</f>
        <v>5.9</v>
      </c>
    </row>
    <row r="187" spans="1:9">
      <c r="A187" s="1" t="s">
        <v>344</v>
      </c>
      <c r="B187" t="s">
        <v>20</v>
      </c>
      <c r="C187">
        <v>103</v>
      </c>
      <c r="D187" t="s">
        <v>32</v>
      </c>
      <c r="E187">
        <v>354</v>
      </c>
      <c r="F187">
        <v>26.19</v>
      </c>
      <c r="G187">
        <v>4</v>
      </c>
      <c r="H187">
        <f>CLIENTS_CHURN34[[#This Row],[Anciennete_Mois]]/12</f>
        <v>8.5833333333333339</v>
      </c>
      <c r="I187">
        <f>CLIENTS_CHURN34[[#This Row],[Duree_Cumulee_Panne_Min]]/60</f>
        <v>5.9</v>
      </c>
    </row>
    <row r="188" spans="1:9">
      <c r="A188" s="1" t="s">
        <v>705</v>
      </c>
      <c r="B188" t="s">
        <v>40</v>
      </c>
      <c r="C188">
        <v>86</v>
      </c>
      <c r="D188" t="s">
        <v>11</v>
      </c>
      <c r="E188">
        <v>353</v>
      </c>
      <c r="F188">
        <v>25.37</v>
      </c>
      <c r="G188">
        <v>1</v>
      </c>
      <c r="H188">
        <f>CLIENTS_CHURN34[[#This Row],[Anciennete_Mois]]/12</f>
        <v>7.166666666666667</v>
      </c>
      <c r="I188">
        <f>CLIENTS_CHURN34[[#This Row],[Duree_Cumulee_Panne_Min]]/60</f>
        <v>5.8833333333333337</v>
      </c>
    </row>
    <row r="189" spans="1:9">
      <c r="A189" s="1" t="s">
        <v>551</v>
      </c>
      <c r="B189" t="s">
        <v>76</v>
      </c>
      <c r="C189">
        <v>58</v>
      </c>
      <c r="D189" t="s">
        <v>11</v>
      </c>
      <c r="E189">
        <v>352</v>
      </c>
      <c r="F189">
        <v>72.94</v>
      </c>
      <c r="G189">
        <v>0</v>
      </c>
      <c r="H189">
        <f>CLIENTS_CHURN34[[#This Row],[Anciennete_Mois]]/12</f>
        <v>4.833333333333333</v>
      </c>
      <c r="I189">
        <f>CLIENTS_CHURN34[[#This Row],[Duree_Cumulee_Panne_Min]]/60</f>
        <v>5.8666666666666663</v>
      </c>
    </row>
    <row r="190" spans="1:9">
      <c r="A190" s="1" t="s">
        <v>344</v>
      </c>
      <c r="B190" t="s">
        <v>26</v>
      </c>
      <c r="C190">
        <v>59</v>
      </c>
      <c r="D190" t="s">
        <v>32</v>
      </c>
      <c r="E190">
        <v>352</v>
      </c>
      <c r="F190">
        <v>74.239999999999995</v>
      </c>
      <c r="G190">
        <v>0</v>
      </c>
      <c r="H190">
        <f>CLIENTS_CHURN34[[#This Row],[Anciennete_Mois]]/12</f>
        <v>4.916666666666667</v>
      </c>
      <c r="I190">
        <f>CLIENTS_CHURN34[[#This Row],[Duree_Cumulee_Panne_Min]]/60</f>
        <v>5.8666666666666663</v>
      </c>
    </row>
    <row r="191" spans="1:9">
      <c r="A191" s="1" t="s">
        <v>395</v>
      </c>
      <c r="B191" t="s">
        <v>52</v>
      </c>
      <c r="C191">
        <v>29</v>
      </c>
      <c r="D191" t="s">
        <v>32</v>
      </c>
      <c r="E191">
        <v>350</v>
      </c>
      <c r="F191">
        <v>84.32</v>
      </c>
      <c r="G191">
        <v>3</v>
      </c>
      <c r="H191">
        <f>CLIENTS_CHURN34[[#This Row],[Anciennete_Mois]]/12</f>
        <v>2.4166666666666665</v>
      </c>
      <c r="I191">
        <f>CLIENTS_CHURN34[[#This Row],[Duree_Cumulee_Panne_Min]]/60</f>
        <v>5.833333333333333</v>
      </c>
    </row>
    <row r="192" spans="1:9">
      <c r="A192" s="1" t="s">
        <v>551</v>
      </c>
      <c r="B192" t="s">
        <v>61</v>
      </c>
      <c r="C192">
        <v>47</v>
      </c>
      <c r="D192" t="s">
        <v>32</v>
      </c>
      <c r="E192">
        <v>350</v>
      </c>
      <c r="F192">
        <v>80.48</v>
      </c>
      <c r="G192">
        <v>3</v>
      </c>
      <c r="H192">
        <f>CLIENTS_CHURN34[[#This Row],[Anciennete_Mois]]/12</f>
        <v>3.9166666666666665</v>
      </c>
      <c r="I192">
        <f>CLIENTS_CHURN34[[#This Row],[Duree_Cumulee_Panne_Min]]/60</f>
        <v>5.833333333333333</v>
      </c>
    </row>
    <row r="193" spans="1:9">
      <c r="A193" s="1" t="s">
        <v>8</v>
      </c>
      <c r="B193" t="s">
        <v>36</v>
      </c>
      <c r="C193">
        <v>44</v>
      </c>
      <c r="D193" t="s">
        <v>14</v>
      </c>
      <c r="E193">
        <v>348</v>
      </c>
      <c r="F193">
        <v>58.67</v>
      </c>
      <c r="G193">
        <v>0</v>
      </c>
      <c r="H193">
        <f>CLIENTS_CHURN34[[#This Row],[Anciennete_Mois]]/12</f>
        <v>3.6666666666666665</v>
      </c>
      <c r="I193">
        <f>CLIENTS_CHURN34[[#This Row],[Duree_Cumulee_Panne_Min]]/60</f>
        <v>5.8</v>
      </c>
    </row>
    <row r="194" spans="1:9">
      <c r="A194" s="1" t="s">
        <v>395</v>
      </c>
      <c r="B194" t="s">
        <v>18</v>
      </c>
      <c r="C194">
        <v>7</v>
      </c>
      <c r="D194" t="s">
        <v>11</v>
      </c>
      <c r="E194">
        <v>347</v>
      </c>
      <c r="F194">
        <v>41.84</v>
      </c>
      <c r="G194">
        <v>2</v>
      </c>
      <c r="H194">
        <f>CLIENTS_CHURN34[[#This Row],[Anciennete_Mois]]/12</f>
        <v>0.58333333333333337</v>
      </c>
      <c r="I194">
        <f>CLIENTS_CHURN34[[#This Row],[Duree_Cumulee_Panne_Min]]/60</f>
        <v>5.7833333333333332</v>
      </c>
    </row>
    <row r="195" spans="1:9">
      <c r="A195" s="1" t="s">
        <v>242</v>
      </c>
      <c r="B195" t="s">
        <v>13</v>
      </c>
      <c r="C195">
        <v>13</v>
      </c>
      <c r="D195" t="s">
        <v>11</v>
      </c>
      <c r="E195">
        <v>347</v>
      </c>
      <c r="F195">
        <v>32.35</v>
      </c>
      <c r="G195">
        <v>2</v>
      </c>
      <c r="H195">
        <f>CLIENTS_CHURN34[[#This Row],[Anciennete_Mois]]/12</f>
        <v>1.0833333333333333</v>
      </c>
      <c r="I195">
        <f>CLIENTS_CHURN34[[#This Row],[Duree_Cumulee_Panne_Min]]/60</f>
        <v>5.7833333333333332</v>
      </c>
    </row>
    <row r="196" spans="1:9">
      <c r="A196" s="1" t="s">
        <v>344</v>
      </c>
      <c r="B196" t="s">
        <v>26</v>
      </c>
      <c r="C196">
        <v>109</v>
      </c>
      <c r="D196" t="s">
        <v>21</v>
      </c>
      <c r="E196">
        <v>347</v>
      </c>
      <c r="F196">
        <v>43.06</v>
      </c>
      <c r="G196">
        <v>4</v>
      </c>
      <c r="H196">
        <f>CLIENTS_CHURN34[[#This Row],[Anciennete_Mois]]/12</f>
        <v>9.0833333333333339</v>
      </c>
      <c r="I196">
        <f>CLIENTS_CHURN34[[#This Row],[Duree_Cumulee_Panne_Min]]/60</f>
        <v>5.7833333333333332</v>
      </c>
    </row>
    <row r="197" spans="1:9">
      <c r="A197" s="1" t="s">
        <v>140</v>
      </c>
      <c r="B197" t="s">
        <v>79</v>
      </c>
      <c r="C197">
        <v>53</v>
      </c>
      <c r="D197" t="s">
        <v>21</v>
      </c>
      <c r="E197">
        <v>345</v>
      </c>
      <c r="F197">
        <v>83.73</v>
      </c>
      <c r="G197">
        <v>0</v>
      </c>
      <c r="H197">
        <f>CLIENTS_CHURN34[[#This Row],[Anciennete_Mois]]/12</f>
        <v>4.416666666666667</v>
      </c>
      <c r="I197">
        <f>CLIENTS_CHURN34[[#This Row],[Duree_Cumulee_Panne_Min]]/60</f>
        <v>5.75</v>
      </c>
    </row>
    <row r="198" spans="1:9">
      <c r="A198" s="1" t="s">
        <v>705</v>
      </c>
      <c r="B198" t="s">
        <v>16</v>
      </c>
      <c r="C198">
        <v>19</v>
      </c>
      <c r="D198" t="s">
        <v>14</v>
      </c>
      <c r="E198">
        <v>345</v>
      </c>
      <c r="F198">
        <v>54.37</v>
      </c>
      <c r="G198">
        <v>2</v>
      </c>
      <c r="H198">
        <f>CLIENTS_CHURN34[[#This Row],[Anciennete_Mois]]/12</f>
        <v>1.5833333333333333</v>
      </c>
      <c r="I198">
        <f>CLIENTS_CHURN34[[#This Row],[Duree_Cumulee_Panne_Min]]/60</f>
        <v>5.75</v>
      </c>
    </row>
    <row r="199" spans="1:9">
      <c r="A199" s="1" t="s">
        <v>395</v>
      </c>
      <c r="B199" t="s">
        <v>36</v>
      </c>
      <c r="C199">
        <v>14</v>
      </c>
      <c r="D199" t="s">
        <v>11</v>
      </c>
      <c r="E199">
        <v>345</v>
      </c>
      <c r="F199">
        <v>39.57</v>
      </c>
      <c r="G199">
        <v>3</v>
      </c>
      <c r="H199">
        <f>CLIENTS_CHURN34[[#This Row],[Anciennete_Mois]]/12</f>
        <v>1.1666666666666667</v>
      </c>
      <c r="I199">
        <f>CLIENTS_CHURN34[[#This Row],[Duree_Cumulee_Panne_Min]]/60</f>
        <v>5.75</v>
      </c>
    </row>
    <row r="200" spans="1:9">
      <c r="A200" s="1" t="s">
        <v>85</v>
      </c>
      <c r="B200" t="s">
        <v>95</v>
      </c>
      <c r="C200">
        <v>40</v>
      </c>
      <c r="D200" t="s">
        <v>32</v>
      </c>
      <c r="E200">
        <v>345</v>
      </c>
      <c r="F200">
        <v>89.55</v>
      </c>
      <c r="G200">
        <v>3</v>
      </c>
      <c r="H200">
        <f>CLIENTS_CHURN34[[#This Row],[Anciennete_Mois]]/12</f>
        <v>3.3333333333333335</v>
      </c>
      <c r="I200">
        <f>CLIENTS_CHURN34[[#This Row],[Duree_Cumulee_Panne_Min]]/60</f>
        <v>5.75</v>
      </c>
    </row>
    <row r="201" spans="1:9">
      <c r="A201" s="1" t="s">
        <v>293</v>
      </c>
      <c r="B201" t="s">
        <v>43</v>
      </c>
      <c r="C201">
        <v>119</v>
      </c>
      <c r="D201" t="s">
        <v>11</v>
      </c>
      <c r="E201">
        <v>344</v>
      </c>
      <c r="F201">
        <v>10.28</v>
      </c>
      <c r="G201">
        <v>0</v>
      </c>
      <c r="H201">
        <f>CLIENTS_CHURN34[[#This Row],[Anciennete_Mois]]/12</f>
        <v>9.9166666666666661</v>
      </c>
      <c r="I201">
        <f>CLIENTS_CHURN34[[#This Row],[Duree_Cumulee_Panne_Min]]/60</f>
        <v>5.7333333333333334</v>
      </c>
    </row>
    <row r="202" spans="1:9">
      <c r="A202" s="1" t="s">
        <v>344</v>
      </c>
      <c r="B202" t="s">
        <v>76</v>
      </c>
      <c r="C202">
        <v>90</v>
      </c>
      <c r="D202" t="s">
        <v>21</v>
      </c>
      <c r="E202">
        <v>343</v>
      </c>
      <c r="F202">
        <v>82.05</v>
      </c>
      <c r="G202">
        <v>1</v>
      </c>
      <c r="H202">
        <f>CLIENTS_CHURN34[[#This Row],[Anciennete_Mois]]/12</f>
        <v>7.5</v>
      </c>
      <c r="I202">
        <f>CLIENTS_CHURN34[[#This Row],[Duree_Cumulee_Panne_Min]]/60</f>
        <v>5.7166666666666668</v>
      </c>
    </row>
    <row r="203" spans="1:9">
      <c r="A203" s="1" t="s">
        <v>705</v>
      </c>
      <c r="B203" t="s">
        <v>61</v>
      </c>
      <c r="C203">
        <v>28</v>
      </c>
      <c r="D203" t="s">
        <v>32</v>
      </c>
      <c r="E203">
        <v>343</v>
      </c>
      <c r="F203">
        <v>64.34</v>
      </c>
      <c r="G203">
        <v>5</v>
      </c>
      <c r="H203">
        <f>CLIENTS_CHURN34[[#This Row],[Anciennete_Mois]]/12</f>
        <v>2.3333333333333335</v>
      </c>
      <c r="I203">
        <f>CLIENTS_CHURN34[[#This Row],[Duree_Cumulee_Panne_Min]]/60</f>
        <v>5.7166666666666668</v>
      </c>
    </row>
    <row r="204" spans="1:9">
      <c r="A204" s="1" t="s">
        <v>551</v>
      </c>
      <c r="B204" t="s">
        <v>24</v>
      </c>
      <c r="C204">
        <v>6</v>
      </c>
      <c r="D204" t="s">
        <v>11</v>
      </c>
      <c r="E204">
        <v>342</v>
      </c>
      <c r="F204">
        <v>50.55</v>
      </c>
      <c r="G204">
        <v>5</v>
      </c>
      <c r="H204">
        <f>CLIENTS_CHURN34[[#This Row],[Anciennete_Mois]]/12</f>
        <v>0.5</v>
      </c>
      <c r="I204">
        <f>CLIENTS_CHURN34[[#This Row],[Duree_Cumulee_Panne_Min]]/60</f>
        <v>5.7</v>
      </c>
    </row>
    <row r="205" spans="1:9">
      <c r="A205" s="1" t="s">
        <v>293</v>
      </c>
      <c r="B205" t="s">
        <v>20</v>
      </c>
      <c r="C205">
        <v>47</v>
      </c>
      <c r="D205" t="s">
        <v>21</v>
      </c>
      <c r="E205">
        <v>340</v>
      </c>
      <c r="F205">
        <v>31.02</v>
      </c>
      <c r="G205">
        <v>5</v>
      </c>
      <c r="H205">
        <f>CLIENTS_CHURN34[[#This Row],[Anciennete_Mois]]/12</f>
        <v>3.9166666666666665</v>
      </c>
      <c r="I205">
        <f>CLIENTS_CHURN34[[#This Row],[Duree_Cumulee_Panne_Min]]/60</f>
        <v>5.666666666666667</v>
      </c>
    </row>
    <row r="206" spans="1:9">
      <c r="A206" s="1" t="s">
        <v>499</v>
      </c>
      <c r="B206" t="s">
        <v>29</v>
      </c>
      <c r="C206">
        <v>80</v>
      </c>
      <c r="D206" t="s">
        <v>11</v>
      </c>
      <c r="E206">
        <v>339</v>
      </c>
      <c r="F206">
        <v>59.87</v>
      </c>
      <c r="G206">
        <v>0</v>
      </c>
      <c r="H206">
        <f>CLIENTS_CHURN34[[#This Row],[Anciennete_Mois]]/12</f>
        <v>6.666666666666667</v>
      </c>
      <c r="I206">
        <f>CLIENTS_CHURN34[[#This Row],[Duree_Cumulee_Panne_Min]]/60</f>
        <v>5.65</v>
      </c>
    </row>
    <row r="207" spans="1:9">
      <c r="A207" s="1" t="s">
        <v>653</v>
      </c>
      <c r="B207" t="s">
        <v>76</v>
      </c>
      <c r="C207">
        <v>48</v>
      </c>
      <c r="D207" t="s">
        <v>32</v>
      </c>
      <c r="E207">
        <v>338</v>
      </c>
      <c r="F207">
        <v>74.42</v>
      </c>
      <c r="G207">
        <v>0</v>
      </c>
      <c r="H207">
        <f>CLIENTS_CHURN34[[#This Row],[Anciennete_Mois]]/12</f>
        <v>4</v>
      </c>
      <c r="I207">
        <f>CLIENTS_CHURN34[[#This Row],[Duree_Cumulee_Panne_Min]]/60</f>
        <v>5.6333333333333337</v>
      </c>
    </row>
    <row r="208" spans="1:9">
      <c r="A208" s="1" t="s">
        <v>395</v>
      </c>
      <c r="B208" t="s">
        <v>57</v>
      </c>
      <c r="C208">
        <v>117</v>
      </c>
      <c r="D208" t="s">
        <v>21</v>
      </c>
      <c r="E208">
        <v>338</v>
      </c>
      <c r="F208">
        <v>29.18</v>
      </c>
      <c r="G208">
        <v>5</v>
      </c>
      <c r="H208">
        <f>CLIENTS_CHURN34[[#This Row],[Anciennete_Mois]]/12</f>
        <v>9.75</v>
      </c>
      <c r="I208">
        <f>CLIENTS_CHURN34[[#This Row],[Duree_Cumulee_Panne_Min]]/60</f>
        <v>5.6333333333333337</v>
      </c>
    </row>
    <row r="209" spans="1:9">
      <c r="A209" s="1" t="s">
        <v>140</v>
      </c>
      <c r="B209" t="s">
        <v>24</v>
      </c>
      <c r="C209">
        <v>33</v>
      </c>
      <c r="D209" t="s">
        <v>21</v>
      </c>
      <c r="E209">
        <v>337</v>
      </c>
      <c r="F209">
        <v>62.61</v>
      </c>
      <c r="G209">
        <v>2</v>
      </c>
      <c r="H209">
        <f>CLIENTS_CHURN34[[#This Row],[Anciennete_Mois]]/12</f>
        <v>2.75</v>
      </c>
      <c r="I209">
        <f>CLIENTS_CHURN34[[#This Row],[Duree_Cumulee_Panne_Min]]/60</f>
        <v>5.6166666666666663</v>
      </c>
    </row>
    <row r="210" spans="1:9">
      <c r="A210" s="1" t="s">
        <v>344</v>
      </c>
      <c r="B210" t="s">
        <v>107</v>
      </c>
      <c r="C210">
        <v>5</v>
      </c>
      <c r="D210" t="s">
        <v>21</v>
      </c>
      <c r="E210">
        <v>337</v>
      </c>
      <c r="F210">
        <v>21.07</v>
      </c>
      <c r="G210">
        <v>4</v>
      </c>
      <c r="H210">
        <f>CLIENTS_CHURN34[[#This Row],[Anciennete_Mois]]/12</f>
        <v>0.41666666666666669</v>
      </c>
      <c r="I210">
        <f>CLIENTS_CHURN34[[#This Row],[Duree_Cumulee_Panne_Min]]/60</f>
        <v>5.6166666666666663</v>
      </c>
    </row>
    <row r="211" spans="1:9">
      <c r="A211" s="1" t="s">
        <v>602</v>
      </c>
      <c r="B211" t="s">
        <v>107</v>
      </c>
      <c r="C211">
        <v>51</v>
      </c>
      <c r="D211" t="s">
        <v>14</v>
      </c>
      <c r="E211">
        <v>337</v>
      </c>
      <c r="F211">
        <v>68.67</v>
      </c>
      <c r="G211">
        <v>5</v>
      </c>
      <c r="H211">
        <f>CLIENTS_CHURN34[[#This Row],[Anciennete_Mois]]/12</f>
        <v>4.25</v>
      </c>
      <c r="I211">
        <f>CLIENTS_CHURN34[[#This Row],[Duree_Cumulee_Panne_Min]]/60</f>
        <v>5.6166666666666663</v>
      </c>
    </row>
    <row r="212" spans="1:9">
      <c r="A212" s="1" t="s">
        <v>242</v>
      </c>
      <c r="B212" t="s">
        <v>18</v>
      </c>
      <c r="C212">
        <v>51</v>
      </c>
      <c r="D212" t="s">
        <v>11</v>
      </c>
      <c r="E212">
        <v>336</v>
      </c>
      <c r="F212">
        <v>65.47</v>
      </c>
      <c r="G212">
        <v>1</v>
      </c>
      <c r="H212">
        <f>CLIENTS_CHURN34[[#This Row],[Anciennete_Mois]]/12</f>
        <v>4.25</v>
      </c>
      <c r="I212">
        <f>CLIENTS_CHURN34[[#This Row],[Duree_Cumulee_Panne_Min]]/60</f>
        <v>5.6</v>
      </c>
    </row>
    <row r="213" spans="1:9">
      <c r="A213" s="1" t="s">
        <v>191</v>
      </c>
      <c r="B213" t="s">
        <v>71</v>
      </c>
      <c r="C213">
        <v>48</v>
      </c>
      <c r="D213" t="s">
        <v>14</v>
      </c>
      <c r="E213">
        <v>335</v>
      </c>
      <c r="F213">
        <v>85.09</v>
      </c>
      <c r="G213">
        <v>3</v>
      </c>
      <c r="H213">
        <f>CLIENTS_CHURN34[[#This Row],[Anciennete_Mois]]/12</f>
        <v>4</v>
      </c>
      <c r="I213">
        <f>CLIENTS_CHURN34[[#This Row],[Duree_Cumulee_Panne_Min]]/60</f>
        <v>5.583333333333333</v>
      </c>
    </row>
    <row r="214" spans="1:9">
      <c r="A214" s="1" t="s">
        <v>242</v>
      </c>
      <c r="B214" t="s">
        <v>36</v>
      </c>
      <c r="C214">
        <v>96</v>
      </c>
      <c r="D214" t="s">
        <v>32</v>
      </c>
      <c r="E214">
        <v>334</v>
      </c>
      <c r="F214">
        <v>64.77</v>
      </c>
      <c r="G214">
        <v>0</v>
      </c>
      <c r="H214">
        <f>CLIENTS_CHURN34[[#This Row],[Anciennete_Mois]]/12</f>
        <v>8</v>
      </c>
      <c r="I214">
        <f>CLIENTS_CHURN34[[#This Row],[Duree_Cumulee_Panne_Min]]/60</f>
        <v>5.5666666666666664</v>
      </c>
    </row>
    <row r="215" spans="1:9">
      <c r="A215" s="1" t="s">
        <v>344</v>
      </c>
      <c r="B215" t="s">
        <v>31</v>
      </c>
      <c r="C215">
        <v>19</v>
      </c>
      <c r="D215" t="s">
        <v>21</v>
      </c>
      <c r="E215">
        <v>334</v>
      </c>
      <c r="F215">
        <v>96.91</v>
      </c>
      <c r="G215">
        <v>1</v>
      </c>
      <c r="H215">
        <f>CLIENTS_CHURN34[[#This Row],[Anciennete_Mois]]/12</f>
        <v>1.5833333333333333</v>
      </c>
      <c r="I215">
        <f>CLIENTS_CHURN34[[#This Row],[Duree_Cumulee_Panne_Min]]/60</f>
        <v>5.5666666666666664</v>
      </c>
    </row>
    <row r="216" spans="1:9">
      <c r="A216" s="1" t="s">
        <v>191</v>
      </c>
      <c r="B216" t="s">
        <v>31</v>
      </c>
      <c r="C216">
        <v>60</v>
      </c>
      <c r="D216" t="s">
        <v>11</v>
      </c>
      <c r="E216">
        <v>334</v>
      </c>
      <c r="F216">
        <v>71.72</v>
      </c>
      <c r="G216">
        <v>3</v>
      </c>
      <c r="H216">
        <f>CLIENTS_CHURN34[[#This Row],[Anciennete_Mois]]/12</f>
        <v>5</v>
      </c>
      <c r="I216">
        <f>CLIENTS_CHURN34[[#This Row],[Duree_Cumulee_Panne_Min]]/60</f>
        <v>5.5666666666666664</v>
      </c>
    </row>
    <row r="217" spans="1:9">
      <c r="A217" s="1" t="s">
        <v>8</v>
      </c>
      <c r="B217" t="s">
        <v>45</v>
      </c>
      <c r="C217">
        <v>101</v>
      </c>
      <c r="D217" t="s">
        <v>11</v>
      </c>
      <c r="E217">
        <v>333</v>
      </c>
      <c r="F217">
        <v>74.319999999999993</v>
      </c>
      <c r="G217">
        <v>1</v>
      </c>
      <c r="H217">
        <f>CLIENTS_CHURN34[[#This Row],[Anciennete_Mois]]/12</f>
        <v>8.4166666666666661</v>
      </c>
      <c r="I217">
        <f>CLIENTS_CHURN34[[#This Row],[Duree_Cumulee_Panne_Min]]/60</f>
        <v>5.55</v>
      </c>
    </row>
    <row r="218" spans="1:9">
      <c r="A218" s="1" t="s">
        <v>140</v>
      </c>
      <c r="B218" t="s">
        <v>107</v>
      </c>
      <c r="C218">
        <v>56</v>
      </c>
      <c r="D218" t="s">
        <v>14</v>
      </c>
      <c r="E218">
        <v>333</v>
      </c>
      <c r="F218">
        <v>23.01</v>
      </c>
      <c r="G218">
        <v>2</v>
      </c>
      <c r="H218">
        <f>CLIENTS_CHURN34[[#This Row],[Anciennete_Mois]]/12</f>
        <v>4.666666666666667</v>
      </c>
      <c r="I218">
        <f>CLIENTS_CHURN34[[#This Row],[Duree_Cumulee_Panne_Min]]/60</f>
        <v>5.55</v>
      </c>
    </row>
    <row r="219" spans="1:9">
      <c r="A219" s="1" t="s">
        <v>85</v>
      </c>
      <c r="B219" t="s">
        <v>36</v>
      </c>
      <c r="C219">
        <v>72</v>
      </c>
      <c r="D219" t="s">
        <v>11</v>
      </c>
      <c r="E219">
        <v>333</v>
      </c>
      <c r="F219">
        <v>34.57</v>
      </c>
      <c r="G219">
        <v>2</v>
      </c>
      <c r="H219">
        <f>CLIENTS_CHURN34[[#This Row],[Anciennete_Mois]]/12</f>
        <v>6</v>
      </c>
      <c r="I219">
        <f>CLIENTS_CHURN34[[#This Row],[Duree_Cumulee_Panne_Min]]/60</f>
        <v>5.55</v>
      </c>
    </row>
    <row r="220" spans="1:9">
      <c r="A220" s="1" t="s">
        <v>653</v>
      </c>
      <c r="B220" t="s">
        <v>38</v>
      </c>
      <c r="C220">
        <v>35</v>
      </c>
      <c r="D220" t="s">
        <v>32</v>
      </c>
      <c r="E220">
        <v>332</v>
      </c>
      <c r="F220">
        <v>11.15</v>
      </c>
      <c r="G220">
        <v>0</v>
      </c>
      <c r="H220">
        <f>CLIENTS_CHURN34[[#This Row],[Anciennete_Mois]]/12</f>
        <v>2.9166666666666665</v>
      </c>
      <c r="I220">
        <f>CLIENTS_CHURN34[[#This Row],[Duree_Cumulee_Panne_Min]]/60</f>
        <v>5.5333333333333332</v>
      </c>
    </row>
    <row r="221" spans="1:9">
      <c r="A221" s="1" t="s">
        <v>242</v>
      </c>
      <c r="B221" t="s">
        <v>45</v>
      </c>
      <c r="C221">
        <v>33</v>
      </c>
      <c r="D221" t="s">
        <v>14</v>
      </c>
      <c r="E221">
        <v>332</v>
      </c>
      <c r="F221">
        <v>76.41</v>
      </c>
      <c r="G221">
        <v>1</v>
      </c>
      <c r="H221">
        <f>CLIENTS_CHURN34[[#This Row],[Anciennete_Mois]]/12</f>
        <v>2.75</v>
      </c>
      <c r="I221">
        <f>CLIENTS_CHURN34[[#This Row],[Duree_Cumulee_Panne_Min]]/60</f>
        <v>5.5333333333333332</v>
      </c>
    </row>
    <row r="222" spans="1:9">
      <c r="A222" s="1" t="s">
        <v>705</v>
      </c>
      <c r="B222" t="s">
        <v>61</v>
      </c>
      <c r="C222">
        <v>7</v>
      </c>
      <c r="D222" t="s">
        <v>11</v>
      </c>
      <c r="E222">
        <v>332</v>
      </c>
      <c r="F222">
        <v>83.95</v>
      </c>
      <c r="G222">
        <v>4</v>
      </c>
      <c r="H222">
        <f>CLIENTS_CHURN34[[#This Row],[Anciennete_Mois]]/12</f>
        <v>0.58333333333333337</v>
      </c>
      <c r="I222">
        <f>CLIENTS_CHURN34[[#This Row],[Duree_Cumulee_Panne_Min]]/60</f>
        <v>5.5333333333333332</v>
      </c>
    </row>
    <row r="223" spans="1:9">
      <c r="A223" s="1" t="s">
        <v>8</v>
      </c>
      <c r="B223" t="s">
        <v>13</v>
      </c>
      <c r="C223">
        <v>72</v>
      </c>
      <c r="D223" t="s">
        <v>14</v>
      </c>
      <c r="E223">
        <v>332</v>
      </c>
      <c r="F223">
        <v>83.36</v>
      </c>
      <c r="G223">
        <v>4</v>
      </c>
      <c r="H223">
        <f>CLIENTS_CHURN34[[#This Row],[Anciennete_Mois]]/12</f>
        <v>6</v>
      </c>
      <c r="I223">
        <f>CLIENTS_CHURN34[[#This Row],[Duree_Cumulee_Panne_Min]]/60</f>
        <v>5.5333333333333332</v>
      </c>
    </row>
    <row r="224" spans="1:9">
      <c r="A224" s="1" t="s">
        <v>344</v>
      </c>
      <c r="B224" t="s">
        <v>36</v>
      </c>
      <c r="C224">
        <v>76</v>
      </c>
      <c r="D224" t="s">
        <v>21</v>
      </c>
      <c r="E224">
        <v>332</v>
      </c>
      <c r="F224">
        <v>68.010000000000005</v>
      </c>
      <c r="G224">
        <v>4</v>
      </c>
      <c r="H224">
        <f>CLIENTS_CHURN34[[#This Row],[Anciennete_Mois]]/12</f>
        <v>6.333333333333333</v>
      </c>
      <c r="I224">
        <f>CLIENTS_CHURN34[[#This Row],[Duree_Cumulee_Panne_Min]]/60</f>
        <v>5.5333333333333332</v>
      </c>
    </row>
    <row r="225" spans="1:9">
      <c r="A225" s="1" t="s">
        <v>499</v>
      </c>
      <c r="B225" t="s">
        <v>13</v>
      </c>
      <c r="C225">
        <v>74</v>
      </c>
      <c r="D225" t="s">
        <v>21</v>
      </c>
      <c r="E225">
        <v>330</v>
      </c>
      <c r="F225">
        <v>37.82</v>
      </c>
      <c r="G225">
        <v>5</v>
      </c>
      <c r="H225">
        <f>CLIENTS_CHURN34[[#This Row],[Anciennete_Mois]]/12</f>
        <v>6.166666666666667</v>
      </c>
      <c r="I225">
        <f>CLIENTS_CHURN34[[#This Row],[Duree_Cumulee_Panne_Min]]/60</f>
        <v>5.5</v>
      </c>
    </row>
    <row r="226" spans="1:9">
      <c r="A226" s="1" t="s">
        <v>8</v>
      </c>
      <c r="B226" t="s">
        <v>40</v>
      </c>
      <c r="C226">
        <v>57</v>
      </c>
      <c r="D226" t="s">
        <v>21</v>
      </c>
      <c r="E226">
        <v>329</v>
      </c>
      <c r="F226">
        <v>50.39</v>
      </c>
      <c r="G226">
        <v>5</v>
      </c>
      <c r="H226">
        <f>CLIENTS_CHURN34[[#This Row],[Anciennete_Mois]]/12</f>
        <v>4.75</v>
      </c>
      <c r="I226">
        <f>CLIENTS_CHURN34[[#This Row],[Duree_Cumulee_Panne_Min]]/60</f>
        <v>5.4833333333333334</v>
      </c>
    </row>
    <row r="227" spans="1:9">
      <c r="A227" s="1" t="s">
        <v>447</v>
      </c>
      <c r="B227" t="s">
        <v>52</v>
      </c>
      <c r="C227">
        <v>47</v>
      </c>
      <c r="D227" t="s">
        <v>11</v>
      </c>
      <c r="E227">
        <v>328</v>
      </c>
      <c r="F227">
        <v>61.27</v>
      </c>
      <c r="G227">
        <v>3</v>
      </c>
      <c r="H227">
        <f>CLIENTS_CHURN34[[#This Row],[Anciennete_Mois]]/12</f>
        <v>3.9166666666666665</v>
      </c>
      <c r="I227">
        <f>CLIENTS_CHURN34[[#This Row],[Duree_Cumulee_Panne_Min]]/60</f>
        <v>5.4666666666666668</v>
      </c>
    </row>
    <row r="228" spans="1:9">
      <c r="A228" s="1" t="s">
        <v>447</v>
      </c>
      <c r="B228" t="s">
        <v>26</v>
      </c>
      <c r="C228">
        <v>39</v>
      </c>
      <c r="D228" t="s">
        <v>21</v>
      </c>
      <c r="E228">
        <v>327</v>
      </c>
      <c r="F228">
        <v>87.24</v>
      </c>
      <c r="G228">
        <v>4</v>
      </c>
      <c r="H228">
        <f>CLIENTS_CHURN34[[#This Row],[Anciennete_Mois]]/12</f>
        <v>3.25</v>
      </c>
      <c r="I228">
        <f>CLIENTS_CHURN34[[#This Row],[Duree_Cumulee_Panne_Min]]/60</f>
        <v>5.45</v>
      </c>
    </row>
    <row r="229" spans="1:9">
      <c r="A229" s="1" t="s">
        <v>140</v>
      </c>
      <c r="B229" t="s">
        <v>79</v>
      </c>
      <c r="C229">
        <v>1</v>
      </c>
      <c r="D229" t="s">
        <v>11</v>
      </c>
      <c r="E229">
        <v>326</v>
      </c>
      <c r="F229">
        <v>54.63</v>
      </c>
      <c r="G229">
        <v>3</v>
      </c>
      <c r="H229">
        <f>CLIENTS_CHURN34[[#This Row],[Anciennete_Mois]]/12</f>
        <v>8.3333333333333329E-2</v>
      </c>
      <c r="I229">
        <f>CLIENTS_CHURN34[[#This Row],[Duree_Cumulee_Panne_Min]]/60</f>
        <v>5.4333333333333336</v>
      </c>
    </row>
    <row r="230" spans="1:9">
      <c r="A230" s="1" t="s">
        <v>551</v>
      </c>
      <c r="B230" t="s">
        <v>61</v>
      </c>
      <c r="C230">
        <v>23</v>
      </c>
      <c r="D230" t="s">
        <v>14</v>
      </c>
      <c r="E230">
        <v>325</v>
      </c>
      <c r="F230">
        <v>65.489999999999995</v>
      </c>
      <c r="G230">
        <v>1</v>
      </c>
      <c r="H230">
        <f>CLIENTS_CHURN34[[#This Row],[Anciennete_Mois]]/12</f>
        <v>1.9166666666666667</v>
      </c>
      <c r="I230">
        <f>CLIENTS_CHURN34[[#This Row],[Duree_Cumulee_Panne_Min]]/60</f>
        <v>5.416666666666667</v>
      </c>
    </row>
    <row r="231" spans="1:9">
      <c r="A231" s="1" t="s">
        <v>293</v>
      </c>
      <c r="B231" t="s">
        <v>13</v>
      </c>
      <c r="C231">
        <v>99</v>
      </c>
      <c r="D231" t="s">
        <v>11</v>
      </c>
      <c r="E231">
        <v>325</v>
      </c>
      <c r="F231">
        <v>88.35</v>
      </c>
      <c r="G231">
        <v>4</v>
      </c>
      <c r="H231">
        <f>CLIENTS_CHURN34[[#This Row],[Anciennete_Mois]]/12</f>
        <v>8.25</v>
      </c>
      <c r="I231">
        <f>CLIENTS_CHURN34[[#This Row],[Duree_Cumulee_Panne_Min]]/60</f>
        <v>5.416666666666667</v>
      </c>
    </row>
    <row r="232" spans="1:9">
      <c r="A232" s="1" t="s">
        <v>85</v>
      </c>
      <c r="B232" t="s">
        <v>63</v>
      </c>
      <c r="C232">
        <v>111</v>
      </c>
      <c r="D232" t="s">
        <v>21</v>
      </c>
      <c r="E232">
        <v>324</v>
      </c>
      <c r="F232">
        <v>18.07</v>
      </c>
      <c r="G232">
        <v>2</v>
      </c>
      <c r="H232">
        <f>CLIENTS_CHURN34[[#This Row],[Anciennete_Mois]]/12</f>
        <v>9.25</v>
      </c>
      <c r="I232">
        <f>CLIENTS_CHURN34[[#This Row],[Duree_Cumulee_Panne_Min]]/60</f>
        <v>5.4</v>
      </c>
    </row>
    <row r="233" spans="1:9">
      <c r="A233" s="1" t="s">
        <v>242</v>
      </c>
      <c r="B233" t="s">
        <v>76</v>
      </c>
      <c r="C233">
        <v>108</v>
      </c>
      <c r="D233" t="s">
        <v>32</v>
      </c>
      <c r="E233">
        <v>323</v>
      </c>
      <c r="F233">
        <v>58.54</v>
      </c>
      <c r="G233">
        <v>2</v>
      </c>
      <c r="H233">
        <f>CLIENTS_CHURN34[[#This Row],[Anciennete_Mois]]/12</f>
        <v>9</v>
      </c>
      <c r="I233">
        <f>CLIENTS_CHURN34[[#This Row],[Duree_Cumulee_Panne_Min]]/60</f>
        <v>5.3833333333333337</v>
      </c>
    </row>
    <row r="234" spans="1:9">
      <c r="A234" s="1" t="s">
        <v>602</v>
      </c>
      <c r="B234" t="s">
        <v>31</v>
      </c>
      <c r="C234">
        <v>7</v>
      </c>
      <c r="D234" t="s">
        <v>11</v>
      </c>
      <c r="E234">
        <v>323</v>
      </c>
      <c r="F234">
        <v>82.81</v>
      </c>
      <c r="G234">
        <v>5</v>
      </c>
      <c r="H234">
        <f>CLIENTS_CHURN34[[#This Row],[Anciennete_Mois]]/12</f>
        <v>0.58333333333333337</v>
      </c>
      <c r="I234">
        <f>CLIENTS_CHURN34[[#This Row],[Duree_Cumulee_Panne_Min]]/60</f>
        <v>5.3833333333333337</v>
      </c>
    </row>
    <row r="235" spans="1:9">
      <c r="A235" s="1" t="s">
        <v>344</v>
      </c>
      <c r="B235" t="s">
        <v>63</v>
      </c>
      <c r="C235">
        <v>110</v>
      </c>
      <c r="D235" t="s">
        <v>32</v>
      </c>
      <c r="E235">
        <v>321</v>
      </c>
      <c r="F235">
        <v>81.569999999999993</v>
      </c>
      <c r="G235">
        <v>2</v>
      </c>
      <c r="H235">
        <f>CLIENTS_CHURN34[[#This Row],[Anciennete_Mois]]/12</f>
        <v>9.1666666666666661</v>
      </c>
      <c r="I235">
        <f>CLIENTS_CHURN34[[#This Row],[Duree_Cumulee_Panne_Min]]/60</f>
        <v>5.35</v>
      </c>
    </row>
    <row r="236" spans="1:9">
      <c r="A236" s="1" t="s">
        <v>293</v>
      </c>
      <c r="B236" t="s">
        <v>10</v>
      </c>
      <c r="C236">
        <v>21</v>
      </c>
      <c r="D236" t="s">
        <v>11</v>
      </c>
      <c r="E236">
        <v>320</v>
      </c>
      <c r="F236">
        <v>64.97</v>
      </c>
      <c r="G236">
        <v>1</v>
      </c>
      <c r="H236">
        <f>CLIENTS_CHURN34[[#This Row],[Anciennete_Mois]]/12</f>
        <v>1.75</v>
      </c>
      <c r="I236">
        <f>CLIENTS_CHURN34[[#This Row],[Duree_Cumulee_Panne_Min]]/60</f>
        <v>5.333333333333333</v>
      </c>
    </row>
    <row r="237" spans="1:9">
      <c r="A237" s="1" t="s">
        <v>140</v>
      </c>
      <c r="B237" t="s">
        <v>43</v>
      </c>
      <c r="C237">
        <v>88</v>
      </c>
      <c r="D237" t="s">
        <v>21</v>
      </c>
      <c r="E237">
        <v>319</v>
      </c>
      <c r="F237">
        <v>56.18</v>
      </c>
      <c r="G237">
        <v>0</v>
      </c>
      <c r="H237">
        <f>CLIENTS_CHURN34[[#This Row],[Anciennete_Mois]]/12</f>
        <v>7.333333333333333</v>
      </c>
      <c r="I237">
        <f>CLIENTS_CHURN34[[#This Row],[Duree_Cumulee_Panne_Min]]/60</f>
        <v>5.3166666666666664</v>
      </c>
    </row>
    <row r="238" spans="1:9">
      <c r="A238" s="1" t="s">
        <v>293</v>
      </c>
      <c r="B238" t="s">
        <v>71</v>
      </c>
      <c r="C238">
        <v>98</v>
      </c>
      <c r="D238" t="s">
        <v>32</v>
      </c>
      <c r="E238">
        <v>319</v>
      </c>
      <c r="F238">
        <v>88.58</v>
      </c>
      <c r="G238">
        <v>0</v>
      </c>
      <c r="H238">
        <f>CLIENTS_CHURN34[[#This Row],[Anciennete_Mois]]/12</f>
        <v>8.1666666666666661</v>
      </c>
      <c r="I238">
        <f>CLIENTS_CHURN34[[#This Row],[Duree_Cumulee_Panne_Min]]/60</f>
        <v>5.3166666666666664</v>
      </c>
    </row>
    <row r="239" spans="1:9">
      <c r="A239" s="1" t="s">
        <v>8</v>
      </c>
      <c r="B239" t="s">
        <v>24</v>
      </c>
      <c r="C239">
        <v>97</v>
      </c>
      <c r="D239" t="s">
        <v>11</v>
      </c>
      <c r="E239">
        <v>319</v>
      </c>
      <c r="F239">
        <v>31.25</v>
      </c>
      <c r="G239">
        <v>1</v>
      </c>
      <c r="H239">
        <f>CLIENTS_CHURN34[[#This Row],[Anciennete_Mois]]/12</f>
        <v>8.0833333333333339</v>
      </c>
      <c r="I239">
        <f>CLIENTS_CHURN34[[#This Row],[Duree_Cumulee_Panne_Min]]/60</f>
        <v>5.3166666666666664</v>
      </c>
    </row>
    <row r="240" spans="1:9">
      <c r="A240" s="1" t="s">
        <v>242</v>
      </c>
      <c r="B240" t="s">
        <v>24</v>
      </c>
      <c r="C240">
        <v>15</v>
      </c>
      <c r="D240" t="s">
        <v>14</v>
      </c>
      <c r="E240">
        <v>319</v>
      </c>
      <c r="F240">
        <v>78.150000000000006</v>
      </c>
      <c r="G240">
        <v>4</v>
      </c>
      <c r="H240">
        <f>CLIENTS_CHURN34[[#This Row],[Anciennete_Mois]]/12</f>
        <v>1.25</v>
      </c>
      <c r="I240">
        <f>CLIENTS_CHURN34[[#This Row],[Duree_Cumulee_Panne_Min]]/60</f>
        <v>5.3166666666666664</v>
      </c>
    </row>
    <row r="241" spans="1:9">
      <c r="A241" s="1" t="s">
        <v>140</v>
      </c>
      <c r="B241" t="s">
        <v>65</v>
      </c>
      <c r="C241">
        <v>7</v>
      </c>
      <c r="D241" t="s">
        <v>32</v>
      </c>
      <c r="E241">
        <v>317</v>
      </c>
      <c r="F241">
        <v>97.32</v>
      </c>
      <c r="G241">
        <v>1</v>
      </c>
      <c r="H241">
        <f>CLIENTS_CHURN34[[#This Row],[Anciennete_Mois]]/12</f>
        <v>0.58333333333333337</v>
      </c>
      <c r="I241">
        <f>CLIENTS_CHURN34[[#This Row],[Duree_Cumulee_Panne_Min]]/60</f>
        <v>5.2833333333333332</v>
      </c>
    </row>
    <row r="242" spans="1:9">
      <c r="A242" s="1" t="s">
        <v>705</v>
      </c>
      <c r="B242" t="s">
        <v>31</v>
      </c>
      <c r="C242">
        <v>72</v>
      </c>
      <c r="D242" t="s">
        <v>11</v>
      </c>
      <c r="E242">
        <v>317</v>
      </c>
      <c r="F242">
        <v>54.58</v>
      </c>
      <c r="G242">
        <v>1</v>
      </c>
      <c r="H242">
        <f>CLIENTS_CHURN34[[#This Row],[Anciennete_Mois]]/12</f>
        <v>6</v>
      </c>
      <c r="I242">
        <f>CLIENTS_CHURN34[[#This Row],[Duree_Cumulee_Panne_Min]]/60</f>
        <v>5.2833333333333332</v>
      </c>
    </row>
    <row r="243" spans="1:9">
      <c r="A243" s="1" t="s">
        <v>140</v>
      </c>
      <c r="B243" t="s">
        <v>31</v>
      </c>
      <c r="C243">
        <v>104</v>
      </c>
      <c r="D243" t="s">
        <v>11</v>
      </c>
      <c r="E243">
        <v>317</v>
      </c>
      <c r="F243">
        <v>79.150000000000006</v>
      </c>
      <c r="G243">
        <v>1</v>
      </c>
      <c r="H243">
        <f>CLIENTS_CHURN34[[#This Row],[Anciennete_Mois]]/12</f>
        <v>8.6666666666666661</v>
      </c>
      <c r="I243">
        <f>CLIENTS_CHURN34[[#This Row],[Duree_Cumulee_Panne_Min]]/60</f>
        <v>5.2833333333333332</v>
      </c>
    </row>
    <row r="244" spans="1:9">
      <c r="A244" s="1" t="s">
        <v>8</v>
      </c>
      <c r="B244" t="s">
        <v>63</v>
      </c>
      <c r="C244">
        <v>14</v>
      </c>
      <c r="D244" t="s">
        <v>11</v>
      </c>
      <c r="E244">
        <v>316</v>
      </c>
      <c r="F244">
        <v>62.34</v>
      </c>
      <c r="G244">
        <v>4</v>
      </c>
      <c r="H244">
        <f>CLIENTS_CHURN34[[#This Row],[Anciennete_Mois]]/12</f>
        <v>1.1666666666666667</v>
      </c>
      <c r="I244">
        <f>CLIENTS_CHURN34[[#This Row],[Duree_Cumulee_Panne_Min]]/60</f>
        <v>5.2666666666666666</v>
      </c>
    </row>
    <row r="245" spans="1:9">
      <c r="A245" s="1" t="s">
        <v>602</v>
      </c>
      <c r="B245" t="s">
        <v>40</v>
      </c>
      <c r="C245">
        <v>23</v>
      </c>
      <c r="D245" t="s">
        <v>32</v>
      </c>
      <c r="E245">
        <v>314</v>
      </c>
      <c r="F245">
        <v>19.260000000000002</v>
      </c>
      <c r="G245">
        <v>3</v>
      </c>
      <c r="H245">
        <f>CLIENTS_CHURN34[[#This Row],[Anciennete_Mois]]/12</f>
        <v>1.9166666666666667</v>
      </c>
      <c r="I245">
        <f>CLIENTS_CHURN34[[#This Row],[Duree_Cumulee_Panne_Min]]/60</f>
        <v>5.2333333333333334</v>
      </c>
    </row>
    <row r="246" spans="1:9">
      <c r="A246" s="1" t="s">
        <v>756</v>
      </c>
      <c r="B246" t="s">
        <v>111</v>
      </c>
      <c r="C246">
        <v>95</v>
      </c>
      <c r="D246" t="s">
        <v>32</v>
      </c>
      <c r="E246">
        <v>313</v>
      </c>
      <c r="F246">
        <v>32.49</v>
      </c>
      <c r="G246">
        <v>1</v>
      </c>
      <c r="H246">
        <f>CLIENTS_CHURN34[[#This Row],[Anciennete_Mois]]/12</f>
        <v>7.916666666666667</v>
      </c>
      <c r="I246">
        <f>CLIENTS_CHURN34[[#This Row],[Duree_Cumulee_Panne_Min]]/60</f>
        <v>5.2166666666666668</v>
      </c>
    </row>
    <row r="247" spans="1:9">
      <c r="A247" s="1" t="s">
        <v>756</v>
      </c>
      <c r="B247" t="s">
        <v>45</v>
      </c>
      <c r="C247">
        <v>82</v>
      </c>
      <c r="D247" t="s">
        <v>11</v>
      </c>
      <c r="E247">
        <v>312</v>
      </c>
      <c r="F247">
        <v>40.880000000000003</v>
      </c>
      <c r="G247">
        <v>0</v>
      </c>
      <c r="H247">
        <f>CLIENTS_CHURN34[[#This Row],[Anciennete_Mois]]/12</f>
        <v>6.833333333333333</v>
      </c>
      <c r="I247">
        <f>CLIENTS_CHURN34[[#This Row],[Duree_Cumulee_Panne_Min]]/60</f>
        <v>5.2</v>
      </c>
    </row>
    <row r="248" spans="1:9">
      <c r="A248" s="1" t="s">
        <v>8</v>
      </c>
      <c r="B248" t="s">
        <v>13</v>
      </c>
      <c r="C248">
        <v>78</v>
      </c>
      <c r="D248" t="s">
        <v>14</v>
      </c>
      <c r="E248">
        <v>312</v>
      </c>
      <c r="F248">
        <v>85.74</v>
      </c>
      <c r="G248">
        <v>2</v>
      </c>
      <c r="H248">
        <f>CLIENTS_CHURN34[[#This Row],[Anciennete_Mois]]/12</f>
        <v>6.5</v>
      </c>
      <c r="I248">
        <f>CLIENTS_CHURN34[[#This Row],[Duree_Cumulee_Panne_Min]]/60</f>
        <v>5.2</v>
      </c>
    </row>
    <row r="249" spans="1:9">
      <c r="A249" s="1" t="s">
        <v>395</v>
      </c>
      <c r="B249" t="s">
        <v>38</v>
      </c>
      <c r="C249">
        <v>36</v>
      </c>
      <c r="D249" t="s">
        <v>14</v>
      </c>
      <c r="E249">
        <v>311</v>
      </c>
      <c r="F249">
        <v>13.19</v>
      </c>
      <c r="G249">
        <v>4</v>
      </c>
      <c r="H249">
        <f>CLIENTS_CHURN34[[#This Row],[Anciennete_Mois]]/12</f>
        <v>3</v>
      </c>
      <c r="I249">
        <f>CLIENTS_CHURN34[[#This Row],[Duree_Cumulee_Panne_Min]]/60</f>
        <v>5.1833333333333336</v>
      </c>
    </row>
    <row r="250" spans="1:9">
      <c r="A250" s="1" t="s">
        <v>602</v>
      </c>
      <c r="B250" t="s">
        <v>43</v>
      </c>
      <c r="C250">
        <v>103</v>
      </c>
      <c r="D250" t="s">
        <v>32</v>
      </c>
      <c r="E250">
        <v>310</v>
      </c>
      <c r="F250">
        <v>49.25</v>
      </c>
      <c r="G250">
        <v>2</v>
      </c>
      <c r="H250">
        <f>CLIENTS_CHURN34[[#This Row],[Anciennete_Mois]]/12</f>
        <v>8.5833333333333339</v>
      </c>
      <c r="I250">
        <f>CLIENTS_CHURN34[[#This Row],[Duree_Cumulee_Panne_Min]]/60</f>
        <v>5.166666666666667</v>
      </c>
    </row>
    <row r="251" spans="1:9">
      <c r="A251" s="1" t="s">
        <v>602</v>
      </c>
      <c r="B251" t="s">
        <v>79</v>
      </c>
      <c r="C251">
        <v>17</v>
      </c>
      <c r="D251" t="s">
        <v>21</v>
      </c>
      <c r="E251">
        <v>310</v>
      </c>
      <c r="F251">
        <v>19.68</v>
      </c>
      <c r="G251">
        <v>5</v>
      </c>
      <c r="H251">
        <f>CLIENTS_CHURN34[[#This Row],[Anciennete_Mois]]/12</f>
        <v>1.4166666666666667</v>
      </c>
      <c r="I251">
        <f>CLIENTS_CHURN34[[#This Row],[Duree_Cumulee_Panne_Min]]/60</f>
        <v>5.166666666666667</v>
      </c>
    </row>
    <row r="252" spans="1:9">
      <c r="A252" s="1" t="s">
        <v>602</v>
      </c>
      <c r="B252" t="s">
        <v>36</v>
      </c>
      <c r="C252">
        <v>52</v>
      </c>
      <c r="D252" t="s">
        <v>14</v>
      </c>
      <c r="E252">
        <v>307</v>
      </c>
      <c r="F252">
        <v>81.38</v>
      </c>
      <c r="G252">
        <v>2</v>
      </c>
      <c r="H252">
        <f>CLIENTS_CHURN34[[#This Row],[Anciennete_Mois]]/12</f>
        <v>4.333333333333333</v>
      </c>
      <c r="I252">
        <f>CLIENTS_CHURN34[[#This Row],[Duree_Cumulee_Panne_Min]]/60</f>
        <v>5.1166666666666663</v>
      </c>
    </row>
    <row r="253" spans="1:9">
      <c r="A253" s="1" t="s">
        <v>242</v>
      </c>
      <c r="B253" t="s">
        <v>111</v>
      </c>
      <c r="C253">
        <v>21</v>
      </c>
      <c r="D253" t="s">
        <v>14</v>
      </c>
      <c r="E253">
        <v>307</v>
      </c>
      <c r="F253">
        <v>39.81</v>
      </c>
      <c r="G253">
        <v>5</v>
      </c>
      <c r="H253">
        <f>CLIENTS_CHURN34[[#This Row],[Anciennete_Mois]]/12</f>
        <v>1.75</v>
      </c>
      <c r="I253">
        <f>CLIENTS_CHURN34[[#This Row],[Duree_Cumulee_Panne_Min]]/60</f>
        <v>5.1166666666666663</v>
      </c>
    </row>
    <row r="254" spans="1:9">
      <c r="A254" s="1" t="s">
        <v>756</v>
      </c>
      <c r="B254" t="s">
        <v>43</v>
      </c>
      <c r="C254">
        <v>29</v>
      </c>
      <c r="D254" t="s">
        <v>14</v>
      </c>
      <c r="E254">
        <v>306</v>
      </c>
      <c r="F254">
        <v>82.16</v>
      </c>
      <c r="G254">
        <v>1</v>
      </c>
      <c r="H254">
        <f>CLIENTS_CHURN34[[#This Row],[Anciennete_Mois]]/12</f>
        <v>2.4166666666666665</v>
      </c>
      <c r="I254">
        <f>CLIENTS_CHURN34[[#This Row],[Duree_Cumulee_Panne_Min]]/60</f>
        <v>5.0999999999999996</v>
      </c>
    </row>
    <row r="255" spans="1:9">
      <c r="A255" s="1" t="s">
        <v>140</v>
      </c>
      <c r="B255" t="s">
        <v>38</v>
      </c>
      <c r="C255">
        <v>69</v>
      </c>
      <c r="D255" t="s">
        <v>14</v>
      </c>
      <c r="E255">
        <v>306</v>
      </c>
      <c r="F255">
        <v>13.97</v>
      </c>
      <c r="G255">
        <v>1</v>
      </c>
      <c r="H255">
        <f>CLIENTS_CHURN34[[#This Row],[Anciennete_Mois]]/12</f>
        <v>5.75</v>
      </c>
      <c r="I255">
        <f>CLIENTS_CHURN34[[#This Row],[Duree_Cumulee_Panne_Min]]/60</f>
        <v>5.0999999999999996</v>
      </c>
    </row>
    <row r="256" spans="1:9">
      <c r="A256" s="1" t="s">
        <v>242</v>
      </c>
      <c r="B256" t="s">
        <v>36</v>
      </c>
      <c r="C256">
        <v>60</v>
      </c>
      <c r="D256" t="s">
        <v>14</v>
      </c>
      <c r="E256">
        <v>306</v>
      </c>
      <c r="F256">
        <v>63.83</v>
      </c>
      <c r="G256">
        <v>2</v>
      </c>
      <c r="H256">
        <f>CLIENTS_CHURN34[[#This Row],[Anciennete_Mois]]/12</f>
        <v>5</v>
      </c>
      <c r="I256">
        <f>CLIENTS_CHURN34[[#This Row],[Duree_Cumulee_Panne_Min]]/60</f>
        <v>5.0999999999999996</v>
      </c>
    </row>
    <row r="257" spans="1:9">
      <c r="A257" s="1" t="s">
        <v>344</v>
      </c>
      <c r="B257" t="s">
        <v>76</v>
      </c>
      <c r="C257">
        <v>19</v>
      </c>
      <c r="D257" t="s">
        <v>14</v>
      </c>
      <c r="E257">
        <v>305</v>
      </c>
      <c r="F257">
        <v>81.11</v>
      </c>
      <c r="G257">
        <v>1</v>
      </c>
      <c r="H257">
        <f>CLIENTS_CHURN34[[#This Row],[Anciennete_Mois]]/12</f>
        <v>1.5833333333333333</v>
      </c>
      <c r="I257">
        <f>CLIENTS_CHURN34[[#This Row],[Duree_Cumulee_Panne_Min]]/60</f>
        <v>5.083333333333333</v>
      </c>
    </row>
    <row r="258" spans="1:9">
      <c r="A258" s="1" t="s">
        <v>85</v>
      </c>
      <c r="B258" t="s">
        <v>20</v>
      </c>
      <c r="C258">
        <v>12</v>
      </c>
      <c r="D258" t="s">
        <v>11</v>
      </c>
      <c r="E258">
        <v>305</v>
      </c>
      <c r="F258">
        <v>59.96</v>
      </c>
      <c r="G258">
        <v>3</v>
      </c>
      <c r="H258">
        <f>CLIENTS_CHURN34[[#This Row],[Anciennete_Mois]]/12</f>
        <v>1</v>
      </c>
      <c r="I258">
        <f>CLIENTS_CHURN34[[#This Row],[Duree_Cumulee_Panne_Min]]/60</f>
        <v>5.083333333333333</v>
      </c>
    </row>
    <row r="259" spans="1:9">
      <c r="A259" s="1" t="s">
        <v>140</v>
      </c>
      <c r="B259" t="s">
        <v>16</v>
      </c>
      <c r="C259">
        <v>114</v>
      </c>
      <c r="D259" t="s">
        <v>14</v>
      </c>
      <c r="E259">
        <v>304</v>
      </c>
      <c r="F259">
        <v>52.07</v>
      </c>
      <c r="G259">
        <v>1</v>
      </c>
      <c r="H259">
        <f>CLIENTS_CHURN34[[#This Row],[Anciennete_Mois]]/12</f>
        <v>9.5</v>
      </c>
      <c r="I259">
        <f>CLIENTS_CHURN34[[#This Row],[Duree_Cumulee_Panne_Min]]/60</f>
        <v>5.0666666666666664</v>
      </c>
    </row>
    <row r="260" spans="1:9">
      <c r="A260" s="1" t="s">
        <v>499</v>
      </c>
      <c r="B260" t="s">
        <v>65</v>
      </c>
      <c r="C260">
        <v>14</v>
      </c>
      <c r="D260" t="s">
        <v>21</v>
      </c>
      <c r="E260">
        <v>304</v>
      </c>
      <c r="F260">
        <v>48.13</v>
      </c>
      <c r="G260">
        <v>2</v>
      </c>
      <c r="H260">
        <f>CLIENTS_CHURN34[[#This Row],[Anciennete_Mois]]/12</f>
        <v>1.1666666666666667</v>
      </c>
      <c r="I260">
        <f>CLIENTS_CHURN34[[#This Row],[Duree_Cumulee_Panne_Min]]/60</f>
        <v>5.0666666666666664</v>
      </c>
    </row>
    <row r="261" spans="1:9">
      <c r="A261" s="1" t="s">
        <v>705</v>
      </c>
      <c r="B261" t="s">
        <v>10</v>
      </c>
      <c r="C261">
        <v>45</v>
      </c>
      <c r="D261" t="s">
        <v>11</v>
      </c>
      <c r="E261">
        <v>304</v>
      </c>
      <c r="F261">
        <v>65.540000000000006</v>
      </c>
      <c r="G261">
        <v>2</v>
      </c>
      <c r="H261">
        <f>CLIENTS_CHURN34[[#This Row],[Anciennete_Mois]]/12</f>
        <v>3.75</v>
      </c>
      <c r="I261">
        <f>CLIENTS_CHURN34[[#This Row],[Duree_Cumulee_Panne_Min]]/60</f>
        <v>5.0666666666666664</v>
      </c>
    </row>
    <row r="262" spans="1:9">
      <c r="A262" s="1" t="s">
        <v>653</v>
      </c>
      <c r="B262" t="s">
        <v>45</v>
      </c>
      <c r="C262">
        <v>111</v>
      </c>
      <c r="D262" t="s">
        <v>32</v>
      </c>
      <c r="E262">
        <v>304</v>
      </c>
      <c r="F262">
        <v>62.48</v>
      </c>
      <c r="G262">
        <v>5</v>
      </c>
      <c r="H262">
        <f>CLIENTS_CHURN34[[#This Row],[Anciennete_Mois]]/12</f>
        <v>9.25</v>
      </c>
      <c r="I262">
        <f>CLIENTS_CHURN34[[#This Row],[Duree_Cumulee_Panne_Min]]/60</f>
        <v>5.0666666666666664</v>
      </c>
    </row>
    <row r="263" spans="1:9">
      <c r="A263" s="1" t="s">
        <v>140</v>
      </c>
      <c r="B263" t="s">
        <v>13</v>
      </c>
      <c r="C263">
        <v>7</v>
      </c>
      <c r="D263" t="s">
        <v>32</v>
      </c>
      <c r="E263">
        <v>303</v>
      </c>
      <c r="F263">
        <v>60.95</v>
      </c>
      <c r="G263">
        <v>0</v>
      </c>
      <c r="H263">
        <f>CLIENTS_CHURN34[[#This Row],[Anciennete_Mois]]/12</f>
        <v>0.58333333333333337</v>
      </c>
      <c r="I263">
        <f>CLIENTS_CHURN34[[#This Row],[Duree_Cumulee_Panne_Min]]/60</f>
        <v>5.05</v>
      </c>
    </row>
    <row r="264" spans="1:9">
      <c r="A264" s="1" t="s">
        <v>344</v>
      </c>
      <c r="B264" t="s">
        <v>107</v>
      </c>
      <c r="C264">
        <v>14</v>
      </c>
      <c r="D264" t="s">
        <v>11</v>
      </c>
      <c r="E264">
        <v>303</v>
      </c>
      <c r="F264">
        <v>61.43</v>
      </c>
      <c r="G264">
        <v>1</v>
      </c>
      <c r="H264">
        <f>CLIENTS_CHURN34[[#This Row],[Anciennete_Mois]]/12</f>
        <v>1.1666666666666667</v>
      </c>
      <c r="I264">
        <f>CLIENTS_CHURN34[[#This Row],[Duree_Cumulee_Panne_Min]]/60</f>
        <v>5.05</v>
      </c>
    </row>
    <row r="265" spans="1:9">
      <c r="A265" s="1" t="s">
        <v>447</v>
      </c>
      <c r="B265" t="s">
        <v>31</v>
      </c>
      <c r="C265">
        <v>36</v>
      </c>
      <c r="D265" t="s">
        <v>14</v>
      </c>
      <c r="E265">
        <v>303</v>
      </c>
      <c r="F265">
        <v>89.56</v>
      </c>
      <c r="G265">
        <v>1</v>
      </c>
      <c r="H265">
        <f>CLIENTS_CHURN34[[#This Row],[Anciennete_Mois]]/12</f>
        <v>3</v>
      </c>
      <c r="I265">
        <f>CLIENTS_CHURN34[[#This Row],[Duree_Cumulee_Panne_Min]]/60</f>
        <v>5.05</v>
      </c>
    </row>
    <row r="266" spans="1:9">
      <c r="A266" s="1" t="s">
        <v>85</v>
      </c>
      <c r="B266" t="s">
        <v>92</v>
      </c>
      <c r="C266">
        <v>91</v>
      </c>
      <c r="D266" t="s">
        <v>14</v>
      </c>
      <c r="E266">
        <v>300</v>
      </c>
      <c r="F266">
        <v>82.19</v>
      </c>
      <c r="G266">
        <v>1</v>
      </c>
      <c r="H266">
        <f>CLIENTS_CHURN34[[#This Row],[Anciennete_Mois]]/12</f>
        <v>7.583333333333333</v>
      </c>
      <c r="I266">
        <f>CLIENTS_CHURN34[[#This Row],[Duree_Cumulee_Panne_Min]]/60</f>
        <v>5</v>
      </c>
    </row>
    <row r="267" spans="1:9">
      <c r="A267" s="1" t="s">
        <v>140</v>
      </c>
      <c r="B267" t="s">
        <v>31</v>
      </c>
      <c r="C267">
        <v>64</v>
      </c>
      <c r="D267" t="s">
        <v>11</v>
      </c>
      <c r="E267">
        <v>300</v>
      </c>
      <c r="F267">
        <v>28.11</v>
      </c>
      <c r="G267">
        <v>2</v>
      </c>
      <c r="H267">
        <f>CLIENTS_CHURN34[[#This Row],[Anciennete_Mois]]/12</f>
        <v>5.333333333333333</v>
      </c>
      <c r="I267">
        <f>CLIENTS_CHURN34[[#This Row],[Duree_Cumulee_Panne_Min]]/60</f>
        <v>5</v>
      </c>
    </row>
    <row r="268" spans="1:9">
      <c r="A268" s="1" t="s">
        <v>85</v>
      </c>
      <c r="B268" t="s">
        <v>29</v>
      </c>
      <c r="C268">
        <v>103</v>
      </c>
      <c r="D268" t="s">
        <v>14</v>
      </c>
      <c r="E268">
        <v>300</v>
      </c>
      <c r="F268">
        <v>13.76</v>
      </c>
      <c r="G268">
        <v>4</v>
      </c>
      <c r="H268">
        <f>CLIENTS_CHURN34[[#This Row],[Anciennete_Mois]]/12</f>
        <v>8.5833333333333339</v>
      </c>
      <c r="I268">
        <f>CLIENTS_CHURN34[[#This Row],[Duree_Cumulee_Panne_Min]]/60</f>
        <v>5</v>
      </c>
    </row>
    <row r="269" spans="1:9">
      <c r="A269" s="1" t="s">
        <v>191</v>
      </c>
      <c r="B269" t="s">
        <v>31</v>
      </c>
      <c r="C269">
        <v>118</v>
      </c>
      <c r="D269" t="s">
        <v>14</v>
      </c>
      <c r="E269">
        <v>300</v>
      </c>
      <c r="F269">
        <v>98.22</v>
      </c>
      <c r="G269">
        <v>4</v>
      </c>
      <c r="H269">
        <f>CLIENTS_CHURN34[[#This Row],[Anciennete_Mois]]/12</f>
        <v>9.8333333333333339</v>
      </c>
      <c r="I269">
        <f>CLIENTS_CHURN34[[#This Row],[Duree_Cumulee_Panne_Min]]/60</f>
        <v>5</v>
      </c>
    </row>
    <row r="270" spans="1:9">
      <c r="A270" s="1" t="s">
        <v>293</v>
      </c>
      <c r="B270" t="s">
        <v>26</v>
      </c>
      <c r="C270">
        <v>90</v>
      </c>
      <c r="D270" t="s">
        <v>11</v>
      </c>
      <c r="E270">
        <v>299</v>
      </c>
      <c r="F270">
        <v>71.760000000000005</v>
      </c>
      <c r="G270">
        <v>1</v>
      </c>
      <c r="H270">
        <f>CLIENTS_CHURN34[[#This Row],[Anciennete_Mois]]/12</f>
        <v>7.5</v>
      </c>
      <c r="I270">
        <f>CLIENTS_CHURN34[[#This Row],[Duree_Cumulee_Panne_Min]]/60</f>
        <v>4.9833333333333334</v>
      </c>
    </row>
    <row r="271" spans="1:9">
      <c r="A271" s="1" t="s">
        <v>705</v>
      </c>
      <c r="B271" t="s">
        <v>43</v>
      </c>
      <c r="C271">
        <v>35</v>
      </c>
      <c r="D271" t="s">
        <v>11</v>
      </c>
      <c r="E271">
        <v>299</v>
      </c>
      <c r="F271">
        <v>96.32</v>
      </c>
      <c r="G271">
        <v>4</v>
      </c>
      <c r="H271">
        <f>CLIENTS_CHURN34[[#This Row],[Anciennete_Mois]]/12</f>
        <v>2.9166666666666665</v>
      </c>
      <c r="I271">
        <f>CLIENTS_CHURN34[[#This Row],[Duree_Cumulee_Panne_Min]]/60</f>
        <v>4.9833333333333334</v>
      </c>
    </row>
    <row r="272" spans="1:9">
      <c r="A272" s="1" t="s">
        <v>293</v>
      </c>
      <c r="B272" t="s">
        <v>43</v>
      </c>
      <c r="C272">
        <v>81</v>
      </c>
      <c r="D272" t="s">
        <v>11</v>
      </c>
      <c r="E272">
        <v>298</v>
      </c>
      <c r="F272">
        <v>53.61</v>
      </c>
      <c r="G272">
        <v>2</v>
      </c>
      <c r="H272">
        <f>CLIENTS_CHURN34[[#This Row],[Anciennete_Mois]]/12</f>
        <v>6.75</v>
      </c>
      <c r="I272">
        <f>CLIENTS_CHURN34[[#This Row],[Duree_Cumulee_Panne_Min]]/60</f>
        <v>4.9666666666666668</v>
      </c>
    </row>
    <row r="273" spans="1:9">
      <c r="A273" s="1" t="s">
        <v>705</v>
      </c>
      <c r="B273" t="s">
        <v>36</v>
      </c>
      <c r="C273">
        <v>20</v>
      </c>
      <c r="D273" t="s">
        <v>14</v>
      </c>
      <c r="E273">
        <v>297</v>
      </c>
      <c r="F273">
        <v>14.77</v>
      </c>
      <c r="G273">
        <v>0</v>
      </c>
      <c r="H273">
        <f>CLIENTS_CHURN34[[#This Row],[Anciennete_Mois]]/12</f>
        <v>1.6666666666666667</v>
      </c>
      <c r="I273">
        <f>CLIENTS_CHURN34[[#This Row],[Duree_Cumulee_Panne_Min]]/60</f>
        <v>4.95</v>
      </c>
    </row>
    <row r="274" spans="1:9">
      <c r="A274" s="1" t="s">
        <v>499</v>
      </c>
      <c r="B274" t="s">
        <v>18</v>
      </c>
      <c r="C274">
        <v>105</v>
      </c>
      <c r="D274" t="s">
        <v>11</v>
      </c>
      <c r="E274">
        <v>297</v>
      </c>
      <c r="F274">
        <v>84.66</v>
      </c>
      <c r="G274">
        <v>2</v>
      </c>
      <c r="H274">
        <f>CLIENTS_CHURN34[[#This Row],[Anciennete_Mois]]/12</f>
        <v>8.75</v>
      </c>
      <c r="I274">
        <f>CLIENTS_CHURN34[[#This Row],[Duree_Cumulee_Panne_Min]]/60</f>
        <v>4.95</v>
      </c>
    </row>
    <row r="275" spans="1:9">
      <c r="A275" s="1" t="s">
        <v>191</v>
      </c>
      <c r="B275" t="s">
        <v>26</v>
      </c>
      <c r="C275">
        <v>97</v>
      </c>
      <c r="D275" t="s">
        <v>32</v>
      </c>
      <c r="E275">
        <v>296</v>
      </c>
      <c r="F275">
        <v>10.87</v>
      </c>
      <c r="G275">
        <v>4</v>
      </c>
      <c r="H275">
        <f>CLIENTS_CHURN34[[#This Row],[Anciennete_Mois]]/12</f>
        <v>8.0833333333333339</v>
      </c>
      <c r="I275">
        <f>CLIENTS_CHURN34[[#This Row],[Duree_Cumulee_Panne_Min]]/60</f>
        <v>4.9333333333333336</v>
      </c>
    </row>
    <row r="276" spans="1:9">
      <c r="A276" s="1" t="s">
        <v>140</v>
      </c>
      <c r="B276" t="s">
        <v>26</v>
      </c>
      <c r="C276">
        <v>58</v>
      </c>
      <c r="D276" t="s">
        <v>14</v>
      </c>
      <c r="E276">
        <v>293</v>
      </c>
      <c r="F276">
        <v>88.85</v>
      </c>
      <c r="G276">
        <v>5</v>
      </c>
      <c r="H276">
        <f>CLIENTS_CHURN34[[#This Row],[Anciennete_Mois]]/12</f>
        <v>4.833333333333333</v>
      </c>
      <c r="I276">
        <f>CLIENTS_CHURN34[[#This Row],[Duree_Cumulee_Panne_Min]]/60</f>
        <v>4.8833333333333337</v>
      </c>
    </row>
    <row r="277" spans="1:9">
      <c r="A277" s="1" t="s">
        <v>447</v>
      </c>
      <c r="B277" t="s">
        <v>16</v>
      </c>
      <c r="C277">
        <v>35</v>
      </c>
      <c r="D277" t="s">
        <v>11</v>
      </c>
      <c r="E277">
        <v>292</v>
      </c>
      <c r="F277">
        <v>39.21</v>
      </c>
      <c r="G277">
        <v>1</v>
      </c>
      <c r="H277">
        <f>CLIENTS_CHURN34[[#This Row],[Anciennete_Mois]]/12</f>
        <v>2.9166666666666665</v>
      </c>
      <c r="I277">
        <f>CLIENTS_CHURN34[[#This Row],[Duree_Cumulee_Panne_Min]]/60</f>
        <v>4.8666666666666663</v>
      </c>
    </row>
    <row r="278" spans="1:9">
      <c r="A278" s="1" t="s">
        <v>242</v>
      </c>
      <c r="B278" t="s">
        <v>20</v>
      </c>
      <c r="C278">
        <v>18</v>
      </c>
      <c r="D278" t="s">
        <v>14</v>
      </c>
      <c r="E278">
        <v>291</v>
      </c>
      <c r="F278">
        <v>97.98</v>
      </c>
      <c r="G278">
        <v>1</v>
      </c>
      <c r="H278">
        <f>CLIENTS_CHURN34[[#This Row],[Anciennete_Mois]]/12</f>
        <v>1.5</v>
      </c>
      <c r="I278">
        <f>CLIENTS_CHURN34[[#This Row],[Duree_Cumulee_Panne_Min]]/60</f>
        <v>4.8499999999999996</v>
      </c>
    </row>
    <row r="279" spans="1:9">
      <c r="A279" s="1" t="s">
        <v>499</v>
      </c>
      <c r="B279" t="s">
        <v>16</v>
      </c>
      <c r="C279">
        <v>103</v>
      </c>
      <c r="D279" t="s">
        <v>21</v>
      </c>
      <c r="E279">
        <v>291</v>
      </c>
      <c r="F279">
        <v>60.34</v>
      </c>
      <c r="G279">
        <v>5</v>
      </c>
      <c r="H279">
        <f>CLIENTS_CHURN34[[#This Row],[Anciennete_Mois]]/12</f>
        <v>8.5833333333333339</v>
      </c>
      <c r="I279">
        <f>CLIENTS_CHURN34[[#This Row],[Duree_Cumulee_Panne_Min]]/60</f>
        <v>4.8499999999999996</v>
      </c>
    </row>
    <row r="280" spans="1:9">
      <c r="A280" s="1" t="s">
        <v>602</v>
      </c>
      <c r="B280" t="s">
        <v>18</v>
      </c>
      <c r="C280">
        <v>107</v>
      </c>
      <c r="D280" t="s">
        <v>21</v>
      </c>
      <c r="E280">
        <v>290</v>
      </c>
      <c r="F280">
        <v>52.03</v>
      </c>
      <c r="G280">
        <v>0</v>
      </c>
      <c r="H280">
        <f>CLIENTS_CHURN34[[#This Row],[Anciennete_Mois]]/12</f>
        <v>8.9166666666666661</v>
      </c>
      <c r="I280">
        <f>CLIENTS_CHURN34[[#This Row],[Duree_Cumulee_Panne_Min]]/60</f>
        <v>4.833333333333333</v>
      </c>
    </row>
    <row r="281" spans="1:9">
      <c r="A281" s="1" t="s">
        <v>85</v>
      </c>
      <c r="B281" t="s">
        <v>71</v>
      </c>
      <c r="C281">
        <v>70</v>
      </c>
      <c r="D281" t="s">
        <v>11</v>
      </c>
      <c r="E281">
        <v>290</v>
      </c>
      <c r="F281">
        <v>96.31</v>
      </c>
      <c r="G281">
        <v>1</v>
      </c>
      <c r="H281">
        <f>CLIENTS_CHURN34[[#This Row],[Anciennete_Mois]]/12</f>
        <v>5.833333333333333</v>
      </c>
      <c r="I281">
        <f>CLIENTS_CHURN34[[#This Row],[Duree_Cumulee_Panne_Min]]/60</f>
        <v>4.833333333333333</v>
      </c>
    </row>
    <row r="282" spans="1:9">
      <c r="A282" s="1" t="s">
        <v>705</v>
      </c>
      <c r="B282" t="s">
        <v>95</v>
      </c>
      <c r="C282">
        <v>110</v>
      </c>
      <c r="D282" t="s">
        <v>32</v>
      </c>
      <c r="E282">
        <v>289</v>
      </c>
      <c r="F282">
        <v>83.67</v>
      </c>
      <c r="G282">
        <v>4</v>
      </c>
      <c r="H282">
        <f>CLIENTS_CHURN34[[#This Row],[Anciennete_Mois]]/12</f>
        <v>9.1666666666666661</v>
      </c>
      <c r="I282">
        <f>CLIENTS_CHURN34[[#This Row],[Duree_Cumulee_Panne_Min]]/60</f>
        <v>4.8166666666666664</v>
      </c>
    </row>
    <row r="283" spans="1:9">
      <c r="A283" s="1" t="s">
        <v>756</v>
      </c>
      <c r="B283" t="s">
        <v>107</v>
      </c>
      <c r="C283">
        <v>49</v>
      </c>
      <c r="D283" t="s">
        <v>14</v>
      </c>
      <c r="E283">
        <v>288</v>
      </c>
      <c r="F283">
        <v>91.32</v>
      </c>
      <c r="G283">
        <v>4</v>
      </c>
      <c r="H283">
        <f>CLIENTS_CHURN34[[#This Row],[Anciennete_Mois]]/12</f>
        <v>4.083333333333333</v>
      </c>
      <c r="I283">
        <f>CLIENTS_CHURN34[[#This Row],[Duree_Cumulee_Panne_Min]]/60</f>
        <v>4.8</v>
      </c>
    </row>
    <row r="284" spans="1:9">
      <c r="A284" s="1" t="s">
        <v>191</v>
      </c>
      <c r="B284" t="s">
        <v>26</v>
      </c>
      <c r="C284">
        <v>33</v>
      </c>
      <c r="D284" t="s">
        <v>32</v>
      </c>
      <c r="E284">
        <v>285</v>
      </c>
      <c r="F284">
        <v>56.67</v>
      </c>
      <c r="G284">
        <v>2</v>
      </c>
      <c r="H284">
        <f>CLIENTS_CHURN34[[#This Row],[Anciennete_Mois]]/12</f>
        <v>2.75</v>
      </c>
      <c r="I284">
        <f>CLIENTS_CHURN34[[#This Row],[Duree_Cumulee_Panne_Min]]/60</f>
        <v>4.75</v>
      </c>
    </row>
    <row r="285" spans="1:9">
      <c r="A285" s="1" t="s">
        <v>8</v>
      </c>
      <c r="B285" t="s">
        <v>40</v>
      </c>
      <c r="C285">
        <v>46</v>
      </c>
      <c r="D285" t="s">
        <v>32</v>
      </c>
      <c r="E285">
        <v>283</v>
      </c>
      <c r="F285">
        <v>56.05</v>
      </c>
      <c r="G285">
        <v>1</v>
      </c>
      <c r="H285">
        <f>CLIENTS_CHURN34[[#This Row],[Anciennete_Mois]]/12</f>
        <v>3.8333333333333335</v>
      </c>
      <c r="I285">
        <f>CLIENTS_CHURN34[[#This Row],[Duree_Cumulee_Panne_Min]]/60</f>
        <v>4.7166666666666668</v>
      </c>
    </row>
    <row r="286" spans="1:9">
      <c r="A286" s="1" t="s">
        <v>85</v>
      </c>
      <c r="B286" t="s">
        <v>92</v>
      </c>
      <c r="C286">
        <v>102</v>
      </c>
      <c r="D286" t="s">
        <v>11</v>
      </c>
      <c r="E286">
        <v>283</v>
      </c>
      <c r="F286">
        <v>28.98</v>
      </c>
      <c r="G286">
        <v>3</v>
      </c>
      <c r="H286">
        <f>CLIENTS_CHURN34[[#This Row],[Anciennete_Mois]]/12</f>
        <v>8.5</v>
      </c>
      <c r="I286">
        <f>CLIENTS_CHURN34[[#This Row],[Duree_Cumulee_Panne_Min]]/60</f>
        <v>4.7166666666666668</v>
      </c>
    </row>
    <row r="287" spans="1:9">
      <c r="A287" s="1" t="s">
        <v>85</v>
      </c>
      <c r="B287" t="s">
        <v>31</v>
      </c>
      <c r="C287">
        <v>114</v>
      </c>
      <c r="D287" t="s">
        <v>32</v>
      </c>
      <c r="E287">
        <v>283</v>
      </c>
      <c r="F287">
        <v>29.15</v>
      </c>
      <c r="G287">
        <v>3</v>
      </c>
      <c r="H287">
        <f>CLIENTS_CHURN34[[#This Row],[Anciennete_Mois]]/12</f>
        <v>9.5</v>
      </c>
      <c r="I287">
        <f>CLIENTS_CHURN34[[#This Row],[Duree_Cumulee_Panne_Min]]/60</f>
        <v>4.7166666666666668</v>
      </c>
    </row>
    <row r="288" spans="1:9">
      <c r="A288" s="1" t="s">
        <v>447</v>
      </c>
      <c r="B288" t="s">
        <v>107</v>
      </c>
      <c r="C288">
        <v>117</v>
      </c>
      <c r="D288" t="s">
        <v>32</v>
      </c>
      <c r="E288">
        <v>282</v>
      </c>
      <c r="F288">
        <v>95.11</v>
      </c>
      <c r="G288">
        <v>0</v>
      </c>
      <c r="H288">
        <f>CLIENTS_CHURN34[[#This Row],[Anciennete_Mois]]/12</f>
        <v>9.75</v>
      </c>
      <c r="I288">
        <f>CLIENTS_CHURN34[[#This Row],[Duree_Cumulee_Panne_Min]]/60</f>
        <v>4.7</v>
      </c>
    </row>
    <row r="289" spans="1:9">
      <c r="A289" s="1" t="s">
        <v>756</v>
      </c>
      <c r="B289" t="s">
        <v>36</v>
      </c>
      <c r="C289">
        <v>68</v>
      </c>
      <c r="D289" t="s">
        <v>11</v>
      </c>
      <c r="E289">
        <v>282</v>
      </c>
      <c r="F289">
        <v>35.43</v>
      </c>
      <c r="G289">
        <v>1</v>
      </c>
      <c r="H289">
        <f>CLIENTS_CHURN34[[#This Row],[Anciennete_Mois]]/12</f>
        <v>5.666666666666667</v>
      </c>
      <c r="I289">
        <f>CLIENTS_CHURN34[[#This Row],[Duree_Cumulee_Panne_Min]]/60</f>
        <v>4.7</v>
      </c>
    </row>
    <row r="290" spans="1:9">
      <c r="A290" s="1" t="s">
        <v>191</v>
      </c>
      <c r="B290" t="s">
        <v>29</v>
      </c>
      <c r="C290">
        <v>75</v>
      </c>
      <c r="D290" t="s">
        <v>14</v>
      </c>
      <c r="E290">
        <v>282</v>
      </c>
      <c r="F290">
        <v>45.16</v>
      </c>
      <c r="G290">
        <v>5</v>
      </c>
      <c r="H290">
        <f>CLIENTS_CHURN34[[#This Row],[Anciennete_Mois]]/12</f>
        <v>6.25</v>
      </c>
      <c r="I290">
        <f>CLIENTS_CHURN34[[#This Row],[Duree_Cumulee_Panne_Min]]/60</f>
        <v>4.7</v>
      </c>
    </row>
    <row r="291" spans="1:9">
      <c r="A291" s="1" t="s">
        <v>653</v>
      </c>
      <c r="B291" t="s">
        <v>52</v>
      </c>
      <c r="C291">
        <v>112</v>
      </c>
      <c r="D291" t="s">
        <v>21</v>
      </c>
      <c r="E291">
        <v>281</v>
      </c>
      <c r="F291">
        <v>80.72</v>
      </c>
      <c r="G291">
        <v>2</v>
      </c>
      <c r="H291">
        <f>CLIENTS_CHURN34[[#This Row],[Anciennete_Mois]]/12</f>
        <v>9.3333333333333339</v>
      </c>
      <c r="I291">
        <f>CLIENTS_CHURN34[[#This Row],[Duree_Cumulee_Panne_Min]]/60</f>
        <v>4.6833333333333336</v>
      </c>
    </row>
    <row r="292" spans="1:9">
      <c r="A292" s="1" t="s">
        <v>756</v>
      </c>
      <c r="B292" t="s">
        <v>92</v>
      </c>
      <c r="C292">
        <v>96</v>
      </c>
      <c r="D292" t="s">
        <v>11</v>
      </c>
      <c r="E292">
        <v>280</v>
      </c>
      <c r="F292">
        <v>80.36</v>
      </c>
      <c r="G292">
        <v>5</v>
      </c>
      <c r="H292">
        <f>CLIENTS_CHURN34[[#This Row],[Anciennete_Mois]]/12</f>
        <v>8</v>
      </c>
      <c r="I292">
        <f>CLIENTS_CHURN34[[#This Row],[Duree_Cumulee_Panne_Min]]/60</f>
        <v>4.666666666666667</v>
      </c>
    </row>
    <row r="293" spans="1:9">
      <c r="A293" s="1" t="s">
        <v>602</v>
      </c>
      <c r="B293" t="s">
        <v>107</v>
      </c>
      <c r="C293">
        <v>116</v>
      </c>
      <c r="D293" t="s">
        <v>32</v>
      </c>
      <c r="E293">
        <v>279</v>
      </c>
      <c r="F293">
        <v>62.88</v>
      </c>
      <c r="G293">
        <v>4</v>
      </c>
      <c r="H293">
        <f>CLIENTS_CHURN34[[#This Row],[Anciennete_Mois]]/12</f>
        <v>9.6666666666666661</v>
      </c>
      <c r="I293">
        <f>CLIENTS_CHURN34[[#This Row],[Duree_Cumulee_Panne_Min]]/60</f>
        <v>4.6500000000000004</v>
      </c>
    </row>
    <row r="294" spans="1:9">
      <c r="A294" s="1" t="s">
        <v>705</v>
      </c>
      <c r="B294" t="s">
        <v>36</v>
      </c>
      <c r="C294">
        <v>86</v>
      </c>
      <c r="D294" t="s">
        <v>32</v>
      </c>
      <c r="E294">
        <v>278</v>
      </c>
      <c r="F294">
        <v>30.12</v>
      </c>
      <c r="G294">
        <v>0</v>
      </c>
      <c r="H294">
        <f>CLIENTS_CHURN34[[#This Row],[Anciennete_Mois]]/12</f>
        <v>7.166666666666667</v>
      </c>
      <c r="I294">
        <f>CLIENTS_CHURN34[[#This Row],[Duree_Cumulee_Panne_Min]]/60</f>
        <v>4.6333333333333337</v>
      </c>
    </row>
    <row r="295" spans="1:9">
      <c r="A295" s="1" t="s">
        <v>8</v>
      </c>
      <c r="B295" t="s">
        <v>29</v>
      </c>
      <c r="C295">
        <v>108</v>
      </c>
      <c r="D295" t="s">
        <v>21</v>
      </c>
      <c r="E295">
        <v>278</v>
      </c>
      <c r="F295">
        <v>40.51</v>
      </c>
      <c r="G295">
        <v>3</v>
      </c>
      <c r="H295">
        <f>CLIENTS_CHURN34[[#This Row],[Anciennete_Mois]]/12</f>
        <v>9</v>
      </c>
      <c r="I295">
        <f>CLIENTS_CHURN34[[#This Row],[Duree_Cumulee_Panne_Min]]/60</f>
        <v>4.6333333333333337</v>
      </c>
    </row>
    <row r="296" spans="1:9">
      <c r="A296" s="1" t="s">
        <v>395</v>
      </c>
      <c r="B296" t="s">
        <v>16</v>
      </c>
      <c r="C296">
        <v>97</v>
      </c>
      <c r="D296" t="s">
        <v>11</v>
      </c>
      <c r="E296">
        <v>276</v>
      </c>
      <c r="F296">
        <v>88.35</v>
      </c>
      <c r="G296">
        <v>0</v>
      </c>
      <c r="H296">
        <f>CLIENTS_CHURN34[[#This Row],[Anciennete_Mois]]/12</f>
        <v>8.0833333333333339</v>
      </c>
      <c r="I296">
        <f>CLIENTS_CHURN34[[#This Row],[Duree_Cumulee_Panne_Min]]/60</f>
        <v>4.5999999999999996</v>
      </c>
    </row>
    <row r="297" spans="1:9">
      <c r="A297" s="1" t="s">
        <v>8</v>
      </c>
      <c r="B297" t="s">
        <v>10</v>
      </c>
      <c r="C297">
        <v>27</v>
      </c>
      <c r="D297" t="s">
        <v>14</v>
      </c>
      <c r="E297">
        <v>275</v>
      </c>
      <c r="F297">
        <v>80.069999999999993</v>
      </c>
      <c r="G297">
        <v>1</v>
      </c>
      <c r="H297">
        <f>CLIENTS_CHURN34[[#This Row],[Anciennete_Mois]]/12</f>
        <v>2.25</v>
      </c>
      <c r="I297">
        <f>CLIENTS_CHURN34[[#This Row],[Duree_Cumulee_Panne_Min]]/60</f>
        <v>4.583333333333333</v>
      </c>
    </row>
    <row r="298" spans="1:9">
      <c r="A298" s="1" t="s">
        <v>242</v>
      </c>
      <c r="B298" t="s">
        <v>52</v>
      </c>
      <c r="C298">
        <v>85</v>
      </c>
      <c r="D298" t="s">
        <v>32</v>
      </c>
      <c r="E298">
        <v>274</v>
      </c>
      <c r="F298">
        <v>35.03</v>
      </c>
      <c r="G298">
        <v>1</v>
      </c>
      <c r="H298">
        <f>CLIENTS_CHURN34[[#This Row],[Anciennete_Mois]]/12</f>
        <v>7.083333333333333</v>
      </c>
      <c r="I298">
        <f>CLIENTS_CHURN34[[#This Row],[Duree_Cumulee_Panne_Min]]/60</f>
        <v>4.5666666666666664</v>
      </c>
    </row>
    <row r="299" spans="1:9">
      <c r="A299" s="1" t="s">
        <v>602</v>
      </c>
      <c r="B299" t="s">
        <v>40</v>
      </c>
      <c r="C299">
        <v>16</v>
      </c>
      <c r="D299" t="s">
        <v>32</v>
      </c>
      <c r="E299">
        <v>274</v>
      </c>
      <c r="F299">
        <v>27.97</v>
      </c>
      <c r="G299">
        <v>4</v>
      </c>
      <c r="H299">
        <f>CLIENTS_CHURN34[[#This Row],[Anciennete_Mois]]/12</f>
        <v>1.3333333333333333</v>
      </c>
      <c r="I299">
        <f>CLIENTS_CHURN34[[#This Row],[Duree_Cumulee_Panne_Min]]/60</f>
        <v>4.5666666666666664</v>
      </c>
    </row>
    <row r="300" spans="1:9">
      <c r="A300" s="1" t="s">
        <v>447</v>
      </c>
      <c r="B300" t="s">
        <v>52</v>
      </c>
      <c r="C300">
        <v>96</v>
      </c>
      <c r="D300" t="s">
        <v>32</v>
      </c>
      <c r="E300">
        <v>273</v>
      </c>
      <c r="F300">
        <v>37.909999999999997</v>
      </c>
      <c r="G300">
        <v>2</v>
      </c>
      <c r="H300">
        <f>CLIENTS_CHURN34[[#This Row],[Anciennete_Mois]]/12</f>
        <v>8</v>
      </c>
      <c r="I300">
        <f>CLIENTS_CHURN34[[#This Row],[Duree_Cumulee_Panne_Min]]/60</f>
        <v>4.55</v>
      </c>
    </row>
    <row r="301" spans="1:9">
      <c r="A301" s="1" t="s">
        <v>653</v>
      </c>
      <c r="B301" t="s">
        <v>57</v>
      </c>
      <c r="C301">
        <v>105</v>
      </c>
      <c r="D301" t="s">
        <v>21</v>
      </c>
      <c r="E301">
        <v>271</v>
      </c>
      <c r="F301">
        <v>45.27</v>
      </c>
      <c r="G301">
        <v>2</v>
      </c>
      <c r="H301">
        <f>CLIENTS_CHURN34[[#This Row],[Anciennete_Mois]]/12</f>
        <v>8.75</v>
      </c>
      <c r="I301">
        <f>CLIENTS_CHURN34[[#This Row],[Duree_Cumulee_Panne_Min]]/60</f>
        <v>4.5166666666666666</v>
      </c>
    </row>
    <row r="302" spans="1:9">
      <c r="A302" s="1" t="s">
        <v>499</v>
      </c>
      <c r="B302" t="s">
        <v>20</v>
      </c>
      <c r="C302">
        <v>19</v>
      </c>
      <c r="D302" t="s">
        <v>32</v>
      </c>
      <c r="E302">
        <v>270</v>
      </c>
      <c r="F302">
        <v>19.760000000000002</v>
      </c>
      <c r="G302">
        <v>3</v>
      </c>
      <c r="H302">
        <f>CLIENTS_CHURN34[[#This Row],[Anciennete_Mois]]/12</f>
        <v>1.5833333333333333</v>
      </c>
      <c r="I302">
        <f>CLIENTS_CHURN34[[#This Row],[Duree_Cumulee_Panne_Min]]/60</f>
        <v>4.5</v>
      </c>
    </row>
    <row r="303" spans="1:9">
      <c r="A303" s="1" t="s">
        <v>8</v>
      </c>
      <c r="B303" t="s">
        <v>71</v>
      </c>
      <c r="C303">
        <v>66</v>
      </c>
      <c r="D303" t="s">
        <v>21</v>
      </c>
      <c r="E303">
        <v>270</v>
      </c>
      <c r="F303">
        <v>75.88</v>
      </c>
      <c r="G303">
        <v>3</v>
      </c>
      <c r="H303">
        <f>CLIENTS_CHURN34[[#This Row],[Anciennete_Mois]]/12</f>
        <v>5.5</v>
      </c>
      <c r="I303">
        <f>CLIENTS_CHURN34[[#This Row],[Duree_Cumulee_Panne_Min]]/60</f>
        <v>4.5</v>
      </c>
    </row>
    <row r="304" spans="1:9">
      <c r="A304" s="1" t="s">
        <v>395</v>
      </c>
      <c r="B304" t="s">
        <v>16</v>
      </c>
      <c r="C304">
        <v>103</v>
      </c>
      <c r="D304" t="s">
        <v>11</v>
      </c>
      <c r="E304">
        <v>270</v>
      </c>
      <c r="F304">
        <v>67.87</v>
      </c>
      <c r="G304">
        <v>3</v>
      </c>
      <c r="H304">
        <f>CLIENTS_CHURN34[[#This Row],[Anciennete_Mois]]/12</f>
        <v>8.5833333333333339</v>
      </c>
      <c r="I304">
        <f>CLIENTS_CHURN34[[#This Row],[Duree_Cumulee_Panne_Min]]/60</f>
        <v>4.5</v>
      </c>
    </row>
    <row r="305" spans="1:9">
      <c r="A305" s="1" t="s">
        <v>395</v>
      </c>
      <c r="B305" t="s">
        <v>57</v>
      </c>
      <c r="C305">
        <v>23</v>
      </c>
      <c r="D305" t="s">
        <v>32</v>
      </c>
      <c r="E305">
        <v>268</v>
      </c>
      <c r="F305">
        <v>26.75</v>
      </c>
      <c r="G305">
        <v>3</v>
      </c>
      <c r="H305">
        <f>CLIENTS_CHURN34[[#This Row],[Anciennete_Mois]]/12</f>
        <v>1.9166666666666667</v>
      </c>
      <c r="I305">
        <f>CLIENTS_CHURN34[[#This Row],[Duree_Cumulee_Panne_Min]]/60</f>
        <v>4.4666666666666668</v>
      </c>
    </row>
    <row r="306" spans="1:9">
      <c r="A306" s="1" t="s">
        <v>447</v>
      </c>
      <c r="B306" t="s">
        <v>31</v>
      </c>
      <c r="C306">
        <v>7</v>
      </c>
      <c r="D306" t="s">
        <v>11</v>
      </c>
      <c r="E306">
        <v>268</v>
      </c>
      <c r="F306">
        <v>33.04</v>
      </c>
      <c r="G306">
        <v>5</v>
      </c>
      <c r="H306">
        <f>CLIENTS_CHURN34[[#This Row],[Anciennete_Mois]]/12</f>
        <v>0.58333333333333337</v>
      </c>
      <c r="I306">
        <f>CLIENTS_CHURN34[[#This Row],[Duree_Cumulee_Panne_Min]]/60</f>
        <v>4.4666666666666668</v>
      </c>
    </row>
    <row r="307" spans="1:9">
      <c r="A307" s="1" t="s">
        <v>551</v>
      </c>
      <c r="B307" t="s">
        <v>16</v>
      </c>
      <c r="C307">
        <v>73</v>
      </c>
      <c r="D307" t="s">
        <v>11</v>
      </c>
      <c r="E307">
        <v>268</v>
      </c>
      <c r="F307">
        <v>56.86</v>
      </c>
      <c r="G307">
        <v>5</v>
      </c>
      <c r="H307">
        <f>CLIENTS_CHURN34[[#This Row],[Anciennete_Mois]]/12</f>
        <v>6.083333333333333</v>
      </c>
      <c r="I307">
        <f>CLIENTS_CHURN34[[#This Row],[Duree_Cumulee_Panne_Min]]/60</f>
        <v>4.4666666666666668</v>
      </c>
    </row>
    <row r="308" spans="1:9">
      <c r="A308" s="1" t="s">
        <v>602</v>
      </c>
      <c r="B308" t="s">
        <v>40</v>
      </c>
      <c r="C308">
        <v>21</v>
      </c>
      <c r="D308" t="s">
        <v>14</v>
      </c>
      <c r="E308">
        <v>267</v>
      </c>
      <c r="F308">
        <v>74.989999999999995</v>
      </c>
      <c r="G308">
        <v>1</v>
      </c>
      <c r="H308">
        <f>CLIENTS_CHURN34[[#This Row],[Anciennete_Mois]]/12</f>
        <v>1.75</v>
      </c>
      <c r="I308">
        <f>CLIENTS_CHURN34[[#This Row],[Duree_Cumulee_Panne_Min]]/60</f>
        <v>4.45</v>
      </c>
    </row>
    <row r="309" spans="1:9">
      <c r="A309" s="1" t="s">
        <v>705</v>
      </c>
      <c r="B309" t="s">
        <v>107</v>
      </c>
      <c r="C309">
        <v>63</v>
      </c>
      <c r="D309" t="s">
        <v>21</v>
      </c>
      <c r="E309">
        <v>265</v>
      </c>
      <c r="F309">
        <v>49.94</v>
      </c>
      <c r="G309">
        <v>1</v>
      </c>
      <c r="H309">
        <f>CLIENTS_CHURN34[[#This Row],[Anciennete_Mois]]/12</f>
        <v>5.25</v>
      </c>
      <c r="I309">
        <f>CLIENTS_CHURN34[[#This Row],[Duree_Cumulee_Panne_Min]]/60</f>
        <v>4.416666666666667</v>
      </c>
    </row>
    <row r="310" spans="1:9">
      <c r="A310" s="1" t="s">
        <v>602</v>
      </c>
      <c r="B310" t="s">
        <v>16</v>
      </c>
      <c r="C310">
        <v>74</v>
      </c>
      <c r="D310" t="s">
        <v>14</v>
      </c>
      <c r="E310">
        <v>265</v>
      </c>
      <c r="F310">
        <v>90.81</v>
      </c>
      <c r="G310">
        <v>3</v>
      </c>
      <c r="H310">
        <f>CLIENTS_CHURN34[[#This Row],[Anciennete_Mois]]/12</f>
        <v>6.166666666666667</v>
      </c>
      <c r="I310">
        <f>CLIENTS_CHURN34[[#This Row],[Duree_Cumulee_Panne_Min]]/60</f>
        <v>4.416666666666667</v>
      </c>
    </row>
    <row r="311" spans="1:9">
      <c r="A311" s="1" t="s">
        <v>140</v>
      </c>
      <c r="B311" t="s">
        <v>13</v>
      </c>
      <c r="C311">
        <v>67</v>
      </c>
      <c r="D311" t="s">
        <v>21</v>
      </c>
      <c r="E311">
        <v>264</v>
      </c>
      <c r="F311">
        <v>97.89</v>
      </c>
      <c r="G311">
        <v>1</v>
      </c>
      <c r="H311">
        <f>CLIENTS_CHURN34[[#This Row],[Anciennete_Mois]]/12</f>
        <v>5.583333333333333</v>
      </c>
      <c r="I311">
        <f>CLIENTS_CHURN34[[#This Row],[Duree_Cumulee_Panne_Min]]/60</f>
        <v>4.4000000000000004</v>
      </c>
    </row>
    <row r="312" spans="1:9">
      <c r="A312" s="1" t="s">
        <v>191</v>
      </c>
      <c r="B312" t="s">
        <v>92</v>
      </c>
      <c r="C312">
        <v>82</v>
      </c>
      <c r="D312" t="s">
        <v>32</v>
      </c>
      <c r="E312">
        <v>264</v>
      </c>
      <c r="F312">
        <v>88.03</v>
      </c>
      <c r="G312">
        <v>1</v>
      </c>
      <c r="H312">
        <f>CLIENTS_CHURN34[[#This Row],[Anciennete_Mois]]/12</f>
        <v>6.833333333333333</v>
      </c>
      <c r="I312">
        <f>CLIENTS_CHURN34[[#This Row],[Duree_Cumulee_Panne_Min]]/60</f>
        <v>4.4000000000000004</v>
      </c>
    </row>
    <row r="313" spans="1:9">
      <c r="A313" s="1" t="s">
        <v>395</v>
      </c>
      <c r="B313" t="s">
        <v>10</v>
      </c>
      <c r="C313">
        <v>63</v>
      </c>
      <c r="D313" t="s">
        <v>14</v>
      </c>
      <c r="E313">
        <v>263</v>
      </c>
      <c r="F313">
        <v>53.87</v>
      </c>
      <c r="G313">
        <v>4</v>
      </c>
      <c r="H313">
        <f>CLIENTS_CHURN34[[#This Row],[Anciennete_Mois]]/12</f>
        <v>5.25</v>
      </c>
      <c r="I313">
        <f>CLIENTS_CHURN34[[#This Row],[Duree_Cumulee_Panne_Min]]/60</f>
        <v>4.3833333333333337</v>
      </c>
    </row>
    <row r="314" spans="1:9">
      <c r="A314" s="1" t="s">
        <v>344</v>
      </c>
      <c r="B314" t="s">
        <v>36</v>
      </c>
      <c r="C314">
        <v>78</v>
      </c>
      <c r="D314" t="s">
        <v>32</v>
      </c>
      <c r="E314">
        <v>263</v>
      </c>
      <c r="F314">
        <v>53.58</v>
      </c>
      <c r="G314">
        <v>5</v>
      </c>
      <c r="H314">
        <f>CLIENTS_CHURN34[[#This Row],[Anciennete_Mois]]/12</f>
        <v>6.5</v>
      </c>
      <c r="I314">
        <f>CLIENTS_CHURN34[[#This Row],[Duree_Cumulee_Panne_Min]]/60</f>
        <v>4.3833333333333337</v>
      </c>
    </row>
    <row r="315" spans="1:9">
      <c r="A315" s="1" t="s">
        <v>705</v>
      </c>
      <c r="B315" t="s">
        <v>38</v>
      </c>
      <c r="C315">
        <v>67</v>
      </c>
      <c r="D315" t="s">
        <v>32</v>
      </c>
      <c r="E315">
        <v>262</v>
      </c>
      <c r="F315">
        <v>28.46</v>
      </c>
      <c r="G315">
        <v>3</v>
      </c>
      <c r="H315">
        <f>CLIENTS_CHURN34[[#This Row],[Anciennete_Mois]]/12</f>
        <v>5.583333333333333</v>
      </c>
      <c r="I315">
        <f>CLIENTS_CHURN34[[#This Row],[Duree_Cumulee_Panne_Min]]/60</f>
        <v>4.3666666666666663</v>
      </c>
    </row>
    <row r="316" spans="1:9">
      <c r="A316" s="1" t="s">
        <v>447</v>
      </c>
      <c r="B316" t="s">
        <v>38</v>
      </c>
      <c r="C316">
        <v>115</v>
      </c>
      <c r="D316" t="s">
        <v>11</v>
      </c>
      <c r="E316">
        <v>262</v>
      </c>
      <c r="F316">
        <v>66.34</v>
      </c>
      <c r="G316">
        <v>3</v>
      </c>
      <c r="H316">
        <f>CLIENTS_CHURN34[[#This Row],[Anciennete_Mois]]/12</f>
        <v>9.5833333333333339</v>
      </c>
      <c r="I316">
        <f>CLIENTS_CHURN34[[#This Row],[Duree_Cumulee_Panne_Min]]/60</f>
        <v>4.3666666666666663</v>
      </c>
    </row>
    <row r="317" spans="1:9">
      <c r="A317" s="1" t="s">
        <v>602</v>
      </c>
      <c r="B317" t="s">
        <v>24</v>
      </c>
      <c r="C317">
        <v>101</v>
      </c>
      <c r="D317" t="s">
        <v>14</v>
      </c>
      <c r="E317">
        <v>262</v>
      </c>
      <c r="F317">
        <v>83.74</v>
      </c>
      <c r="G317">
        <v>5</v>
      </c>
      <c r="H317">
        <f>CLIENTS_CHURN34[[#This Row],[Anciennete_Mois]]/12</f>
        <v>8.4166666666666661</v>
      </c>
      <c r="I317">
        <f>CLIENTS_CHURN34[[#This Row],[Duree_Cumulee_Panne_Min]]/60</f>
        <v>4.3666666666666663</v>
      </c>
    </row>
    <row r="318" spans="1:9">
      <c r="A318" s="1" t="s">
        <v>705</v>
      </c>
      <c r="B318" t="s">
        <v>71</v>
      </c>
      <c r="C318">
        <v>94</v>
      </c>
      <c r="D318" t="s">
        <v>21</v>
      </c>
      <c r="E318">
        <v>261</v>
      </c>
      <c r="F318">
        <v>70.09</v>
      </c>
      <c r="G318">
        <v>3</v>
      </c>
      <c r="H318">
        <f>CLIENTS_CHURN34[[#This Row],[Anciennete_Mois]]/12</f>
        <v>7.833333333333333</v>
      </c>
      <c r="I318">
        <f>CLIENTS_CHURN34[[#This Row],[Duree_Cumulee_Panne_Min]]/60</f>
        <v>4.3499999999999996</v>
      </c>
    </row>
    <row r="319" spans="1:9">
      <c r="A319" s="1" t="s">
        <v>653</v>
      </c>
      <c r="B319" t="s">
        <v>63</v>
      </c>
      <c r="C319">
        <v>10</v>
      </c>
      <c r="D319" t="s">
        <v>21</v>
      </c>
      <c r="E319">
        <v>260</v>
      </c>
      <c r="F319">
        <v>37.479999999999997</v>
      </c>
      <c r="G319">
        <v>2</v>
      </c>
      <c r="H319">
        <f>CLIENTS_CHURN34[[#This Row],[Anciennete_Mois]]/12</f>
        <v>0.83333333333333337</v>
      </c>
      <c r="I319">
        <f>CLIENTS_CHURN34[[#This Row],[Duree_Cumulee_Panne_Min]]/60</f>
        <v>4.333333333333333</v>
      </c>
    </row>
    <row r="320" spans="1:9">
      <c r="A320" s="1" t="s">
        <v>85</v>
      </c>
      <c r="B320" t="s">
        <v>65</v>
      </c>
      <c r="C320">
        <v>80</v>
      </c>
      <c r="D320" t="s">
        <v>14</v>
      </c>
      <c r="E320">
        <v>260</v>
      </c>
      <c r="F320">
        <v>65.87</v>
      </c>
      <c r="G320">
        <v>3</v>
      </c>
      <c r="H320">
        <f>CLIENTS_CHURN34[[#This Row],[Anciennete_Mois]]/12</f>
        <v>6.666666666666667</v>
      </c>
      <c r="I320">
        <f>CLIENTS_CHURN34[[#This Row],[Duree_Cumulee_Panne_Min]]/60</f>
        <v>4.333333333333333</v>
      </c>
    </row>
    <row r="321" spans="1:9">
      <c r="A321" s="1" t="s">
        <v>85</v>
      </c>
      <c r="B321" t="s">
        <v>71</v>
      </c>
      <c r="C321">
        <v>50</v>
      </c>
      <c r="D321" t="s">
        <v>14</v>
      </c>
      <c r="E321">
        <v>258</v>
      </c>
      <c r="F321">
        <v>25.06</v>
      </c>
      <c r="G321">
        <v>4</v>
      </c>
      <c r="H321">
        <f>CLIENTS_CHURN34[[#This Row],[Anciennete_Mois]]/12</f>
        <v>4.166666666666667</v>
      </c>
      <c r="I321">
        <f>CLIENTS_CHURN34[[#This Row],[Duree_Cumulee_Panne_Min]]/60</f>
        <v>4.3</v>
      </c>
    </row>
    <row r="322" spans="1:9">
      <c r="A322" s="1" t="s">
        <v>653</v>
      </c>
      <c r="B322" t="s">
        <v>107</v>
      </c>
      <c r="C322">
        <v>7</v>
      </c>
      <c r="D322" t="s">
        <v>14</v>
      </c>
      <c r="E322">
        <v>257</v>
      </c>
      <c r="F322">
        <v>73.040000000000006</v>
      </c>
      <c r="G322">
        <v>3</v>
      </c>
      <c r="H322">
        <f>CLIENTS_CHURN34[[#This Row],[Anciennete_Mois]]/12</f>
        <v>0.58333333333333337</v>
      </c>
      <c r="I322">
        <f>CLIENTS_CHURN34[[#This Row],[Duree_Cumulee_Panne_Min]]/60</f>
        <v>4.2833333333333332</v>
      </c>
    </row>
    <row r="323" spans="1:9">
      <c r="A323" s="1" t="s">
        <v>447</v>
      </c>
      <c r="B323" t="s">
        <v>61</v>
      </c>
      <c r="C323">
        <v>24</v>
      </c>
      <c r="D323" t="s">
        <v>14</v>
      </c>
      <c r="E323">
        <v>257</v>
      </c>
      <c r="F323">
        <v>41.99</v>
      </c>
      <c r="G323">
        <v>5</v>
      </c>
      <c r="H323">
        <f>CLIENTS_CHURN34[[#This Row],[Anciennete_Mois]]/12</f>
        <v>2</v>
      </c>
      <c r="I323">
        <f>CLIENTS_CHURN34[[#This Row],[Duree_Cumulee_Panne_Min]]/60</f>
        <v>4.2833333333333332</v>
      </c>
    </row>
    <row r="324" spans="1:9">
      <c r="A324" s="1" t="s">
        <v>242</v>
      </c>
      <c r="B324" t="s">
        <v>36</v>
      </c>
      <c r="C324">
        <v>9</v>
      </c>
      <c r="D324" t="s">
        <v>11</v>
      </c>
      <c r="E324">
        <v>255</v>
      </c>
      <c r="F324">
        <v>95.13</v>
      </c>
      <c r="G324">
        <v>1</v>
      </c>
      <c r="H324">
        <f>CLIENTS_CHURN34[[#This Row],[Anciennete_Mois]]/12</f>
        <v>0.75</v>
      </c>
      <c r="I324">
        <f>CLIENTS_CHURN34[[#This Row],[Duree_Cumulee_Panne_Min]]/60</f>
        <v>4.25</v>
      </c>
    </row>
    <row r="325" spans="1:9">
      <c r="A325" s="1" t="s">
        <v>395</v>
      </c>
      <c r="B325" t="s">
        <v>40</v>
      </c>
      <c r="C325">
        <v>74</v>
      </c>
      <c r="D325" t="s">
        <v>21</v>
      </c>
      <c r="E325">
        <v>253</v>
      </c>
      <c r="F325">
        <v>36.94</v>
      </c>
      <c r="G325">
        <v>5</v>
      </c>
      <c r="H325">
        <f>CLIENTS_CHURN34[[#This Row],[Anciennete_Mois]]/12</f>
        <v>6.166666666666667</v>
      </c>
      <c r="I325">
        <f>CLIENTS_CHURN34[[#This Row],[Duree_Cumulee_Panne_Min]]/60</f>
        <v>4.2166666666666668</v>
      </c>
    </row>
    <row r="326" spans="1:9">
      <c r="A326" s="1" t="s">
        <v>756</v>
      </c>
      <c r="B326" t="s">
        <v>92</v>
      </c>
      <c r="C326">
        <v>42</v>
      </c>
      <c r="D326" t="s">
        <v>14</v>
      </c>
      <c r="E326">
        <v>252</v>
      </c>
      <c r="F326">
        <v>59.46</v>
      </c>
      <c r="G326">
        <v>4</v>
      </c>
      <c r="H326">
        <f>CLIENTS_CHURN34[[#This Row],[Anciennete_Mois]]/12</f>
        <v>3.5</v>
      </c>
      <c r="I326">
        <f>CLIENTS_CHURN34[[#This Row],[Duree_Cumulee_Panne_Min]]/60</f>
        <v>4.2</v>
      </c>
    </row>
    <row r="327" spans="1:9">
      <c r="A327" s="1" t="s">
        <v>293</v>
      </c>
      <c r="B327" t="s">
        <v>38</v>
      </c>
      <c r="C327">
        <v>50</v>
      </c>
      <c r="D327" t="s">
        <v>14</v>
      </c>
      <c r="E327">
        <v>248</v>
      </c>
      <c r="F327">
        <v>69.42</v>
      </c>
      <c r="G327">
        <v>0</v>
      </c>
      <c r="H327">
        <f>CLIENTS_CHURN34[[#This Row],[Anciennete_Mois]]/12</f>
        <v>4.166666666666667</v>
      </c>
      <c r="I327">
        <f>CLIENTS_CHURN34[[#This Row],[Duree_Cumulee_Panne_Min]]/60</f>
        <v>4.1333333333333337</v>
      </c>
    </row>
    <row r="328" spans="1:9">
      <c r="A328" s="1" t="s">
        <v>602</v>
      </c>
      <c r="B328" t="s">
        <v>38</v>
      </c>
      <c r="C328">
        <v>94</v>
      </c>
      <c r="D328" t="s">
        <v>11</v>
      </c>
      <c r="E328">
        <v>247</v>
      </c>
      <c r="F328">
        <v>96.57</v>
      </c>
      <c r="G328">
        <v>0</v>
      </c>
      <c r="H328">
        <f>CLIENTS_CHURN34[[#This Row],[Anciennete_Mois]]/12</f>
        <v>7.833333333333333</v>
      </c>
      <c r="I328">
        <f>CLIENTS_CHURN34[[#This Row],[Duree_Cumulee_Panne_Min]]/60</f>
        <v>4.1166666666666663</v>
      </c>
    </row>
    <row r="329" spans="1:9">
      <c r="A329" s="1" t="s">
        <v>85</v>
      </c>
      <c r="B329" t="s">
        <v>43</v>
      </c>
      <c r="C329">
        <v>36</v>
      </c>
      <c r="D329" t="s">
        <v>14</v>
      </c>
      <c r="E329">
        <v>247</v>
      </c>
      <c r="F329">
        <v>24.53</v>
      </c>
      <c r="G329">
        <v>2</v>
      </c>
      <c r="H329">
        <f>CLIENTS_CHURN34[[#This Row],[Anciennete_Mois]]/12</f>
        <v>3</v>
      </c>
      <c r="I329">
        <f>CLIENTS_CHURN34[[#This Row],[Duree_Cumulee_Panne_Min]]/60</f>
        <v>4.1166666666666663</v>
      </c>
    </row>
    <row r="330" spans="1:9">
      <c r="A330" s="1" t="s">
        <v>705</v>
      </c>
      <c r="B330" t="s">
        <v>92</v>
      </c>
      <c r="C330">
        <v>65</v>
      </c>
      <c r="D330" t="s">
        <v>11</v>
      </c>
      <c r="E330">
        <v>246</v>
      </c>
      <c r="F330">
        <v>69.17</v>
      </c>
      <c r="G330">
        <v>0</v>
      </c>
      <c r="H330">
        <f>CLIENTS_CHURN34[[#This Row],[Anciennete_Mois]]/12</f>
        <v>5.416666666666667</v>
      </c>
      <c r="I330">
        <f>CLIENTS_CHURN34[[#This Row],[Duree_Cumulee_Panne_Min]]/60</f>
        <v>4.0999999999999996</v>
      </c>
    </row>
    <row r="331" spans="1:9">
      <c r="A331" s="1" t="s">
        <v>140</v>
      </c>
      <c r="B331" t="s">
        <v>40</v>
      </c>
      <c r="C331">
        <v>113</v>
      </c>
      <c r="D331" t="s">
        <v>32</v>
      </c>
      <c r="E331">
        <v>246</v>
      </c>
      <c r="F331">
        <v>29.18</v>
      </c>
      <c r="G331">
        <v>2</v>
      </c>
      <c r="H331">
        <f>CLIENTS_CHURN34[[#This Row],[Anciennete_Mois]]/12</f>
        <v>9.4166666666666661</v>
      </c>
      <c r="I331">
        <f>CLIENTS_CHURN34[[#This Row],[Duree_Cumulee_Panne_Min]]/60</f>
        <v>4.0999999999999996</v>
      </c>
    </row>
    <row r="332" spans="1:9">
      <c r="A332" s="1" t="s">
        <v>756</v>
      </c>
      <c r="B332" t="s">
        <v>40</v>
      </c>
      <c r="C332">
        <v>104</v>
      </c>
      <c r="D332" t="s">
        <v>14</v>
      </c>
      <c r="E332">
        <v>245</v>
      </c>
      <c r="F332">
        <v>38.270000000000003</v>
      </c>
      <c r="G332">
        <v>0</v>
      </c>
      <c r="H332">
        <f>CLIENTS_CHURN34[[#This Row],[Anciennete_Mois]]/12</f>
        <v>8.6666666666666661</v>
      </c>
      <c r="I332">
        <f>CLIENTS_CHURN34[[#This Row],[Duree_Cumulee_Panne_Min]]/60</f>
        <v>4.083333333333333</v>
      </c>
    </row>
    <row r="333" spans="1:9">
      <c r="A333" s="1" t="s">
        <v>499</v>
      </c>
      <c r="B333" t="s">
        <v>52</v>
      </c>
      <c r="C333">
        <v>45</v>
      </c>
      <c r="D333" t="s">
        <v>32</v>
      </c>
      <c r="E333">
        <v>244</v>
      </c>
      <c r="F333">
        <v>55.17</v>
      </c>
      <c r="G333">
        <v>2</v>
      </c>
      <c r="H333">
        <f>CLIENTS_CHURN34[[#This Row],[Anciennete_Mois]]/12</f>
        <v>3.75</v>
      </c>
      <c r="I333">
        <f>CLIENTS_CHURN34[[#This Row],[Duree_Cumulee_Panne_Min]]/60</f>
        <v>4.0666666666666664</v>
      </c>
    </row>
    <row r="334" spans="1:9">
      <c r="A334" s="1" t="s">
        <v>293</v>
      </c>
      <c r="B334" t="s">
        <v>71</v>
      </c>
      <c r="C334">
        <v>84</v>
      </c>
      <c r="D334" t="s">
        <v>14</v>
      </c>
      <c r="E334">
        <v>244</v>
      </c>
      <c r="F334">
        <v>56.34</v>
      </c>
      <c r="G334">
        <v>5</v>
      </c>
      <c r="H334">
        <f>CLIENTS_CHURN34[[#This Row],[Anciennete_Mois]]/12</f>
        <v>7</v>
      </c>
      <c r="I334">
        <f>CLIENTS_CHURN34[[#This Row],[Duree_Cumulee_Panne_Min]]/60</f>
        <v>4.0666666666666664</v>
      </c>
    </row>
    <row r="335" spans="1:9">
      <c r="A335" s="1" t="s">
        <v>653</v>
      </c>
      <c r="B335" t="s">
        <v>45</v>
      </c>
      <c r="C335">
        <v>104</v>
      </c>
      <c r="D335" t="s">
        <v>14</v>
      </c>
      <c r="E335">
        <v>243</v>
      </c>
      <c r="F335">
        <v>65.819999999999993</v>
      </c>
      <c r="G335">
        <v>0</v>
      </c>
      <c r="H335">
        <f>CLIENTS_CHURN34[[#This Row],[Anciennete_Mois]]/12</f>
        <v>8.6666666666666661</v>
      </c>
      <c r="I335">
        <f>CLIENTS_CHURN34[[#This Row],[Duree_Cumulee_Panne_Min]]/60</f>
        <v>4.05</v>
      </c>
    </row>
    <row r="336" spans="1:9">
      <c r="A336" s="1" t="s">
        <v>551</v>
      </c>
      <c r="B336" t="s">
        <v>18</v>
      </c>
      <c r="C336">
        <v>53</v>
      </c>
      <c r="D336" t="s">
        <v>32</v>
      </c>
      <c r="E336">
        <v>243</v>
      </c>
      <c r="F336">
        <v>55.19</v>
      </c>
      <c r="G336">
        <v>4</v>
      </c>
      <c r="H336">
        <f>CLIENTS_CHURN34[[#This Row],[Anciennete_Mois]]/12</f>
        <v>4.416666666666667</v>
      </c>
      <c r="I336">
        <f>CLIENTS_CHURN34[[#This Row],[Duree_Cumulee_Panne_Min]]/60</f>
        <v>4.05</v>
      </c>
    </row>
    <row r="337" spans="1:9">
      <c r="A337" s="1" t="s">
        <v>344</v>
      </c>
      <c r="B337" t="s">
        <v>26</v>
      </c>
      <c r="C337">
        <v>120</v>
      </c>
      <c r="D337" t="s">
        <v>21</v>
      </c>
      <c r="E337">
        <v>242</v>
      </c>
      <c r="F337">
        <v>61.54</v>
      </c>
      <c r="G337">
        <v>1</v>
      </c>
      <c r="H337">
        <f>CLIENTS_CHURN34[[#This Row],[Anciennete_Mois]]/12</f>
        <v>10</v>
      </c>
      <c r="I337">
        <f>CLIENTS_CHURN34[[#This Row],[Duree_Cumulee_Panne_Min]]/60</f>
        <v>4.0333333333333332</v>
      </c>
    </row>
    <row r="338" spans="1:9">
      <c r="A338" s="1" t="s">
        <v>191</v>
      </c>
      <c r="B338" t="s">
        <v>111</v>
      </c>
      <c r="C338">
        <v>75</v>
      </c>
      <c r="D338" t="s">
        <v>11</v>
      </c>
      <c r="E338">
        <v>242</v>
      </c>
      <c r="F338">
        <v>64.27</v>
      </c>
      <c r="G338">
        <v>2</v>
      </c>
      <c r="H338">
        <f>CLIENTS_CHURN34[[#This Row],[Anciennete_Mois]]/12</f>
        <v>6.25</v>
      </c>
      <c r="I338">
        <f>CLIENTS_CHURN34[[#This Row],[Duree_Cumulee_Panne_Min]]/60</f>
        <v>4.0333333333333332</v>
      </c>
    </row>
    <row r="339" spans="1:9">
      <c r="A339" s="1" t="s">
        <v>191</v>
      </c>
      <c r="B339" t="s">
        <v>40</v>
      </c>
      <c r="C339">
        <v>67</v>
      </c>
      <c r="D339" t="s">
        <v>32</v>
      </c>
      <c r="E339">
        <v>241</v>
      </c>
      <c r="F339">
        <v>47.72</v>
      </c>
      <c r="G339">
        <v>0</v>
      </c>
      <c r="H339">
        <f>CLIENTS_CHURN34[[#This Row],[Anciennete_Mois]]/12</f>
        <v>5.583333333333333</v>
      </c>
      <c r="I339">
        <f>CLIENTS_CHURN34[[#This Row],[Duree_Cumulee_Panne_Min]]/60</f>
        <v>4.0166666666666666</v>
      </c>
    </row>
    <row r="340" spans="1:9">
      <c r="A340" s="1" t="s">
        <v>499</v>
      </c>
      <c r="B340" t="s">
        <v>18</v>
      </c>
      <c r="C340">
        <v>102</v>
      </c>
      <c r="D340" t="s">
        <v>21</v>
      </c>
      <c r="E340">
        <v>240</v>
      </c>
      <c r="F340">
        <v>12.52</v>
      </c>
      <c r="G340">
        <v>2</v>
      </c>
      <c r="H340">
        <f>CLIENTS_CHURN34[[#This Row],[Anciennete_Mois]]/12</f>
        <v>8.5</v>
      </c>
      <c r="I340">
        <f>CLIENTS_CHURN34[[#This Row],[Duree_Cumulee_Panne_Min]]/60</f>
        <v>4</v>
      </c>
    </row>
    <row r="341" spans="1:9">
      <c r="A341" s="1" t="s">
        <v>499</v>
      </c>
      <c r="B341" t="s">
        <v>18</v>
      </c>
      <c r="C341">
        <v>100</v>
      </c>
      <c r="D341" t="s">
        <v>21</v>
      </c>
      <c r="E341">
        <v>240</v>
      </c>
      <c r="F341">
        <v>24.83</v>
      </c>
      <c r="G341">
        <v>4</v>
      </c>
      <c r="H341">
        <f>CLIENTS_CHURN34[[#This Row],[Anciennete_Mois]]/12</f>
        <v>8.3333333333333339</v>
      </c>
      <c r="I341">
        <f>CLIENTS_CHURN34[[#This Row],[Duree_Cumulee_Panne_Min]]/60</f>
        <v>4</v>
      </c>
    </row>
    <row r="342" spans="1:9">
      <c r="A342" s="1" t="s">
        <v>191</v>
      </c>
      <c r="B342" t="s">
        <v>71</v>
      </c>
      <c r="C342">
        <v>5</v>
      </c>
      <c r="D342" t="s">
        <v>14</v>
      </c>
      <c r="E342">
        <v>239</v>
      </c>
      <c r="F342">
        <v>26.95</v>
      </c>
      <c r="G342">
        <v>2</v>
      </c>
      <c r="H342">
        <f>CLIENTS_CHURN34[[#This Row],[Anciennete_Mois]]/12</f>
        <v>0.41666666666666669</v>
      </c>
      <c r="I342">
        <f>CLIENTS_CHURN34[[#This Row],[Duree_Cumulee_Panne_Min]]/60</f>
        <v>3.9833333333333334</v>
      </c>
    </row>
    <row r="343" spans="1:9">
      <c r="A343" s="1" t="s">
        <v>344</v>
      </c>
      <c r="B343" t="s">
        <v>65</v>
      </c>
      <c r="C343">
        <v>40</v>
      </c>
      <c r="D343" t="s">
        <v>32</v>
      </c>
      <c r="E343">
        <v>237</v>
      </c>
      <c r="F343">
        <v>24.51</v>
      </c>
      <c r="G343">
        <v>1</v>
      </c>
      <c r="H343">
        <f>CLIENTS_CHURN34[[#This Row],[Anciennete_Mois]]/12</f>
        <v>3.3333333333333335</v>
      </c>
      <c r="I343">
        <f>CLIENTS_CHURN34[[#This Row],[Duree_Cumulee_Panne_Min]]/60</f>
        <v>3.95</v>
      </c>
    </row>
    <row r="344" spans="1:9">
      <c r="A344" s="1" t="s">
        <v>85</v>
      </c>
      <c r="B344" t="s">
        <v>29</v>
      </c>
      <c r="C344">
        <v>86</v>
      </c>
      <c r="D344" t="s">
        <v>11</v>
      </c>
      <c r="E344">
        <v>237</v>
      </c>
      <c r="F344">
        <v>85.82</v>
      </c>
      <c r="G344">
        <v>5</v>
      </c>
      <c r="H344">
        <f>CLIENTS_CHURN34[[#This Row],[Anciennete_Mois]]/12</f>
        <v>7.166666666666667</v>
      </c>
      <c r="I344">
        <f>CLIENTS_CHURN34[[#This Row],[Duree_Cumulee_Panne_Min]]/60</f>
        <v>3.95</v>
      </c>
    </row>
    <row r="345" spans="1:9">
      <c r="A345" s="1" t="s">
        <v>191</v>
      </c>
      <c r="B345" t="s">
        <v>45</v>
      </c>
      <c r="C345">
        <v>115</v>
      </c>
      <c r="D345" t="s">
        <v>14</v>
      </c>
      <c r="E345">
        <v>236</v>
      </c>
      <c r="F345">
        <v>50.64</v>
      </c>
      <c r="G345">
        <v>1</v>
      </c>
      <c r="H345">
        <f>CLIENTS_CHURN34[[#This Row],[Anciennete_Mois]]/12</f>
        <v>9.5833333333333339</v>
      </c>
      <c r="I345">
        <f>CLIENTS_CHURN34[[#This Row],[Duree_Cumulee_Panne_Min]]/60</f>
        <v>3.9333333333333331</v>
      </c>
    </row>
    <row r="346" spans="1:9">
      <c r="A346" s="1" t="s">
        <v>653</v>
      </c>
      <c r="B346" t="s">
        <v>65</v>
      </c>
      <c r="C346">
        <v>14</v>
      </c>
      <c r="D346" t="s">
        <v>11</v>
      </c>
      <c r="E346">
        <v>236</v>
      </c>
      <c r="F346">
        <v>54.43</v>
      </c>
      <c r="G346">
        <v>3</v>
      </c>
      <c r="H346">
        <f>CLIENTS_CHURN34[[#This Row],[Anciennete_Mois]]/12</f>
        <v>1.1666666666666667</v>
      </c>
      <c r="I346">
        <f>CLIENTS_CHURN34[[#This Row],[Duree_Cumulee_Panne_Min]]/60</f>
        <v>3.9333333333333331</v>
      </c>
    </row>
    <row r="347" spans="1:9">
      <c r="A347" s="1" t="s">
        <v>705</v>
      </c>
      <c r="B347" t="s">
        <v>79</v>
      </c>
      <c r="C347">
        <v>106</v>
      </c>
      <c r="D347" t="s">
        <v>21</v>
      </c>
      <c r="E347">
        <v>236</v>
      </c>
      <c r="F347">
        <v>18.72</v>
      </c>
      <c r="G347">
        <v>4</v>
      </c>
      <c r="H347">
        <f>CLIENTS_CHURN34[[#This Row],[Anciennete_Mois]]/12</f>
        <v>8.8333333333333339</v>
      </c>
      <c r="I347">
        <f>CLIENTS_CHURN34[[#This Row],[Duree_Cumulee_Panne_Min]]/60</f>
        <v>3.9333333333333331</v>
      </c>
    </row>
    <row r="348" spans="1:9">
      <c r="A348" s="1" t="s">
        <v>705</v>
      </c>
      <c r="B348" t="s">
        <v>92</v>
      </c>
      <c r="C348">
        <v>40</v>
      </c>
      <c r="D348" t="s">
        <v>32</v>
      </c>
      <c r="E348">
        <v>235</v>
      </c>
      <c r="F348">
        <v>15.01</v>
      </c>
      <c r="G348">
        <v>3</v>
      </c>
      <c r="H348">
        <f>CLIENTS_CHURN34[[#This Row],[Anciennete_Mois]]/12</f>
        <v>3.3333333333333335</v>
      </c>
      <c r="I348">
        <f>CLIENTS_CHURN34[[#This Row],[Duree_Cumulee_Panne_Min]]/60</f>
        <v>3.9166666666666665</v>
      </c>
    </row>
    <row r="349" spans="1:9">
      <c r="A349" s="1" t="s">
        <v>653</v>
      </c>
      <c r="B349" t="s">
        <v>107</v>
      </c>
      <c r="C349">
        <v>12</v>
      </c>
      <c r="D349" t="s">
        <v>21</v>
      </c>
      <c r="E349">
        <v>235</v>
      </c>
      <c r="F349">
        <v>33.96</v>
      </c>
      <c r="G349">
        <v>4</v>
      </c>
      <c r="H349">
        <f>CLIENTS_CHURN34[[#This Row],[Anciennete_Mois]]/12</f>
        <v>1</v>
      </c>
      <c r="I349">
        <f>CLIENTS_CHURN34[[#This Row],[Duree_Cumulee_Panne_Min]]/60</f>
        <v>3.9166666666666665</v>
      </c>
    </row>
    <row r="350" spans="1:9">
      <c r="A350" s="1" t="s">
        <v>242</v>
      </c>
      <c r="B350" t="s">
        <v>13</v>
      </c>
      <c r="C350">
        <v>52</v>
      </c>
      <c r="D350" t="s">
        <v>11</v>
      </c>
      <c r="E350">
        <v>234</v>
      </c>
      <c r="F350">
        <v>62.87</v>
      </c>
      <c r="G350">
        <v>0</v>
      </c>
      <c r="H350">
        <f>CLIENTS_CHURN34[[#This Row],[Anciennete_Mois]]/12</f>
        <v>4.333333333333333</v>
      </c>
      <c r="I350">
        <f>CLIENTS_CHURN34[[#This Row],[Duree_Cumulee_Panne_Min]]/60</f>
        <v>3.9</v>
      </c>
    </row>
    <row r="351" spans="1:9">
      <c r="A351" s="1" t="s">
        <v>447</v>
      </c>
      <c r="B351" t="s">
        <v>36</v>
      </c>
      <c r="C351">
        <v>7</v>
      </c>
      <c r="D351" t="s">
        <v>14</v>
      </c>
      <c r="E351">
        <v>233</v>
      </c>
      <c r="F351">
        <v>10.94</v>
      </c>
      <c r="G351">
        <v>0</v>
      </c>
      <c r="H351">
        <f>CLIENTS_CHURN34[[#This Row],[Anciennete_Mois]]/12</f>
        <v>0.58333333333333337</v>
      </c>
      <c r="I351">
        <f>CLIENTS_CHURN34[[#This Row],[Duree_Cumulee_Panne_Min]]/60</f>
        <v>3.8833333333333333</v>
      </c>
    </row>
    <row r="352" spans="1:9">
      <c r="A352" s="1" t="s">
        <v>140</v>
      </c>
      <c r="B352" t="s">
        <v>43</v>
      </c>
      <c r="C352">
        <v>88</v>
      </c>
      <c r="D352" t="s">
        <v>32</v>
      </c>
      <c r="E352">
        <v>232</v>
      </c>
      <c r="F352">
        <v>40.94</v>
      </c>
      <c r="G352">
        <v>2</v>
      </c>
      <c r="H352">
        <f>CLIENTS_CHURN34[[#This Row],[Anciennete_Mois]]/12</f>
        <v>7.333333333333333</v>
      </c>
      <c r="I352">
        <f>CLIENTS_CHURN34[[#This Row],[Duree_Cumulee_Panne_Min]]/60</f>
        <v>3.8666666666666667</v>
      </c>
    </row>
    <row r="353" spans="1:9">
      <c r="A353" s="1" t="s">
        <v>551</v>
      </c>
      <c r="B353" t="s">
        <v>45</v>
      </c>
      <c r="C353">
        <v>119</v>
      </c>
      <c r="D353" t="s">
        <v>21</v>
      </c>
      <c r="E353">
        <v>231</v>
      </c>
      <c r="F353">
        <v>20.22</v>
      </c>
      <c r="G353">
        <v>2</v>
      </c>
      <c r="H353">
        <f>CLIENTS_CHURN34[[#This Row],[Anciennete_Mois]]/12</f>
        <v>9.9166666666666661</v>
      </c>
      <c r="I353">
        <f>CLIENTS_CHURN34[[#This Row],[Duree_Cumulee_Panne_Min]]/60</f>
        <v>3.85</v>
      </c>
    </row>
    <row r="354" spans="1:9">
      <c r="A354" s="1" t="s">
        <v>653</v>
      </c>
      <c r="B354" t="s">
        <v>65</v>
      </c>
      <c r="C354">
        <v>116</v>
      </c>
      <c r="D354" t="s">
        <v>21</v>
      </c>
      <c r="E354">
        <v>231</v>
      </c>
      <c r="F354">
        <v>19.12</v>
      </c>
      <c r="G354">
        <v>5</v>
      </c>
      <c r="H354">
        <f>CLIENTS_CHURN34[[#This Row],[Anciennete_Mois]]/12</f>
        <v>9.6666666666666661</v>
      </c>
      <c r="I354">
        <f>CLIENTS_CHURN34[[#This Row],[Duree_Cumulee_Panne_Min]]/60</f>
        <v>3.85</v>
      </c>
    </row>
    <row r="355" spans="1:9">
      <c r="A355" s="1" t="s">
        <v>395</v>
      </c>
      <c r="B355" t="s">
        <v>31</v>
      </c>
      <c r="C355">
        <v>49</v>
      </c>
      <c r="D355" t="s">
        <v>11</v>
      </c>
      <c r="E355">
        <v>229</v>
      </c>
      <c r="F355">
        <v>53.94</v>
      </c>
      <c r="G355">
        <v>5</v>
      </c>
      <c r="H355">
        <f>CLIENTS_CHURN34[[#This Row],[Anciennete_Mois]]/12</f>
        <v>4.083333333333333</v>
      </c>
      <c r="I355">
        <f>CLIENTS_CHURN34[[#This Row],[Duree_Cumulee_Panne_Min]]/60</f>
        <v>3.8166666666666669</v>
      </c>
    </row>
    <row r="356" spans="1:9">
      <c r="A356" s="1" t="s">
        <v>8</v>
      </c>
      <c r="B356" t="s">
        <v>18</v>
      </c>
      <c r="C356">
        <v>119</v>
      </c>
      <c r="D356" t="s">
        <v>21</v>
      </c>
      <c r="E356">
        <v>228</v>
      </c>
      <c r="F356">
        <v>94.72</v>
      </c>
      <c r="G356">
        <v>3</v>
      </c>
      <c r="H356">
        <f>CLIENTS_CHURN34[[#This Row],[Anciennete_Mois]]/12</f>
        <v>9.9166666666666661</v>
      </c>
      <c r="I356">
        <f>CLIENTS_CHURN34[[#This Row],[Duree_Cumulee_Panne_Min]]/60</f>
        <v>3.8</v>
      </c>
    </row>
    <row r="357" spans="1:9">
      <c r="A357" s="1" t="s">
        <v>140</v>
      </c>
      <c r="B357" t="s">
        <v>16</v>
      </c>
      <c r="C357">
        <v>4</v>
      </c>
      <c r="D357" t="s">
        <v>14</v>
      </c>
      <c r="E357">
        <v>227</v>
      </c>
      <c r="F357">
        <v>83.32</v>
      </c>
      <c r="G357">
        <v>2</v>
      </c>
      <c r="H357">
        <f>CLIENTS_CHURN34[[#This Row],[Anciennete_Mois]]/12</f>
        <v>0.33333333333333331</v>
      </c>
      <c r="I357">
        <f>CLIENTS_CHURN34[[#This Row],[Duree_Cumulee_Panne_Min]]/60</f>
        <v>3.7833333333333332</v>
      </c>
    </row>
    <row r="358" spans="1:9">
      <c r="A358" s="1" t="s">
        <v>499</v>
      </c>
      <c r="B358" t="s">
        <v>10</v>
      </c>
      <c r="C358">
        <v>9</v>
      </c>
      <c r="D358" t="s">
        <v>21</v>
      </c>
      <c r="E358">
        <v>227</v>
      </c>
      <c r="F358">
        <v>63.74</v>
      </c>
      <c r="G358">
        <v>3</v>
      </c>
      <c r="H358">
        <f>CLIENTS_CHURN34[[#This Row],[Anciennete_Mois]]/12</f>
        <v>0.75</v>
      </c>
      <c r="I358">
        <f>CLIENTS_CHURN34[[#This Row],[Duree_Cumulee_Panne_Min]]/60</f>
        <v>3.7833333333333332</v>
      </c>
    </row>
    <row r="359" spans="1:9">
      <c r="A359" s="1" t="s">
        <v>8</v>
      </c>
      <c r="B359" t="s">
        <v>65</v>
      </c>
      <c r="C359">
        <v>79</v>
      </c>
      <c r="D359" t="s">
        <v>32</v>
      </c>
      <c r="E359">
        <v>226</v>
      </c>
      <c r="F359">
        <v>94.38</v>
      </c>
      <c r="G359">
        <v>3</v>
      </c>
      <c r="H359">
        <f>CLIENTS_CHURN34[[#This Row],[Anciennete_Mois]]/12</f>
        <v>6.583333333333333</v>
      </c>
      <c r="I359">
        <f>CLIENTS_CHURN34[[#This Row],[Duree_Cumulee_Panne_Min]]/60</f>
        <v>3.7666666666666666</v>
      </c>
    </row>
    <row r="360" spans="1:9">
      <c r="A360" s="1" t="s">
        <v>293</v>
      </c>
      <c r="B360" t="s">
        <v>29</v>
      </c>
      <c r="C360">
        <v>73</v>
      </c>
      <c r="D360" t="s">
        <v>21</v>
      </c>
      <c r="E360">
        <v>225</v>
      </c>
      <c r="F360">
        <v>45.86</v>
      </c>
      <c r="G360">
        <v>0</v>
      </c>
      <c r="H360">
        <f>CLIENTS_CHURN34[[#This Row],[Anciennete_Mois]]/12</f>
        <v>6.083333333333333</v>
      </c>
      <c r="I360">
        <f>CLIENTS_CHURN34[[#This Row],[Duree_Cumulee_Panne_Min]]/60</f>
        <v>3.75</v>
      </c>
    </row>
    <row r="361" spans="1:9">
      <c r="A361" s="1" t="s">
        <v>653</v>
      </c>
      <c r="B361" t="s">
        <v>43</v>
      </c>
      <c r="C361">
        <v>89</v>
      </c>
      <c r="D361" t="s">
        <v>11</v>
      </c>
      <c r="E361">
        <v>225</v>
      </c>
      <c r="F361">
        <v>38.36</v>
      </c>
      <c r="G361">
        <v>2</v>
      </c>
      <c r="H361">
        <f>CLIENTS_CHURN34[[#This Row],[Anciennete_Mois]]/12</f>
        <v>7.416666666666667</v>
      </c>
      <c r="I361">
        <f>CLIENTS_CHURN34[[#This Row],[Duree_Cumulee_Panne_Min]]/60</f>
        <v>3.75</v>
      </c>
    </row>
    <row r="362" spans="1:9">
      <c r="A362" s="1" t="s">
        <v>191</v>
      </c>
      <c r="B362" t="s">
        <v>40</v>
      </c>
      <c r="C362">
        <v>120</v>
      </c>
      <c r="D362" t="s">
        <v>21</v>
      </c>
      <c r="E362">
        <v>224</v>
      </c>
      <c r="F362">
        <v>69.36</v>
      </c>
      <c r="G362">
        <v>0</v>
      </c>
      <c r="H362">
        <f>CLIENTS_CHURN34[[#This Row],[Anciennete_Mois]]/12</f>
        <v>10</v>
      </c>
      <c r="I362">
        <f>CLIENTS_CHURN34[[#This Row],[Duree_Cumulee_Panne_Min]]/60</f>
        <v>3.7333333333333334</v>
      </c>
    </row>
    <row r="363" spans="1:9">
      <c r="A363" s="1" t="s">
        <v>344</v>
      </c>
      <c r="B363" t="s">
        <v>57</v>
      </c>
      <c r="C363">
        <v>51</v>
      </c>
      <c r="D363" t="s">
        <v>32</v>
      </c>
      <c r="E363">
        <v>222</v>
      </c>
      <c r="F363">
        <v>18.95</v>
      </c>
      <c r="G363">
        <v>4</v>
      </c>
      <c r="H363">
        <f>CLIENTS_CHURN34[[#This Row],[Anciennete_Mois]]/12</f>
        <v>4.25</v>
      </c>
      <c r="I363">
        <f>CLIENTS_CHURN34[[#This Row],[Duree_Cumulee_Panne_Min]]/60</f>
        <v>3.7</v>
      </c>
    </row>
    <row r="364" spans="1:9">
      <c r="A364" s="1" t="s">
        <v>653</v>
      </c>
      <c r="B364" t="s">
        <v>26</v>
      </c>
      <c r="C364">
        <v>39</v>
      </c>
      <c r="D364" t="s">
        <v>32</v>
      </c>
      <c r="E364">
        <v>220</v>
      </c>
      <c r="F364">
        <v>52.91</v>
      </c>
      <c r="G364">
        <v>0</v>
      </c>
      <c r="H364">
        <f>CLIENTS_CHURN34[[#This Row],[Anciennete_Mois]]/12</f>
        <v>3.25</v>
      </c>
      <c r="I364">
        <f>CLIENTS_CHURN34[[#This Row],[Duree_Cumulee_Panne_Min]]/60</f>
        <v>3.6666666666666665</v>
      </c>
    </row>
    <row r="365" spans="1:9">
      <c r="A365" s="1" t="s">
        <v>653</v>
      </c>
      <c r="B365" t="s">
        <v>79</v>
      </c>
      <c r="C365">
        <v>114</v>
      </c>
      <c r="D365" t="s">
        <v>11</v>
      </c>
      <c r="E365">
        <v>220</v>
      </c>
      <c r="F365">
        <v>63.67</v>
      </c>
      <c r="G365">
        <v>5</v>
      </c>
      <c r="H365">
        <f>CLIENTS_CHURN34[[#This Row],[Anciennete_Mois]]/12</f>
        <v>9.5</v>
      </c>
      <c r="I365">
        <f>CLIENTS_CHURN34[[#This Row],[Duree_Cumulee_Panne_Min]]/60</f>
        <v>3.6666666666666665</v>
      </c>
    </row>
    <row r="366" spans="1:9">
      <c r="A366" s="1" t="s">
        <v>551</v>
      </c>
      <c r="B366" t="s">
        <v>18</v>
      </c>
      <c r="C366">
        <v>88</v>
      </c>
      <c r="D366" t="s">
        <v>32</v>
      </c>
      <c r="E366">
        <v>219</v>
      </c>
      <c r="F366">
        <v>59.15</v>
      </c>
      <c r="G366">
        <v>0</v>
      </c>
      <c r="H366">
        <f>CLIENTS_CHURN34[[#This Row],[Anciennete_Mois]]/12</f>
        <v>7.333333333333333</v>
      </c>
      <c r="I366">
        <f>CLIENTS_CHURN34[[#This Row],[Duree_Cumulee_Panne_Min]]/60</f>
        <v>3.65</v>
      </c>
    </row>
    <row r="367" spans="1:9">
      <c r="A367" s="1" t="s">
        <v>140</v>
      </c>
      <c r="B367" t="s">
        <v>38</v>
      </c>
      <c r="C367">
        <v>83</v>
      </c>
      <c r="D367" t="s">
        <v>11</v>
      </c>
      <c r="E367">
        <v>219</v>
      </c>
      <c r="F367">
        <v>52.26</v>
      </c>
      <c r="G367">
        <v>1</v>
      </c>
      <c r="H367">
        <f>CLIENTS_CHURN34[[#This Row],[Anciennete_Mois]]/12</f>
        <v>6.916666666666667</v>
      </c>
      <c r="I367">
        <f>CLIENTS_CHURN34[[#This Row],[Duree_Cumulee_Panne_Min]]/60</f>
        <v>3.65</v>
      </c>
    </row>
    <row r="368" spans="1:9">
      <c r="A368" s="1" t="s">
        <v>191</v>
      </c>
      <c r="B368" t="s">
        <v>43</v>
      </c>
      <c r="C368">
        <v>40</v>
      </c>
      <c r="D368" t="s">
        <v>21</v>
      </c>
      <c r="E368">
        <v>219</v>
      </c>
      <c r="F368">
        <v>53.98</v>
      </c>
      <c r="G368">
        <v>2</v>
      </c>
      <c r="H368">
        <f>CLIENTS_CHURN34[[#This Row],[Anciennete_Mois]]/12</f>
        <v>3.3333333333333335</v>
      </c>
      <c r="I368">
        <f>CLIENTS_CHURN34[[#This Row],[Duree_Cumulee_Panne_Min]]/60</f>
        <v>3.65</v>
      </c>
    </row>
    <row r="369" spans="1:9">
      <c r="A369" s="1" t="s">
        <v>344</v>
      </c>
      <c r="B369" t="s">
        <v>43</v>
      </c>
      <c r="C369">
        <v>25</v>
      </c>
      <c r="D369" t="s">
        <v>11</v>
      </c>
      <c r="E369">
        <v>218</v>
      </c>
      <c r="F369">
        <v>68.790000000000006</v>
      </c>
      <c r="G369">
        <v>0</v>
      </c>
      <c r="H369">
        <f>CLIENTS_CHURN34[[#This Row],[Anciennete_Mois]]/12</f>
        <v>2.0833333333333335</v>
      </c>
      <c r="I369">
        <f>CLIENTS_CHURN34[[#This Row],[Duree_Cumulee_Panne_Min]]/60</f>
        <v>3.6333333333333333</v>
      </c>
    </row>
    <row r="370" spans="1:9">
      <c r="A370" s="1" t="s">
        <v>395</v>
      </c>
      <c r="B370" t="s">
        <v>76</v>
      </c>
      <c r="C370">
        <v>90</v>
      </c>
      <c r="D370" t="s">
        <v>14</v>
      </c>
      <c r="E370">
        <v>216</v>
      </c>
      <c r="F370">
        <v>45.58</v>
      </c>
      <c r="G370">
        <v>0</v>
      </c>
      <c r="H370">
        <f>CLIENTS_CHURN34[[#This Row],[Anciennete_Mois]]/12</f>
        <v>7.5</v>
      </c>
      <c r="I370">
        <f>CLIENTS_CHURN34[[#This Row],[Duree_Cumulee_Panne_Min]]/60</f>
        <v>3.6</v>
      </c>
    </row>
    <row r="371" spans="1:9">
      <c r="A371" s="1" t="s">
        <v>551</v>
      </c>
      <c r="B371" t="s">
        <v>36</v>
      </c>
      <c r="C371">
        <v>46</v>
      </c>
      <c r="D371" t="s">
        <v>11</v>
      </c>
      <c r="E371">
        <v>216</v>
      </c>
      <c r="F371">
        <v>63.74</v>
      </c>
      <c r="G371">
        <v>4</v>
      </c>
      <c r="H371">
        <f>CLIENTS_CHURN34[[#This Row],[Anciennete_Mois]]/12</f>
        <v>3.8333333333333335</v>
      </c>
      <c r="I371">
        <f>CLIENTS_CHURN34[[#This Row],[Duree_Cumulee_Panne_Min]]/60</f>
        <v>3.6</v>
      </c>
    </row>
    <row r="372" spans="1:9">
      <c r="A372" s="1" t="s">
        <v>653</v>
      </c>
      <c r="B372" t="s">
        <v>18</v>
      </c>
      <c r="C372">
        <v>18</v>
      </c>
      <c r="D372" t="s">
        <v>11</v>
      </c>
      <c r="E372">
        <v>216</v>
      </c>
      <c r="F372">
        <v>33.74</v>
      </c>
      <c r="G372">
        <v>5</v>
      </c>
      <c r="H372">
        <f>CLIENTS_CHURN34[[#This Row],[Anciennete_Mois]]/12</f>
        <v>1.5</v>
      </c>
      <c r="I372">
        <f>CLIENTS_CHURN34[[#This Row],[Duree_Cumulee_Panne_Min]]/60</f>
        <v>3.6</v>
      </c>
    </row>
    <row r="373" spans="1:9">
      <c r="A373" s="1" t="s">
        <v>756</v>
      </c>
      <c r="B373" t="s">
        <v>107</v>
      </c>
      <c r="C373">
        <v>54</v>
      </c>
      <c r="D373" t="s">
        <v>21</v>
      </c>
      <c r="E373">
        <v>215</v>
      </c>
      <c r="F373">
        <v>54.69</v>
      </c>
      <c r="G373">
        <v>0</v>
      </c>
      <c r="H373">
        <f>CLIENTS_CHURN34[[#This Row],[Anciennete_Mois]]/12</f>
        <v>4.5</v>
      </c>
      <c r="I373">
        <f>CLIENTS_CHURN34[[#This Row],[Duree_Cumulee_Panne_Min]]/60</f>
        <v>3.5833333333333335</v>
      </c>
    </row>
    <row r="374" spans="1:9">
      <c r="A374" s="1" t="s">
        <v>140</v>
      </c>
      <c r="B374" t="s">
        <v>36</v>
      </c>
      <c r="C374">
        <v>11</v>
      </c>
      <c r="D374" t="s">
        <v>14</v>
      </c>
      <c r="E374">
        <v>215</v>
      </c>
      <c r="F374">
        <v>51.99</v>
      </c>
      <c r="G374">
        <v>1</v>
      </c>
      <c r="H374">
        <f>CLIENTS_CHURN34[[#This Row],[Anciennete_Mois]]/12</f>
        <v>0.91666666666666663</v>
      </c>
      <c r="I374">
        <f>CLIENTS_CHURN34[[#This Row],[Duree_Cumulee_Panne_Min]]/60</f>
        <v>3.5833333333333335</v>
      </c>
    </row>
    <row r="375" spans="1:9">
      <c r="A375" s="1" t="s">
        <v>551</v>
      </c>
      <c r="B375" t="s">
        <v>26</v>
      </c>
      <c r="C375">
        <v>11</v>
      </c>
      <c r="D375" t="s">
        <v>11</v>
      </c>
      <c r="E375">
        <v>214</v>
      </c>
      <c r="F375">
        <v>11.46</v>
      </c>
      <c r="G375">
        <v>5</v>
      </c>
      <c r="H375">
        <f>CLIENTS_CHURN34[[#This Row],[Anciennete_Mois]]/12</f>
        <v>0.91666666666666663</v>
      </c>
      <c r="I375">
        <f>CLIENTS_CHURN34[[#This Row],[Duree_Cumulee_Panne_Min]]/60</f>
        <v>3.5666666666666669</v>
      </c>
    </row>
    <row r="376" spans="1:9">
      <c r="A376" s="1" t="s">
        <v>551</v>
      </c>
      <c r="B376" t="s">
        <v>111</v>
      </c>
      <c r="C376">
        <v>16</v>
      </c>
      <c r="D376" t="s">
        <v>11</v>
      </c>
      <c r="E376">
        <v>214</v>
      </c>
      <c r="F376">
        <v>46.57</v>
      </c>
      <c r="G376">
        <v>5</v>
      </c>
      <c r="H376">
        <f>CLIENTS_CHURN34[[#This Row],[Anciennete_Mois]]/12</f>
        <v>1.3333333333333333</v>
      </c>
      <c r="I376">
        <f>CLIENTS_CHURN34[[#This Row],[Duree_Cumulee_Panne_Min]]/60</f>
        <v>3.5666666666666669</v>
      </c>
    </row>
    <row r="377" spans="1:9">
      <c r="A377" s="1" t="s">
        <v>756</v>
      </c>
      <c r="B377" t="s">
        <v>16</v>
      </c>
      <c r="C377">
        <v>37</v>
      </c>
      <c r="D377" t="s">
        <v>32</v>
      </c>
      <c r="E377">
        <v>213</v>
      </c>
      <c r="F377">
        <v>14.12</v>
      </c>
      <c r="G377">
        <v>1</v>
      </c>
      <c r="H377">
        <f>CLIENTS_CHURN34[[#This Row],[Anciennete_Mois]]/12</f>
        <v>3.0833333333333335</v>
      </c>
      <c r="I377">
        <f>CLIENTS_CHURN34[[#This Row],[Duree_Cumulee_Panne_Min]]/60</f>
        <v>3.55</v>
      </c>
    </row>
    <row r="378" spans="1:9">
      <c r="A378" s="1" t="s">
        <v>499</v>
      </c>
      <c r="B378" t="s">
        <v>38</v>
      </c>
      <c r="C378">
        <v>1</v>
      </c>
      <c r="D378" t="s">
        <v>21</v>
      </c>
      <c r="E378">
        <v>213</v>
      </c>
      <c r="F378">
        <v>52.16</v>
      </c>
      <c r="G378">
        <v>3</v>
      </c>
      <c r="H378">
        <f>CLIENTS_CHURN34[[#This Row],[Anciennete_Mois]]/12</f>
        <v>8.3333333333333329E-2</v>
      </c>
      <c r="I378">
        <f>CLIENTS_CHURN34[[#This Row],[Duree_Cumulee_Panne_Min]]/60</f>
        <v>3.55</v>
      </c>
    </row>
    <row r="379" spans="1:9">
      <c r="A379" s="1" t="s">
        <v>191</v>
      </c>
      <c r="B379" t="s">
        <v>40</v>
      </c>
      <c r="C379">
        <v>74</v>
      </c>
      <c r="D379" t="s">
        <v>32</v>
      </c>
      <c r="E379">
        <v>213</v>
      </c>
      <c r="F379">
        <v>35.54</v>
      </c>
      <c r="G379">
        <v>3</v>
      </c>
      <c r="H379">
        <f>CLIENTS_CHURN34[[#This Row],[Anciennete_Mois]]/12</f>
        <v>6.166666666666667</v>
      </c>
      <c r="I379">
        <f>CLIENTS_CHURN34[[#This Row],[Duree_Cumulee_Panne_Min]]/60</f>
        <v>3.55</v>
      </c>
    </row>
    <row r="380" spans="1:9">
      <c r="A380" s="1" t="s">
        <v>242</v>
      </c>
      <c r="B380" t="s">
        <v>16</v>
      </c>
      <c r="C380">
        <v>96</v>
      </c>
      <c r="D380" t="s">
        <v>21</v>
      </c>
      <c r="E380">
        <v>210</v>
      </c>
      <c r="F380">
        <v>28.39</v>
      </c>
      <c r="G380">
        <v>3</v>
      </c>
      <c r="H380">
        <f>CLIENTS_CHURN34[[#This Row],[Anciennete_Mois]]/12</f>
        <v>8</v>
      </c>
      <c r="I380">
        <f>CLIENTS_CHURN34[[#This Row],[Duree_Cumulee_Panne_Min]]/60</f>
        <v>3.5</v>
      </c>
    </row>
    <row r="381" spans="1:9">
      <c r="A381" s="1" t="s">
        <v>293</v>
      </c>
      <c r="B381" t="s">
        <v>111</v>
      </c>
      <c r="C381">
        <v>120</v>
      </c>
      <c r="D381" t="s">
        <v>11</v>
      </c>
      <c r="E381">
        <v>209</v>
      </c>
      <c r="F381">
        <v>42.51</v>
      </c>
      <c r="G381">
        <v>4</v>
      </c>
      <c r="H381">
        <f>CLIENTS_CHURN34[[#This Row],[Anciennete_Mois]]/12</f>
        <v>10</v>
      </c>
      <c r="I381">
        <f>CLIENTS_CHURN34[[#This Row],[Duree_Cumulee_Panne_Min]]/60</f>
        <v>3.4833333333333334</v>
      </c>
    </row>
    <row r="382" spans="1:9">
      <c r="A382" s="1" t="s">
        <v>85</v>
      </c>
      <c r="B382" t="s">
        <v>61</v>
      </c>
      <c r="C382">
        <v>74</v>
      </c>
      <c r="D382" t="s">
        <v>32</v>
      </c>
      <c r="E382">
        <v>208</v>
      </c>
      <c r="F382">
        <v>39.56</v>
      </c>
      <c r="G382">
        <v>0</v>
      </c>
      <c r="H382">
        <f>CLIENTS_CHURN34[[#This Row],[Anciennete_Mois]]/12</f>
        <v>6.166666666666667</v>
      </c>
      <c r="I382">
        <f>CLIENTS_CHURN34[[#This Row],[Duree_Cumulee_Panne_Min]]/60</f>
        <v>3.4666666666666668</v>
      </c>
    </row>
    <row r="383" spans="1:9">
      <c r="A383" s="1" t="s">
        <v>85</v>
      </c>
      <c r="B383" t="s">
        <v>18</v>
      </c>
      <c r="C383">
        <v>12</v>
      </c>
      <c r="D383" t="s">
        <v>32</v>
      </c>
      <c r="E383">
        <v>208</v>
      </c>
      <c r="F383">
        <v>16.29</v>
      </c>
      <c r="G383">
        <v>4</v>
      </c>
      <c r="H383">
        <f>CLIENTS_CHURN34[[#This Row],[Anciennete_Mois]]/12</f>
        <v>1</v>
      </c>
      <c r="I383">
        <f>CLIENTS_CHURN34[[#This Row],[Duree_Cumulee_Panne_Min]]/60</f>
        <v>3.4666666666666668</v>
      </c>
    </row>
    <row r="384" spans="1:9">
      <c r="A384" s="1" t="s">
        <v>85</v>
      </c>
      <c r="B384" t="s">
        <v>13</v>
      </c>
      <c r="C384">
        <v>57</v>
      </c>
      <c r="D384" t="s">
        <v>14</v>
      </c>
      <c r="E384">
        <v>208</v>
      </c>
      <c r="F384">
        <v>85.66</v>
      </c>
      <c r="G384">
        <v>5</v>
      </c>
      <c r="H384">
        <f>CLIENTS_CHURN34[[#This Row],[Anciennete_Mois]]/12</f>
        <v>4.75</v>
      </c>
      <c r="I384">
        <f>CLIENTS_CHURN34[[#This Row],[Duree_Cumulee_Panne_Min]]/60</f>
        <v>3.4666666666666668</v>
      </c>
    </row>
    <row r="385" spans="1:9">
      <c r="A385" s="1" t="s">
        <v>8</v>
      </c>
      <c r="B385" t="s">
        <v>61</v>
      </c>
      <c r="C385">
        <v>6</v>
      </c>
      <c r="D385" t="s">
        <v>32</v>
      </c>
      <c r="E385">
        <v>207</v>
      </c>
      <c r="F385">
        <v>61.55</v>
      </c>
      <c r="G385">
        <v>0</v>
      </c>
      <c r="H385">
        <f>CLIENTS_CHURN34[[#This Row],[Anciennete_Mois]]/12</f>
        <v>0.5</v>
      </c>
      <c r="I385">
        <f>CLIENTS_CHURN34[[#This Row],[Duree_Cumulee_Panne_Min]]/60</f>
        <v>3.45</v>
      </c>
    </row>
    <row r="386" spans="1:9">
      <c r="A386" s="1" t="s">
        <v>191</v>
      </c>
      <c r="B386" t="s">
        <v>52</v>
      </c>
      <c r="C386">
        <v>113</v>
      </c>
      <c r="D386" t="s">
        <v>32</v>
      </c>
      <c r="E386">
        <v>207</v>
      </c>
      <c r="F386">
        <v>21.55</v>
      </c>
      <c r="G386">
        <v>0</v>
      </c>
      <c r="H386">
        <f>CLIENTS_CHURN34[[#This Row],[Anciennete_Mois]]/12</f>
        <v>9.4166666666666661</v>
      </c>
      <c r="I386">
        <f>CLIENTS_CHURN34[[#This Row],[Duree_Cumulee_Panne_Min]]/60</f>
        <v>3.45</v>
      </c>
    </row>
    <row r="387" spans="1:9">
      <c r="A387" s="1" t="s">
        <v>551</v>
      </c>
      <c r="B387" t="s">
        <v>76</v>
      </c>
      <c r="C387">
        <v>33</v>
      </c>
      <c r="D387" t="s">
        <v>11</v>
      </c>
      <c r="E387">
        <v>207</v>
      </c>
      <c r="F387">
        <v>38.49</v>
      </c>
      <c r="G387">
        <v>4</v>
      </c>
      <c r="H387">
        <f>CLIENTS_CHURN34[[#This Row],[Anciennete_Mois]]/12</f>
        <v>2.75</v>
      </c>
      <c r="I387">
        <f>CLIENTS_CHURN34[[#This Row],[Duree_Cumulee_Panne_Min]]/60</f>
        <v>3.45</v>
      </c>
    </row>
    <row r="388" spans="1:9">
      <c r="A388" s="1" t="s">
        <v>344</v>
      </c>
      <c r="B388" t="s">
        <v>40</v>
      </c>
      <c r="C388">
        <v>41</v>
      </c>
      <c r="D388" t="s">
        <v>11</v>
      </c>
      <c r="E388">
        <v>206</v>
      </c>
      <c r="F388">
        <v>83.16</v>
      </c>
      <c r="G388">
        <v>2</v>
      </c>
      <c r="H388">
        <f>CLIENTS_CHURN34[[#This Row],[Anciennete_Mois]]/12</f>
        <v>3.4166666666666665</v>
      </c>
      <c r="I388">
        <f>CLIENTS_CHURN34[[#This Row],[Duree_Cumulee_Panne_Min]]/60</f>
        <v>3.4333333333333331</v>
      </c>
    </row>
    <row r="389" spans="1:9">
      <c r="A389" s="1" t="s">
        <v>8</v>
      </c>
      <c r="B389" t="s">
        <v>43</v>
      </c>
      <c r="C389">
        <v>7</v>
      </c>
      <c r="D389" t="s">
        <v>32</v>
      </c>
      <c r="E389">
        <v>206</v>
      </c>
      <c r="F389">
        <v>78.09</v>
      </c>
      <c r="G389">
        <v>3</v>
      </c>
      <c r="H389">
        <f>CLIENTS_CHURN34[[#This Row],[Anciennete_Mois]]/12</f>
        <v>0.58333333333333337</v>
      </c>
      <c r="I389">
        <f>CLIENTS_CHURN34[[#This Row],[Duree_Cumulee_Panne_Min]]/60</f>
        <v>3.4333333333333331</v>
      </c>
    </row>
    <row r="390" spans="1:9">
      <c r="A390" s="1" t="s">
        <v>653</v>
      </c>
      <c r="B390" t="s">
        <v>65</v>
      </c>
      <c r="C390">
        <v>17</v>
      </c>
      <c r="D390" t="s">
        <v>11</v>
      </c>
      <c r="E390">
        <v>206</v>
      </c>
      <c r="F390">
        <v>63.46</v>
      </c>
      <c r="G390">
        <v>3</v>
      </c>
      <c r="H390">
        <f>CLIENTS_CHURN34[[#This Row],[Anciennete_Mois]]/12</f>
        <v>1.4166666666666667</v>
      </c>
      <c r="I390">
        <f>CLIENTS_CHURN34[[#This Row],[Duree_Cumulee_Panne_Min]]/60</f>
        <v>3.4333333333333331</v>
      </c>
    </row>
    <row r="391" spans="1:9">
      <c r="A391" s="1" t="s">
        <v>8</v>
      </c>
      <c r="B391" t="s">
        <v>16</v>
      </c>
      <c r="C391">
        <v>63</v>
      </c>
      <c r="D391" t="s">
        <v>11</v>
      </c>
      <c r="E391">
        <v>205</v>
      </c>
      <c r="F391">
        <v>89.19</v>
      </c>
      <c r="G391">
        <v>0</v>
      </c>
      <c r="H391">
        <f>CLIENTS_CHURN34[[#This Row],[Anciennete_Mois]]/12</f>
        <v>5.25</v>
      </c>
      <c r="I391">
        <f>CLIENTS_CHURN34[[#This Row],[Duree_Cumulee_Panne_Min]]/60</f>
        <v>3.4166666666666665</v>
      </c>
    </row>
    <row r="392" spans="1:9">
      <c r="A392" s="1" t="s">
        <v>242</v>
      </c>
      <c r="B392" t="s">
        <v>10</v>
      </c>
      <c r="C392">
        <v>87</v>
      </c>
      <c r="D392" t="s">
        <v>11</v>
      </c>
      <c r="E392">
        <v>205</v>
      </c>
      <c r="F392">
        <v>40.159999999999997</v>
      </c>
      <c r="G392">
        <v>5</v>
      </c>
      <c r="H392">
        <f>CLIENTS_CHURN34[[#This Row],[Anciennete_Mois]]/12</f>
        <v>7.25</v>
      </c>
      <c r="I392">
        <f>CLIENTS_CHURN34[[#This Row],[Duree_Cumulee_Panne_Min]]/60</f>
        <v>3.4166666666666665</v>
      </c>
    </row>
    <row r="393" spans="1:9">
      <c r="A393" s="1" t="s">
        <v>653</v>
      </c>
      <c r="B393" t="s">
        <v>20</v>
      </c>
      <c r="C393">
        <v>15</v>
      </c>
      <c r="D393" t="s">
        <v>11</v>
      </c>
      <c r="E393">
        <v>203</v>
      </c>
      <c r="F393">
        <v>55.29</v>
      </c>
      <c r="G393">
        <v>2</v>
      </c>
      <c r="H393">
        <f>CLIENTS_CHURN34[[#This Row],[Anciennete_Mois]]/12</f>
        <v>1.25</v>
      </c>
      <c r="I393">
        <f>CLIENTS_CHURN34[[#This Row],[Duree_Cumulee_Panne_Min]]/60</f>
        <v>3.3833333333333333</v>
      </c>
    </row>
    <row r="394" spans="1:9">
      <c r="A394" s="1" t="s">
        <v>344</v>
      </c>
      <c r="B394" t="s">
        <v>29</v>
      </c>
      <c r="C394">
        <v>29</v>
      </c>
      <c r="D394" t="s">
        <v>11</v>
      </c>
      <c r="E394">
        <v>203</v>
      </c>
      <c r="F394">
        <v>53.97</v>
      </c>
      <c r="G394">
        <v>5</v>
      </c>
      <c r="H394">
        <f>CLIENTS_CHURN34[[#This Row],[Anciennete_Mois]]/12</f>
        <v>2.4166666666666665</v>
      </c>
      <c r="I394">
        <f>CLIENTS_CHURN34[[#This Row],[Duree_Cumulee_Panne_Min]]/60</f>
        <v>3.3833333333333333</v>
      </c>
    </row>
    <row r="395" spans="1:9">
      <c r="A395" s="1" t="s">
        <v>191</v>
      </c>
      <c r="B395" t="s">
        <v>76</v>
      </c>
      <c r="C395">
        <v>89</v>
      </c>
      <c r="D395" t="s">
        <v>11</v>
      </c>
      <c r="E395">
        <v>203</v>
      </c>
      <c r="F395">
        <v>80.680000000000007</v>
      </c>
      <c r="G395">
        <v>5</v>
      </c>
      <c r="H395">
        <f>CLIENTS_CHURN34[[#This Row],[Anciennete_Mois]]/12</f>
        <v>7.416666666666667</v>
      </c>
      <c r="I395">
        <f>CLIENTS_CHURN34[[#This Row],[Duree_Cumulee_Panne_Min]]/60</f>
        <v>3.3833333333333333</v>
      </c>
    </row>
    <row r="396" spans="1:9">
      <c r="A396" s="1" t="s">
        <v>242</v>
      </c>
      <c r="B396" t="s">
        <v>107</v>
      </c>
      <c r="C396">
        <v>44</v>
      </c>
      <c r="D396" t="s">
        <v>14</v>
      </c>
      <c r="E396">
        <v>199</v>
      </c>
      <c r="F396">
        <v>67.650000000000006</v>
      </c>
      <c r="G396">
        <v>0</v>
      </c>
      <c r="H396">
        <f>CLIENTS_CHURN34[[#This Row],[Anciennete_Mois]]/12</f>
        <v>3.6666666666666665</v>
      </c>
      <c r="I396">
        <f>CLIENTS_CHURN34[[#This Row],[Duree_Cumulee_Panne_Min]]/60</f>
        <v>3.3166666666666669</v>
      </c>
    </row>
    <row r="397" spans="1:9">
      <c r="A397" s="1" t="s">
        <v>8</v>
      </c>
      <c r="B397" t="s">
        <v>18</v>
      </c>
      <c r="C397">
        <v>47</v>
      </c>
      <c r="D397" t="s">
        <v>14</v>
      </c>
      <c r="E397">
        <v>199</v>
      </c>
      <c r="F397">
        <v>23.19</v>
      </c>
      <c r="G397">
        <v>2</v>
      </c>
      <c r="H397">
        <f>CLIENTS_CHURN34[[#This Row],[Anciennete_Mois]]/12</f>
        <v>3.9166666666666665</v>
      </c>
      <c r="I397">
        <f>CLIENTS_CHURN34[[#This Row],[Duree_Cumulee_Panne_Min]]/60</f>
        <v>3.3166666666666669</v>
      </c>
    </row>
    <row r="398" spans="1:9">
      <c r="A398" s="1" t="s">
        <v>242</v>
      </c>
      <c r="B398" t="s">
        <v>95</v>
      </c>
      <c r="C398">
        <v>78</v>
      </c>
      <c r="D398" t="s">
        <v>21</v>
      </c>
      <c r="E398">
        <v>198</v>
      </c>
      <c r="F398">
        <v>69.849999999999994</v>
      </c>
      <c r="G398">
        <v>0</v>
      </c>
      <c r="H398">
        <f>CLIENTS_CHURN34[[#This Row],[Anciennete_Mois]]/12</f>
        <v>6.5</v>
      </c>
      <c r="I398">
        <f>CLIENTS_CHURN34[[#This Row],[Duree_Cumulee_Panne_Min]]/60</f>
        <v>3.3</v>
      </c>
    </row>
    <row r="399" spans="1:9">
      <c r="A399" s="1" t="s">
        <v>85</v>
      </c>
      <c r="B399" t="s">
        <v>71</v>
      </c>
      <c r="C399">
        <v>30</v>
      </c>
      <c r="D399" t="s">
        <v>32</v>
      </c>
      <c r="E399">
        <v>197</v>
      </c>
      <c r="F399">
        <v>15.42</v>
      </c>
      <c r="G399">
        <v>0</v>
      </c>
      <c r="H399">
        <f>CLIENTS_CHURN34[[#This Row],[Anciennete_Mois]]/12</f>
        <v>2.5</v>
      </c>
      <c r="I399">
        <f>CLIENTS_CHURN34[[#This Row],[Duree_Cumulee_Panne_Min]]/60</f>
        <v>3.2833333333333332</v>
      </c>
    </row>
    <row r="400" spans="1:9">
      <c r="A400" s="1" t="s">
        <v>140</v>
      </c>
      <c r="B400" t="s">
        <v>79</v>
      </c>
      <c r="C400">
        <v>59</v>
      </c>
      <c r="D400" t="s">
        <v>14</v>
      </c>
      <c r="E400">
        <v>196</v>
      </c>
      <c r="F400">
        <v>62.53</v>
      </c>
      <c r="G400">
        <v>0</v>
      </c>
      <c r="H400">
        <f>CLIENTS_CHURN34[[#This Row],[Anciennete_Mois]]/12</f>
        <v>4.916666666666667</v>
      </c>
      <c r="I400">
        <f>CLIENTS_CHURN34[[#This Row],[Duree_Cumulee_Panne_Min]]/60</f>
        <v>3.2666666666666666</v>
      </c>
    </row>
    <row r="401" spans="1:9">
      <c r="A401" s="1" t="s">
        <v>653</v>
      </c>
      <c r="B401" t="s">
        <v>95</v>
      </c>
      <c r="C401">
        <v>90</v>
      </c>
      <c r="D401" t="s">
        <v>11</v>
      </c>
      <c r="E401">
        <v>195</v>
      </c>
      <c r="F401">
        <v>52.71</v>
      </c>
      <c r="G401">
        <v>2</v>
      </c>
      <c r="H401">
        <f>CLIENTS_CHURN34[[#This Row],[Anciennete_Mois]]/12</f>
        <v>7.5</v>
      </c>
      <c r="I401">
        <f>CLIENTS_CHURN34[[#This Row],[Duree_Cumulee_Panne_Min]]/60</f>
        <v>3.25</v>
      </c>
    </row>
    <row r="402" spans="1:9">
      <c r="A402" s="1" t="s">
        <v>395</v>
      </c>
      <c r="B402" t="s">
        <v>52</v>
      </c>
      <c r="C402">
        <v>111</v>
      </c>
      <c r="D402" t="s">
        <v>14</v>
      </c>
      <c r="E402">
        <v>194</v>
      </c>
      <c r="F402">
        <v>48.55</v>
      </c>
      <c r="G402">
        <v>2</v>
      </c>
      <c r="H402">
        <f>CLIENTS_CHURN34[[#This Row],[Anciennete_Mois]]/12</f>
        <v>9.25</v>
      </c>
      <c r="I402">
        <f>CLIENTS_CHURN34[[#This Row],[Duree_Cumulee_Panne_Min]]/60</f>
        <v>3.2333333333333334</v>
      </c>
    </row>
    <row r="403" spans="1:9">
      <c r="A403" s="1" t="s">
        <v>499</v>
      </c>
      <c r="B403" t="s">
        <v>63</v>
      </c>
      <c r="C403">
        <v>43</v>
      </c>
      <c r="D403" t="s">
        <v>32</v>
      </c>
      <c r="E403">
        <v>193</v>
      </c>
      <c r="F403">
        <v>35.81</v>
      </c>
      <c r="G403">
        <v>0</v>
      </c>
      <c r="H403">
        <f>CLIENTS_CHURN34[[#This Row],[Anciennete_Mois]]/12</f>
        <v>3.5833333333333335</v>
      </c>
      <c r="I403">
        <f>CLIENTS_CHURN34[[#This Row],[Duree_Cumulee_Panne_Min]]/60</f>
        <v>3.2166666666666668</v>
      </c>
    </row>
    <row r="404" spans="1:9">
      <c r="A404" s="1" t="s">
        <v>293</v>
      </c>
      <c r="B404" t="s">
        <v>95</v>
      </c>
      <c r="C404">
        <v>66</v>
      </c>
      <c r="D404" t="s">
        <v>32</v>
      </c>
      <c r="E404">
        <v>193</v>
      </c>
      <c r="F404">
        <v>21.06</v>
      </c>
      <c r="G404">
        <v>3</v>
      </c>
      <c r="H404">
        <f>CLIENTS_CHURN34[[#This Row],[Anciennete_Mois]]/12</f>
        <v>5.5</v>
      </c>
      <c r="I404">
        <f>CLIENTS_CHURN34[[#This Row],[Duree_Cumulee_Panne_Min]]/60</f>
        <v>3.2166666666666668</v>
      </c>
    </row>
    <row r="405" spans="1:9">
      <c r="A405" s="1" t="s">
        <v>344</v>
      </c>
      <c r="B405" t="s">
        <v>57</v>
      </c>
      <c r="C405">
        <v>76</v>
      </c>
      <c r="D405" t="s">
        <v>14</v>
      </c>
      <c r="E405">
        <v>192</v>
      </c>
      <c r="F405">
        <v>68.53</v>
      </c>
      <c r="G405">
        <v>0</v>
      </c>
      <c r="H405">
        <f>CLIENTS_CHURN34[[#This Row],[Anciennete_Mois]]/12</f>
        <v>6.333333333333333</v>
      </c>
      <c r="I405">
        <f>CLIENTS_CHURN34[[#This Row],[Duree_Cumulee_Panne_Min]]/60</f>
        <v>3.2</v>
      </c>
    </row>
    <row r="406" spans="1:9">
      <c r="A406" s="1" t="s">
        <v>85</v>
      </c>
      <c r="B406" t="s">
        <v>20</v>
      </c>
      <c r="C406">
        <v>59</v>
      </c>
      <c r="D406" t="s">
        <v>21</v>
      </c>
      <c r="E406">
        <v>192</v>
      </c>
      <c r="F406">
        <v>86.17</v>
      </c>
      <c r="G406">
        <v>1</v>
      </c>
      <c r="H406">
        <f>CLIENTS_CHURN34[[#This Row],[Anciennete_Mois]]/12</f>
        <v>4.916666666666667</v>
      </c>
      <c r="I406">
        <f>CLIENTS_CHURN34[[#This Row],[Duree_Cumulee_Panne_Min]]/60</f>
        <v>3.2</v>
      </c>
    </row>
    <row r="407" spans="1:9">
      <c r="A407" s="1" t="s">
        <v>344</v>
      </c>
      <c r="B407" t="s">
        <v>18</v>
      </c>
      <c r="C407">
        <v>86</v>
      </c>
      <c r="D407" t="s">
        <v>11</v>
      </c>
      <c r="E407">
        <v>192</v>
      </c>
      <c r="F407">
        <v>26.26</v>
      </c>
      <c r="G407">
        <v>1</v>
      </c>
      <c r="H407">
        <f>CLIENTS_CHURN34[[#This Row],[Anciennete_Mois]]/12</f>
        <v>7.166666666666667</v>
      </c>
      <c r="I407">
        <f>CLIENTS_CHURN34[[#This Row],[Duree_Cumulee_Panne_Min]]/60</f>
        <v>3.2</v>
      </c>
    </row>
    <row r="408" spans="1:9">
      <c r="A408" s="1" t="s">
        <v>191</v>
      </c>
      <c r="B408" t="s">
        <v>61</v>
      </c>
      <c r="C408">
        <v>11</v>
      </c>
      <c r="D408" t="s">
        <v>32</v>
      </c>
      <c r="E408">
        <v>191</v>
      </c>
      <c r="F408">
        <v>87.37</v>
      </c>
      <c r="G408">
        <v>3</v>
      </c>
      <c r="H408">
        <f>CLIENTS_CHURN34[[#This Row],[Anciennete_Mois]]/12</f>
        <v>0.91666666666666663</v>
      </c>
      <c r="I408">
        <f>CLIENTS_CHURN34[[#This Row],[Duree_Cumulee_Panne_Min]]/60</f>
        <v>3.1833333333333331</v>
      </c>
    </row>
    <row r="409" spans="1:9">
      <c r="A409" s="1" t="s">
        <v>705</v>
      </c>
      <c r="B409" t="s">
        <v>52</v>
      </c>
      <c r="C409">
        <v>38</v>
      </c>
      <c r="D409" t="s">
        <v>21</v>
      </c>
      <c r="E409">
        <v>191</v>
      </c>
      <c r="F409">
        <v>22.97</v>
      </c>
      <c r="G409">
        <v>3</v>
      </c>
      <c r="H409">
        <f>CLIENTS_CHURN34[[#This Row],[Anciennete_Mois]]/12</f>
        <v>3.1666666666666665</v>
      </c>
      <c r="I409">
        <f>CLIENTS_CHURN34[[#This Row],[Duree_Cumulee_Panne_Min]]/60</f>
        <v>3.1833333333333331</v>
      </c>
    </row>
    <row r="410" spans="1:9">
      <c r="A410" s="1" t="s">
        <v>395</v>
      </c>
      <c r="B410" t="s">
        <v>65</v>
      </c>
      <c r="C410">
        <v>71</v>
      </c>
      <c r="D410" t="s">
        <v>32</v>
      </c>
      <c r="E410">
        <v>191</v>
      </c>
      <c r="F410">
        <v>83.04</v>
      </c>
      <c r="G410">
        <v>4</v>
      </c>
      <c r="H410">
        <f>CLIENTS_CHURN34[[#This Row],[Anciennete_Mois]]/12</f>
        <v>5.916666666666667</v>
      </c>
      <c r="I410">
        <f>CLIENTS_CHURN34[[#This Row],[Duree_Cumulee_Panne_Min]]/60</f>
        <v>3.1833333333333331</v>
      </c>
    </row>
    <row r="411" spans="1:9">
      <c r="A411" s="1" t="s">
        <v>499</v>
      </c>
      <c r="B411" t="s">
        <v>65</v>
      </c>
      <c r="C411">
        <v>115</v>
      </c>
      <c r="D411" t="s">
        <v>11</v>
      </c>
      <c r="E411">
        <v>190</v>
      </c>
      <c r="F411">
        <v>10.98</v>
      </c>
      <c r="G411">
        <v>0</v>
      </c>
      <c r="H411">
        <f>CLIENTS_CHURN34[[#This Row],[Anciennete_Mois]]/12</f>
        <v>9.5833333333333339</v>
      </c>
      <c r="I411">
        <f>CLIENTS_CHURN34[[#This Row],[Duree_Cumulee_Panne_Min]]/60</f>
        <v>3.1666666666666665</v>
      </c>
    </row>
    <row r="412" spans="1:9">
      <c r="A412" s="1" t="s">
        <v>653</v>
      </c>
      <c r="B412" t="s">
        <v>45</v>
      </c>
      <c r="C412">
        <v>102</v>
      </c>
      <c r="D412" t="s">
        <v>14</v>
      </c>
      <c r="E412">
        <v>189</v>
      </c>
      <c r="F412">
        <v>26.86</v>
      </c>
      <c r="G412">
        <v>5</v>
      </c>
      <c r="H412">
        <f>CLIENTS_CHURN34[[#This Row],[Anciennete_Mois]]/12</f>
        <v>8.5</v>
      </c>
      <c r="I412">
        <f>CLIENTS_CHURN34[[#This Row],[Duree_Cumulee_Panne_Min]]/60</f>
        <v>3.15</v>
      </c>
    </row>
    <row r="413" spans="1:9">
      <c r="A413" s="1" t="s">
        <v>242</v>
      </c>
      <c r="B413" t="s">
        <v>13</v>
      </c>
      <c r="C413">
        <v>91</v>
      </c>
      <c r="D413" t="s">
        <v>14</v>
      </c>
      <c r="E413">
        <v>188</v>
      </c>
      <c r="F413">
        <v>65.78</v>
      </c>
      <c r="G413">
        <v>4</v>
      </c>
      <c r="H413">
        <f>CLIENTS_CHURN34[[#This Row],[Anciennete_Mois]]/12</f>
        <v>7.583333333333333</v>
      </c>
      <c r="I413">
        <f>CLIENTS_CHURN34[[#This Row],[Duree_Cumulee_Panne_Min]]/60</f>
        <v>3.1333333333333333</v>
      </c>
    </row>
    <row r="414" spans="1:9">
      <c r="A414" s="1" t="s">
        <v>395</v>
      </c>
      <c r="B414" t="s">
        <v>16</v>
      </c>
      <c r="C414">
        <v>76</v>
      </c>
      <c r="D414" t="s">
        <v>32</v>
      </c>
      <c r="E414">
        <v>187</v>
      </c>
      <c r="F414">
        <v>56.29</v>
      </c>
      <c r="G414">
        <v>1</v>
      </c>
      <c r="H414">
        <f>CLIENTS_CHURN34[[#This Row],[Anciennete_Mois]]/12</f>
        <v>6.333333333333333</v>
      </c>
      <c r="I414">
        <f>CLIENTS_CHURN34[[#This Row],[Duree_Cumulee_Panne_Min]]/60</f>
        <v>3.1166666666666667</v>
      </c>
    </row>
    <row r="415" spans="1:9">
      <c r="A415" s="1" t="s">
        <v>499</v>
      </c>
      <c r="B415" t="s">
        <v>107</v>
      </c>
      <c r="C415">
        <v>48</v>
      </c>
      <c r="D415" t="s">
        <v>21</v>
      </c>
      <c r="E415">
        <v>187</v>
      </c>
      <c r="F415">
        <v>21.26</v>
      </c>
      <c r="G415">
        <v>2</v>
      </c>
      <c r="H415">
        <f>CLIENTS_CHURN34[[#This Row],[Anciennete_Mois]]/12</f>
        <v>4</v>
      </c>
      <c r="I415">
        <f>CLIENTS_CHURN34[[#This Row],[Duree_Cumulee_Panne_Min]]/60</f>
        <v>3.1166666666666667</v>
      </c>
    </row>
    <row r="416" spans="1:9">
      <c r="A416" s="1" t="s">
        <v>602</v>
      </c>
      <c r="B416" t="s">
        <v>65</v>
      </c>
      <c r="C416">
        <v>118</v>
      </c>
      <c r="D416" t="s">
        <v>14</v>
      </c>
      <c r="E416">
        <v>186</v>
      </c>
      <c r="F416">
        <v>46.88</v>
      </c>
      <c r="G416">
        <v>1</v>
      </c>
      <c r="H416">
        <f>CLIENTS_CHURN34[[#This Row],[Anciennete_Mois]]/12</f>
        <v>9.8333333333333339</v>
      </c>
      <c r="I416">
        <f>CLIENTS_CHURN34[[#This Row],[Duree_Cumulee_Panne_Min]]/60</f>
        <v>3.1</v>
      </c>
    </row>
    <row r="417" spans="1:9">
      <c r="A417" s="1" t="s">
        <v>242</v>
      </c>
      <c r="B417" t="s">
        <v>13</v>
      </c>
      <c r="C417">
        <v>4</v>
      </c>
      <c r="D417" t="s">
        <v>14</v>
      </c>
      <c r="E417">
        <v>182</v>
      </c>
      <c r="F417">
        <v>89.56</v>
      </c>
      <c r="G417">
        <v>4</v>
      </c>
      <c r="H417">
        <f>CLIENTS_CHURN34[[#This Row],[Anciennete_Mois]]/12</f>
        <v>0.33333333333333331</v>
      </c>
      <c r="I417">
        <f>CLIENTS_CHURN34[[#This Row],[Duree_Cumulee_Panne_Min]]/60</f>
        <v>3.0333333333333332</v>
      </c>
    </row>
    <row r="418" spans="1:9">
      <c r="A418" s="1" t="s">
        <v>344</v>
      </c>
      <c r="B418" t="s">
        <v>111</v>
      </c>
      <c r="C418">
        <v>103</v>
      </c>
      <c r="D418" t="s">
        <v>21</v>
      </c>
      <c r="E418">
        <v>182</v>
      </c>
      <c r="F418">
        <v>12.07</v>
      </c>
      <c r="G418">
        <v>5</v>
      </c>
      <c r="H418">
        <f>CLIENTS_CHURN34[[#This Row],[Anciennete_Mois]]/12</f>
        <v>8.5833333333333339</v>
      </c>
      <c r="I418">
        <f>CLIENTS_CHURN34[[#This Row],[Duree_Cumulee_Panne_Min]]/60</f>
        <v>3.0333333333333332</v>
      </c>
    </row>
    <row r="419" spans="1:9">
      <c r="A419" s="1" t="s">
        <v>653</v>
      </c>
      <c r="B419" t="s">
        <v>29</v>
      </c>
      <c r="C419">
        <v>34</v>
      </c>
      <c r="D419" t="s">
        <v>21</v>
      </c>
      <c r="E419">
        <v>181</v>
      </c>
      <c r="F419">
        <v>35.92</v>
      </c>
      <c r="G419">
        <v>2</v>
      </c>
      <c r="H419">
        <f>CLIENTS_CHURN34[[#This Row],[Anciennete_Mois]]/12</f>
        <v>2.8333333333333335</v>
      </c>
      <c r="I419">
        <f>CLIENTS_CHURN34[[#This Row],[Duree_Cumulee_Panne_Min]]/60</f>
        <v>3.0166666666666666</v>
      </c>
    </row>
    <row r="420" spans="1:9">
      <c r="A420" s="1" t="s">
        <v>140</v>
      </c>
      <c r="B420" t="s">
        <v>61</v>
      </c>
      <c r="C420">
        <v>43</v>
      </c>
      <c r="D420" t="s">
        <v>14</v>
      </c>
      <c r="E420">
        <v>181</v>
      </c>
      <c r="F420">
        <v>72.39</v>
      </c>
      <c r="G420">
        <v>2</v>
      </c>
      <c r="H420">
        <f>CLIENTS_CHURN34[[#This Row],[Anciennete_Mois]]/12</f>
        <v>3.5833333333333335</v>
      </c>
      <c r="I420">
        <f>CLIENTS_CHURN34[[#This Row],[Duree_Cumulee_Panne_Min]]/60</f>
        <v>3.0166666666666666</v>
      </c>
    </row>
    <row r="421" spans="1:9">
      <c r="A421" s="1" t="s">
        <v>395</v>
      </c>
      <c r="B421" t="s">
        <v>13</v>
      </c>
      <c r="C421">
        <v>13</v>
      </c>
      <c r="D421" t="s">
        <v>14</v>
      </c>
      <c r="E421">
        <v>180</v>
      </c>
      <c r="F421">
        <v>24.01</v>
      </c>
      <c r="G421">
        <v>0</v>
      </c>
      <c r="H421">
        <f>CLIENTS_CHURN34[[#This Row],[Anciennete_Mois]]/12</f>
        <v>1.0833333333333333</v>
      </c>
      <c r="I421">
        <f>CLIENTS_CHURN34[[#This Row],[Duree_Cumulee_Panne_Min]]/60</f>
        <v>3</v>
      </c>
    </row>
    <row r="422" spans="1:9">
      <c r="A422" s="1" t="s">
        <v>653</v>
      </c>
      <c r="B422" t="s">
        <v>26</v>
      </c>
      <c r="C422">
        <v>69</v>
      </c>
      <c r="D422" t="s">
        <v>14</v>
      </c>
      <c r="E422">
        <v>180</v>
      </c>
      <c r="F422">
        <v>76.05</v>
      </c>
      <c r="G422">
        <v>2</v>
      </c>
      <c r="H422">
        <f>CLIENTS_CHURN34[[#This Row],[Anciennete_Mois]]/12</f>
        <v>5.75</v>
      </c>
      <c r="I422">
        <f>CLIENTS_CHURN34[[#This Row],[Duree_Cumulee_Panne_Min]]/60</f>
        <v>3</v>
      </c>
    </row>
    <row r="423" spans="1:9">
      <c r="A423" s="1" t="s">
        <v>551</v>
      </c>
      <c r="B423" t="s">
        <v>40</v>
      </c>
      <c r="C423">
        <v>41</v>
      </c>
      <c r="D423" t="s">
        <v>32</v>
      </c>
      <c r="E423">
        <v>178</v>
      </c>
      <c r="F423">
        <v>11.29</v>
      </c>
      <c r="G423">
        <v>4</v>
      </c>
      <c r="H423">
        <f>CLIENTS_CHURN34[[#This Row],[Anciennete_Mois]]/12</f>
        <v>3.4166666666666665</v>
      </c>
      <c r="I423">
        <f>CLIENTS_CHURN34[[#This Row],[Duree_Cumulee_Panne_Min]]/60</f>
        <v>2.9666666666666668</v>
      </c>
    </row>
    <row r="424" spans="1:9">
      <c r="A424" s="1" t="s">
        <v>756</v>
      </c>
      <c r="B424" t="s">
        <v>16</v>
      </c>
      <c r="C424">
        <v>63</v>
      </c>
      <c r="D424" t="s">
        <v>32</v>
      </c>
      <c r="E424">
        <v>177</v>
      </c>
      <c r="F424">
        <v>77.73</v>
      </c>
      <c r="G424">
        <v>3</v>
      </c>
      <c r="H424">
        <f>CLIENTS_CHURN34[[#This Row],[Anciennete_Mois]]/12</f>
        <v>5.25</v>
      </c>
      <c r="I424">
        <f>CLIENTS_CHURN34[[#This Row],[Duree_Cumulee_Panne_Min]]/60</f>
        <v>2.95</v>
      </c>
    </row>
    <row r="425" spans="1:9">
      <c r="A425" s="1" t="s">
        <v>602</v>
      </c>
      <c r="B425" t="s">
        <v>57</v>
      </c>
      <c r="C425">
        <v>50</v>
      </c>
      <c r="D425" t="s">
        <v>21</v>
      </c>
      <c r="E425">
        <v>177</v>
      </c>
      <c r="F425">
        <v>74.569999999999993</v>
      </c>
      <c r="G425">
        <v>4</v>
      </c>
      <c r="H425">
        <f>CLIENTS_CHURN34[[#This Row],[Anciennete_Mois]]/12</f>
        <v>4.166666666666667</v>
      </c>
      <c r="I425">
        <f>CLIENTS_CHURN34[[#This Row],[Duree_Cumulee_Panne_Min]]/60</f>
        <v>2.95</v>
      </c>
    </row>
    <row r="426" spans="1:9">
      <c r="A426" s="1" t="s">
        <v>8</v>
      </c>
      <c r="B426" t="s">
        <v>38</v>
      </c>
      <c r="C426">
        <v>115</v>
      </c>
      <c r="D426" t="s">
        <v>14</v>
      </c>
      <c r="E426">
        <v>176</v>
      </c>
      <c r="F426">
        <v>33.28</v>
      </c>
      <c r="G426">
        <v>4</v>
      </c>
      <c r="H426">
        <f>CLIENTS_CHURN34[[#This Row],[Anciennete_Mois]]/12</f>
        <v>9.5833333333333339</v>
      </c>
      <c r="I426">
        <f>CLIENTS_CHURN34[[#This Row],[Duree_Cumulee_Panne_Min]]/60</f>
        <v>2.9333333333333331</v>
      </c>
    </row>
    <row r="427" spans="1:9">
      <c r="A427" s="1" t="s">
        <v>602</v>
      </c>
      <c r="B427" t="s">
        <v>52</v>
      </c>
      <c r="C427">
        <v>82</v>
      </c>
      <c r="D427" t="s">
        <v>21</v>
      </c>
      <c r="E427">
        <v>175</v>
      </c>
      <c r="F427">
        <v>86.14</v>
      </c>
      <c r="G427">
        <v>1</v>
      </c>
      <c r="H427">
        <f>CLIENTS_CHURN34[[#This Row],[Anciennete_Mois]]/12</f>
        <v>6.833333333333333</v>
      </c>
      <c r="I427">
        <f>CLIENTS_CHURN34[[#This Row],[Duree_Cumulee_Panne_Min]]/60</f>
        <v>2.9166666666666665</v>
      </c>
    </row>
    <row r="428" spans="1:9">
      <c r="A428" s="1" t="s">
        <v>293</v>
      </c>
      <c r="B428" t="s">
        <v>10</v>
      </c>
      <c r="C428">
        <v>89</v>
      </c>
      <c r="D428" t="s">
        <v>14</v>
      </c>
      <c r="E428">
        <v>175</v>
      </c>
      <c r="F428">
        <v>32.369999999999997</v>
      </c>
      <c r="G428">
        <v>1</v>
      </c>
      <c r="H428">
        <f>CLIENTS_CHURN34[[#This Row],[Anciennete_Mois]]/12</f>
        <v>7.416666666666667</v>
      </c>
      <c r="I428">
        <f>CLIENTS_CHURN34[[#This Row],[Duree_Cumulee_Panne_Min]]/60</f>
        <v>2.9166666666666665</v>
      </c>
    </row>
    <row r="429" spans="1:9">
      <c r="A429" s="1" t="s">
        <v>551</v>
      </c>
      <c r="B429" t="s">
        <v>40</v>
      </c>
      <c r="C429">
        <v>17</v>
      </c>
      <c r="D429" t="s">
        <v>11</v>
      </c>
      <c r="E429">
        <v>175</v>
      </c>
      <c r="F429">
        <v>24.95</v>
      </c>
      <c r="G429">
        <v>4</v>
      </c>
      <c r="H429">
        <f>CLIENTS_CHURN34[[#This Row],[Anciennete_Mois]]/12</f>
        <v>1.4166666666666667</v>
      </c>
      <c r="I429">
        <f>CLIENTS_CHURN34[[#This Row],[Duree_Cumulee_Panne_Min]]/60</f>
        <v>2.9166666666666665</v>
      </c>
    </row>
    <row r="430" spans="1:9">
      <c r="A430" s="1" t="s">
        <v>191</v>
      </c>
      <c r="B430" t="s">
        <v>57</v>
      </c>
      <c r="C430">
        <v>26</v>
      </c>
      <c r="D430" t="s">
        <v>14</v>
      </c>
      <c r="E430">
        <v>174</v>
      </c>
      <c r="F430">
        <v>90.53</v>
      </c>
      <c r="G430">
        <v>3</v>
      </c>
      <c r="H430">
        <f>CLIENTS_CHURN34[[#This Row],[Anciennete_Mois]]/12</f>
        <v>2.1666666666666665</v>
      </c>
      <c r="I430">
        <f>CLIENTS_CHURN34[[#This Row],[Duree_Cumulee_Panne_Min]]/60</f>
        <v>2.9</v>
      </c>
    </row>
    <row r="431" spans="1:9">
      <c r="A431" s="1" t="s">
        <v>395</v>
      </c>
      <c r="B431" t="s">
        <v>26</v>
      </c>
      <c r="C431">
        <v>13</v>
      </c>
      <c r="D431" t="s">
        <v>11</v>
      </c>
      <c r="E431">
        <v>173</v>
      </c>
      <c r="F431">
        <v>85.54</v>
      </c>
      <c r="G431">
        <v>3</v>
      </c>
      <c r="H431">
        <f>CLIENTS_CHURN34[[#This Row],[Anciennete_Mois]]/12</f>
        <v>1.0833333333333333</v>
      </c>
      <c r="I431">
        <f>CLIENTS_CHURN34[[#This Row],[Duree_Cumulee_Panne_Min]]/60</f>
        <v>2.8833333333333333</v>
      </c>
    </row>
    <row r="432" spans="1:9">
      <c r="A432" s="1" t="s">
        <v>344</v>
      </c>
      <c r="B432" t="s">
        <v>36</v>
      </c>
      <c r="C432">
        <v>29</v>
      </c>
      <c r="D432" t="s">
        <v>14</v>
      </c>
      <c r="E432">
        <v>173</v>
      </c>
      <c r="F432">
        <v>49.03</v>
      </c>
      <c r="G432">
        <v>3</v>
      </c>
      <c r="H432">
        <f>CLIENTS_CHURN34[[#This Row],[Anciennete_Mois]]/12</f>
        <v>2.4166666666666665</v>
      </c>
      <c r="I432">
        <f>CLIENTS_CHURN34[[#This Row],[Duree_Cumulee_Panne_Min]]/60</f>
        <v>2.8833333333333333</v>
      </c>
    </row>
    <row r="433" spans="1:9">
      <c r="A433" s="1" t="s">
        <v>140</v>
      </c>
      <c r="B433" t="s">
        <v>57</v>
      </c>
      <c r="C433">
        <v>42</v>
      </c>
      <c r="D433" t="s">
        <v>21</v>
      </c>
      <c r="E433">
        <v>173</v>
      </c>
      <c r="F433">
        <v>69.19</v>
      </c>
      <c r="G433">
        <v>4</v>
      </c>
      <c r="H433">
        <f>CLIENTS_CHURN34[[#This Row],[Anciennete_Mois]]/12</f>
        <v>3.5</v>
      </c>
      <c r="I433">
        <f>CLIENTS_CHURN34[[#This Row],[Duree_Cumulee_Panne_Min]]/60</f>
        <v>2.8833333333333333</v>
      </c>
    </row>
    <row r="434" spans="1:9">
      <c r="A434" s="1" t="s">
        <v>756</v>
      </c>
      <c r="B434" t="s">
        <v>29</v>
      </c>
      <c r="C434">
        <v>97</v>
      </c>
      <c r="D434" t="s">
        <v>14</v>
      </c>
      <c r="E434">
        <v>173</v>
      </c>
      <c r="F434">
        <v>19.37</v>
      </c>
      <c r="G434">
        <v>5</v>
      </c>
      <c r="H434">
        <f>CLIENTS_CHURN34[[#This Row],[Anciennete_Mois]]/12</f>
        <v>8.0833333333333339</v>
      </c>
      <c r="I434">
        <f>CLIENTS_CHURN34[[#This Row],[Duree_Cumulee_Panne_Min]]/60</f>
        <v>2.8833333333333333</v>
      </c>
    </row>
    <row r="435" spans="1:9">
      <c r="A435" s="1" t="s">
        <v>499</v>
      </c>
      <c r="B435" t="s">
        <v>45</v>
      </c>
      <c r="C435">
        <v>105</v>
      </c>
      <c r="D435" t="s">
        <v>21</v>
      </c>
      <c r="E435">
        <v>172</v>
      </c>
      <c r="F435">
        <v>15.88</v>
      </c>
      <c r="G435">
        <v>5</v>
      </c>
      <c r="H435">
        <f>CLIENTS_CHURN34[[#This Row],[Anciennete_Mois]]/12</f>
        <v>8.75</v>
      </c>
      <c r="I435">
        <f>CLIENTS_CHURN34[[#This Row],[Duree_Cumulee_Panne_Min]]/60</f>
        <v>2.8666666666666667</v>
      </c>
    </row>
    <row r="436" spans="1:9">
      <c r="A436" s="1" t="s">
        <v>756</v>
      </c>
      <c r="B436" t="s">
        <v>43</v>
      </c>
      <c r="C436">
        <v>8</v>
      </c>
      <c r="D436" t="s">
        <v>14</v>
      </c>
      <c r="E436">
        <v>171</v>
      </c>
      <c r="F436">
        <v>52.98</v>
      </c>
      <c r="G436">
        <v>0</v>
      </c>
      <c r="H436">
        <f>CLIENTS_CHURN34[[#This Row],[Anciennete_Mois]]/12</f>
        <v>0.66666666666666663</v>
      </c>
      <c r="I436">
        <f>CLIENTS_CHURN34[[#This Row],[Duree_Cumulee_Panne_Min]]/60</f>
        <v>2.85</v>
      </c>
    </row>
    <row r="437" spans="1:9">
      <c r="A437" s="1" t="s">
        <v>8</v>
      </c>
      <c r="B437" t="s">
        <v>24</v>
      </c>
      <c r="C437">
        <v>117</v>
      </c>
      <c r="D437" t="s">
        <v>21</v>
      </c>
      <c r="E437">
        <v>171</v>
      </c>
      <c r="F437">
        <v>50.89</v>
      </c>
      <c r="G437">
        <v>4</v>
      </c>
      <c r="H437">
        <f>CLIENTS_CHURN34[[#This Row],[Anciennete_Mois]]/12</f>
        <v>9.75</v>
      </c>
      <c r="I437">
        <f>CLIENTS_CHURN34[[#This Row],[Duree_Cumulee_Panne_Min]]/60</f>
        <v>2.85</v>
      </c>
    </row>
    <row r="438" spans="1:9">
      <c r="A438" s="1" t="s">
        <v>705</v>
      </c>
      <c r="B438" t="s">
        <v>76</v>
      </c>
      <c r="C438">
        <v>18</v>
      </c>
      <c r="D438" t="s">
        <v>21</v>
      </c>
      <c r="E438">
        <v>170</v>
      </c>
      <c r="F438">
        <v>87.34</v>
      </c>
      <c r="G438">
        <v>1</v>
      </c>
      <c r="H438">
        <f>CLIENTS_CHURN34[[#This Row],[Anciennete_Mois]]/12</f>
        <v>1.5</v>
      </c>
      <c r="I438">
        <f>CLIENTS_CHURN34[[#This Row],[Duree_Cumulee_Panne_Min]]/60</f>
        <v>2.8333333333333335</v>
      </c>
    </row>
    <row r="439" spans="1:9">
      <c r="A439" s="1" t="s">
        <v>705</v>
      </c>
      <c r="B439" t="s">
        <v>40</v>
      </c>
      <c r="C439">
        <v>99</v>
      </c>
      <c r="D439" t="s">
        <v>11</v>
      </c>
      <c r="E439">
        <v>169</v>
      </c>
      <c r="F439">
        <v>76.75</v>
      </c>
      <c r="G439">
        <v>5</v>
      </c>
      <c r="H439">
        <f>CLIENTS_CHURN34[[#This Row],[Anciennete_Mois]]/12</f>
        <v>8.25</v>
      </c>
      <c r="I439">
        <f>CLIENTS_CHURN34[[#This Row],[Duree_Cumulee_Panne_Min]]/60</f>
        <v>2.8166666666666669</v>
      </c>
    </row>
    <row r="440" spans="1:9">
      <c r="A440" s="1" t="s">
        <v>140</v>
      </c>
      <c r="B440" t="s">
        <v>63</v>
      </c>
      <c r="C440">
        <v>60</v>
      </c>
      <c r="D440" t="s">
        <v>14</v>
      </c>
      <c r="E440">
        <v>168</v>
      </c>
      <c r="F440">
        <v>67.650000000000006</v>
      </c>
      <c r="G440">
        <v>1</v>
      </c>
      <c r="H440">
        <f>CLIENTS_CHURN34[[#This Row],[Anciennete_Mois]]/12</f>
        <v>5</v>
      </c>
      <c r="I440">
        <f>CLIENTS_CHURN34[[#This Row],[Duree_Cumulee_Panne_Min]]/60</f>
        <v>2.8</v>
      </c>
    </row>
    <row r="441" spans="1:9">
      <c r="A441" s="1" t="s">
        <v>756</v>
      </c>
      <c r="B441" t="s">
        <v>111</v>
      </c>
      <c r="C441">
        <v>98</v>
      </c>
      <c r="D441" t="s">
        <v>11</v>
      </c>
      <c r="E441">
        <v>168</v>
      </c>
      <c r="F441">
        <v>44.14</v>
      </c>
      <c r="G441">
        <v>3</v>
      </c>
      <c r="H441">
        <f>CLIENTS_CHURN34[[#This Row],[Anciennete_Mois]]/12</f>
        <v>8.1666666666666661</v>
      </c>
      <c r="I441">
        <f>CLIENTS_CHURN34[[#This Row],[Duree_Cumulee_Panne_Min]]/60</f>
        <v>2.8</v>
      </c>
    </row>
    <row r="442" spans="1:9">
      <c r="A442" s="1" t="s">
        <v>602</v>
      </c>
      <c r="B442" t="s">
        <v>36</v>
      </c>
      <c r="C442">
        <v>42</v>
      </c>
      <c r="D442" t="s">
        <v>11</v>
      </c>
      <c r="E442">
        <v>167</v>
      </c>
      <c r="F442">
        <v>45.85</v>
      </c>
      <c r="G442">
        <v>2</v>
      </c>
      <c r="H442">
        <f>CLIENTS_CHURN34[[#This Row],[Anciennete_Mois]]/12</f>
        <v>3.5</v>
      </c>
      <c r="I442">
        <f>CLIENTS_CHURN34[[#This Row],[Duree_Cumulee_Panne_Min]]/60</f>
        <v>2.7833333333333332</v>
      </c>
    </row>
    <row r="443" spans="1:9">
      <c r="A443" s="1" t="s">
        <v>242</v>
      </c>
      <c r="B443" t="s">
        <v>52</v>
      </c>
      <c r="C443">
        <v>10</v>
      </c>
      <c r="D443" t="s">
        <v>14</v>
      </c>
      <c r="E443">
        <v>165</v>
      </c>
      <c r="F443">
        <v>38.619999999999997</v>
      </c>
      <c r="G443">
        <v>2</v>
      </c>
      <c r="H443">
        <f>CLIENTS_CHURN34[[#This Row],[Anciennete_Mois]]/12</f>
        <v>0.83333333333333337</v>
      </c>
      <c r="I443">
        <f>CLIENTS_CHURN34[[#This Row],[Duree_Cumulee_Panne_Min]]/60</f>
        <v>2.75</v>
      </c>
    </row>
    <row r="444" spans="1:9">
      <c r="A444" s="1" t="s">
        <v>85</v>
      </c>
      <c r="B444" t="s">
        <v>29</v>
      </c>
      <c r="C444">
        <v>6</v>
      </c>
      <c r="D444" t="s">
        <v>32</v>
      </c>
      <c r="E444">
        <v>162</v>
      </c>
      <c r="F444">
        <v>99.93</v>
      </c>
      <c r="G444">
        <v>0</v>
      </c>
      <c r="H444">
        <f>CLIENTS_CHURN34[[#This Row],[Anciennete_Mois]]/12</f>
        <v>0.5</v>
      </c>
      <c r="I444">
        <f>CLIENTS_CHURN34[[#This Row],[Duree_Cumulee_Panne_Min]]/60</f>
        <v>2.7</v>
      </c>
    </row>
    <row r="445" spans="1:9">
      <c r="A445" s="1" t="s">
        <v>242</v>
      </c>
      <c r="B445" t="s">
        <v>52</v>
      </c>
      <c r="C445">
        <v>60</v>
      </c>
      <c r="D445" t="s">
        <v>21</v>
      </c>
      <c r="E445">
        <v>161</v>
      </c>
      <c r="F445">
        <v>62.65</v>
      </c>
      <c r="G445">
        <v>0</v>
      </c>
      <c r="H445">
        <f>CLIENTS_CHURN34[[#This Row],[Anciennete_Mois]]/12</f>
        <v>5</v>
      </c>
      <c r="I445">
        <f>CLIENTS_CHURN34[[#This Row],[Duree_Cumulee_Panne_Min]]/60</f>
        <v>2.6833333333333331</v>
      </c>
    </row>
    <row r="446" spans="1:9">
      <c r="A446" s="1" t="s">
        <v>8</v>
      </c>
      <c r="B446" t="s">
        <v>31</v>
      </c>
      <c r="C446">
        <v>72</v>
      </c>
      <c r="D446" t="s">
        <v>11</v>
      </c>
      <c r="E446">
        <v>160</v>
      </c>
      <c r="F446">
        <v>90.13</v>
      </c>
      <c r="G446">
        <v>2</v>
      </c>
      <c r="H446">
        <f>CLIENTS_CHURN34[[#This Row],[Anciennete_Mois]]/12</f>
        <v>6</v>
      </c>
      <c r="I446">
        <f>CLIENTS_CHURN34[[#This Row],[Duree_Cumulee_Panne_Min]]/60</f>
        <v>2.6666666666666665</v>
      </c>
    </row>
    <row r="447" spans="1:9">
      <c r="A447" s="1" t="s">
        <v>191</v>
      </c>
      <c r="B447" t="s">
        <v>71</v>
      </c>
      <c r="C447">
        <v>31</v>
      </c>
      <c r="D447" t="s">
        <v>14</v>
      </c>
      <c r="E447">
        <v>160</v>
      </c>
      <c r="F447">
        <v>59.76</v>
      </c>
      <c r="G447">
        <v>4</v>
      </c>
      <c r="H447">
        <f>CLIENTS_CHURN34[[#This Row],[Anciennete_Mois]]/12</f>
        <v>2.5833333333333335</v>
      </c>
      <c r="I447">
        <f>CLIENTS_CHURN34[[#This Row],[Duree_Cumulee_Panne_Min]]/60</f>
        <v>2.6666666666666665</v>
      </c>
    </row>
    <row r="448" spans="1:9">
      <c r="A448" s="1" t="s">
        <v>8</v>
      </c>
      <c r="B448" t="s">
        <v>40</v>
      </c>
      <c r="C448">
        <v>6</v>
      </c>
      <c r="D448" t="s">
        <v>21</v>
      </c>
      <c r="E448">
        <v>155</v>
      </c>
      <c r="F448">
        <v>40.659999999999997</v>
      </c>
      <c r="G448">
        <v>1</v>
      </c>
      <c r="H448">
        <f>CLIENTS_CHURN34[[#This Row],[Anciennete_Mois]]/12</f>
        <v>0.5</v>
      </c>
      <c r="I448">
        <f>CLIENTS_CHURN34[[#This Row],[Duree_Cumulee_Panne_Min]]/60</f>
        <v>2.5833333333333335</v>
      </c>
    </row>
    <row r="449" spans="1:9">
      <c r="A449" s="1" t="s">
        <v>85</v>
      </c>
      <c r="B449" t="s">
        <v>111</v>
      </c>
      <c r="C449">
        <v>80</v>
      </c>
      <c r="D449" t="s">
        <v>21</v>
      </c>
      <c r="E449">
        <v>155</v>
      </c>
      <c r="F449">
        <v>28.96</v>
      </c>
      <c r="G449">
        <v>2</v>
      </c>
      <c r="H449">
        <f>CLIENTS_CHURN34[[#This Row],[Anciennete_Mois]]/12</f>
        <v>6.666666666666667</v>
      </c>
      <c r="I449">
        <f>CLIENTS_CHURN34[[#This Row],[Duree_Cumulee_Panne_Min]]/60</f>
        <v>2.5833333333333335</v>
      </c>
    </row>
    <row r="450" spans="1:9">
      <c r="A450" s="1" t="s">
        <v>447</v>
      </c>
      <c r="B450" t="s">
        <v>57</v>
      </c>
      <c r="C450">
        <v>96</v>
      </c>
      <c r="D450" t="s">
        <v>21</v>
      </c>
      <c r="E450">
        <v>155</v>
      </c>
      <c r="F450">
        <v>69.16</v>
      </c>
      <c r="G450">
        <v>4</v>
      </c>
      <c r="H450">
        <f>CLIENTS_CHURN34[[#This Row],[Anciennete_Mois]]/12</f>
        <v>8</v>
      </c>
      <c r="I450">
        <f>CLIENTS_CHURN34[[#This Row],[Duree_Cumulee_Panne_Min]]/60</f>
        <v>2.5833333333333335</v>
      </c>
    </row>
    <row r="451" spans="1:9">
      <c r="A451" s="1" t="s">
        <v>8</v>
      </c>
      <c r="B451" t="s">
        <v>76</v>
      </c>
      <c r="C451">
        <v>81</v>
      </c>
      <c r="D451" t="s">
        <v>11</v>
      </c>
      <c r="E451">
        <v>154</v>
      </c>
      <c r="F451">
        <v>19.47</v>
      </c>
      <c r="G451">
        <v>3</v>
      </c>
      <c r="H451">
        <f>CLIENTS_CHURN34[[#This Row],[Anciennete_Mois]]/12</f>
        <v>6.75</v>
      </c>
      <c r="I451">
        <f>CLIENTS_CHURN34[[#This Row],[Duree_Cumulee_Panne_Min]]/60</f>
        <v>2.5666666666666669</v>
      </c>
    </row>
    <row r="452" spans="1:9">
      <c r="A452" s="1" t="s">
        <v>242</v>
      </c>
      <c r="B452" t="s">
        <v>26</v>
      </c>
      <c r="C452">
        <v>60</v>
      </c>
      <c r="D452" t="s">
        <v>21</v>
      </c>
      <c r="E452">
        <v>154</v>
      </c>
      <c r="F452">
        <v>13.41</v>
      </c>
      <c r="G452">
        <v>5</v>
      </c>
      <c r="H452">
        <f>CLIENTS_CHURN34[[#This Row],[Anciennete_Mois]]/12</f>
        <v>5</v>
      </c>
      <c r="I452">
        <f>CLIENTS_CHURN34[[#This Row],[Duree_Cumulee_Panne_Min]]/60</f>
        <v>2.5666666666666669</v>
      </c>
    </row>
    <row r="453" spans="1:9">
      <c r="A453" s="1" t="s">
        <v>344</v>
      </c>
      <c r="B453" t="s">
        <v>18</v>
      </c>
      <c r="C453">
        <v>88</v>
      </c>
      <c r="D453" t="s">
        <v>21</v>
      </c>
      <c r="E453">
        <v>154</v>
      </c>
      <c r="F453">
        <v>62.62</v>
      </c>
      <c r="G453">
        <v>5</v>
      </c>
      <c r="H453">
        <f>CLIENTS_CHURN34[[#This Row],[Anciennete_Mois]]/12</f>
        <v>7.333333333333333</v>
      </c>
      <c r="I453">
        <f>CLIENTS_CHURN34[[#This Row],[Duree_Cumulee_Panne_Min]]/60</f>
        <v>2.5666666666666669</v>
      </c>
    </row>
    <row r="454" spans="1:9">
      <c r="A454" s="1" t="s">
        <v>499</v>
      </c>
      <c r="B454" t="s">
        <v>76</v>
      </c>
      <c r="C454">
        <v>93</v>
      </c>
      <c r="D454" t="s">
        <v>11</v>
      </c>
      <c r="E454">
        <v>153</v>
      </c>
      <c r="F454">
        <v>86.19</v>
      </c>
      <c r="G454">
        <v>0</v>
      </c>
      <c r="H454">
        <f>CLIENTS_CHURN34[[#This Row],[Anciennete_Mois]]/12</f>
        <v>7.75</v>
      </c>
      <c r="I454">
        <f>CLIENTS_CHURN34[[#This Row],[Duree_Cumulee_Panne_Min]]/60</f>
        <v>2.5499999999999998</v>
      </c>
    </row>
    <row r="455" spans="1:9">
      <c r="A455" s="1" t="s">
        <v>602</v>
      </c>
      <c r="B455" t="s">
        <v>24</v>
      </c>
      <c r="C455">
        <v>51</v>
      </c>
      <c r="D455" t="s">
        <v>21</v>
      </c>
      <c r="E455">
        <v>152</v>
      </c>
      <c r="F455">
        <v>34.630000000000003</v>
      </c>
      <c r="G455">
        <v>2</v>
      </c>
      <c r="H455">
        <f>CLIENTS_CHURN34[[#This Row],[Anciennete_Mois]]/12</f>
        <v>4.25</v>
      </c>
      <c r="I455">
        <f>CLIENTS_CHURN34[[#This Row],[Duree_Cumulee_Panne_Min]]/60</f>
        <v>2.5333333333333332</v>
      </c>
    </row>
    <row r="456" spans="1:9">
      <c r="A456" s="1" t="s">
        <v>551</v>
      </c>
      <c r="B456" t="s">
        <v>111</v>
      </c>
      <c r="C456">
        <v>66</v>
      </c>
      <c r="D456" t="s">
        <v>11</v>
      </c>
      <c r="E456">
        <v>152</v>
      </c>
      <c r="F456">
        <v>95.71</v>
      </c>
      <c r="G456">
        <v>3</v>
      </c>
      <c r="H456">
        <f>CLIENTS_CHURN34[[#This Row],[Anciennete_Mois]]/12</f>
        <v>5.5</v>
      </c>
      <c r="I456">
        <f>CLIENTS_CHURN34[[#This Row],[Duree_Cumulee_Panne_Min]]/60</f>
        <v>2.5333333333333332</v>
      </c>
    </row>
    <row r="457" spans="1:9">
      <c r="A457" s="1" t="s">
        <v>551</v>
      </c>
      <c r="B457" t="s">
        <v>20</v>
      </c>
      <c r="C457">
        <v>113</v>
      </c>
      <c r="D457" t="s">
        <v>11</v>
      </c>
      <c r="E457">
        <v>152</v>
      </c>
      <c r="F457">
        <v>51.28</v>
      </c>
      <c r="G457">
        <v>4</v>
      </c>
      <c r="H457">
        <f>CLIENTS_CHURN34[[#This Row],[Anciennete_Mois]]/12</f>
        <v>9.4166666666666661</v>
      </c>
      <c r="I457">
        <f>CLIENTS_CHURN34[[#This Row],[Duree_Cumulee_Panne_Min]]/60</f>
        <v>2.5333333333333332</v>
      </c>
    </row>
    <row r="458" spans="1:9">
      <c r="A458" s="1" t="s">
        <v>447</v>
      </c>
      <c r="B458" t="s">
        <v>24</v>
      </c>
      <c r="C458">
        <v>37</v>
      </c>
      <c r="D458" t="s">
        <v>21</v>
      </c>
      <c r="E458">
        <v>151</v>
      </c>
      <c r="F458">
        <v>62.49</v>
      </c>
      <c r="G458">
        <v>3</v>
      </c>
      <c r="H458">
        <f>CLIENTS_CHURN34[[#This Row],[Anciennete_Mois]]/12</f>
        <v>3.0833333333333335</v>
      </c>
      <c r="I458">
        <f>CLIENTS_CHURN34[[#This Row],[Duree_Cumulee_Panne_Min]]/60</f>
        <v>2.5166666666666666</v>
      </c>
    </row>
    <row r="459" spans="1:9">
      <c r="A459" s="1" t="s">
        <v>653</v>
      </c>
      <c r="B459" t="s">
        <v>10</v>
      </c>
      <c r="C459">
        <v>59</v>
      </c>
      <c r="D459" t="s">
        <v>14</v>
      </c>
      <c r="E459">
        <v>150</v>
      </c>
      <c r="F459">
        <v>71.13</v>
      </c>
      <c r="G459">
        <v>0</v>
      </c>
      <c r="H459">
        <f>CLIENTS_CHURN34[[#This Row],[Anciennete_Mois]]/12</f>
        <v>4.916666666666667</v>
      </c>
      <c r="I459">
        <f>CLIENTS_CHURN34[[#This Row],[Duree_Cumulee_Panne_Min]]/60</f>
        <v>2.5</v>
      </c>
    </row>
    <row r="460" spans="1:9">
      <c r="A460" s="1" t="s">
        <v>293</v>
      </c>
      <c r="B460" t="s">
        <v>95</v>
      </c>
      <c r="C460">
        <v>93</v>
      </c>
      <c r="D460" t="s">
        <v>32</v>
      </c>
      <c r="E460">
        <v>150</v>
      </c>
      <c r="F460">
        <v>93.25</v>
      </c>
      <c r="G460">
        <v>3</v>
      </c>
      <c r="H460">
        <f>CLIENTS_CHURN34[[#This Row],[Anciennete_Mois]]/12</f>
        <v>7.75</v>
      </c>
      <c r="I460">
        <f>CLIENTS_CHURN34[[#This Row],[Duree_Cumulee_Panne_Min]]/60</f>
        <v>2.5</v>
      </c>
    </row>
    <row r="461" spans="1:9">
      <c r="A461" s="1" t="s">
        <v>705</v>
      </c>
      <c r="B461" t="s">
        <v>57</v>
      </c>
      <c r="C461">
        <v>37</v>
      </c>
      <c r="D461" t="s">
        <v>11</v>
      </c>
      <c r="E461">
        <v>150</v>
      </c>
      <c r="F461">
        <v>37.979999999999997</v>
      </c>
      <c r="G461">
        <v>4</v>
      </c>
      <c r="H461">
        <f>CLIENTS_CHURN34[[#This Row],[Anciennete_Mois]]/12</f>
        <v>3.0833333333333335</v>
      </c>
      <c r="I461">
        <f>CLIENTS_CHURN34[[#This Row],[Duree_Cumulee_Panne_Min]]/60</f>
        <v>2.5</v>
      </c>
    </row>
    <row r="462" spans="1:9">
      <c r="A462" s="1" t="s">
        <v>447</v>
      </c>
      <c r="B462" t="s">
        <v>10</v>
      </c>
      <c r="C462">
        <v>47</v>
      </c>
      <c r="D462" t="s">
        <v>11</v>
      </c>
      <c r="E462">
        <v>149</v>
      </c>
      <c r="F462">
        <v>28.35</v>
      </c>
      <c r="G462">
        <v>1</v>
      </c>
      <c r="H462">
        <f>CLIENTS_CHURN34[[#This Row],[Anciennete_Mois]]/12</f>
        <v>3.9166666666666665</v>
      </c>
      <c r="I462">
        <f>CLIENTS_CHURN34[[#This Row],[Duree_Cumulee_Panne_Min]]/60</f>
        <v>2.4833333333333334</v>
      </c>
    </row>
    <row r="463" spans="1:9">
      <c r="A463" s="1" t="s">
        <v>705</v>
      </c>
      <c r="B463" t="s">
        <v>40</v>
      </c>
      <c r="C463">
        <v>101</v>
      </c>
      <c r="D463" t="s">
        <v>11</v>
      </c>
      <c r="E463">
        <v>148</v>
      </c>
      <c r="F463">
        <v>26.63</v>
      </c>
      <c r="G463">
        <v>3</v>
      </c>
      <c r="H463">
        <f>CLIENTS_CHURN34[[#This Row],[Anciennete_Mois]]/12</f>
        <v>8.4166666666666661</v>
      </c>
      <c r="I463">
        <f>CLIENTS_CHURN34[[#This Row],[Duree_Cumulee_Panne_Min]]/60</f>
        <v>2.4666666666666668</v>
      </c>
    </row>
    <row r="464" spans="1:9">
      <c r="A464" s="1" t="s">
        <v>8</v>
      </c>
      <c r="B464" t="s">
        <v>16</v>
      </c>
      <c r="C464">
        <v>89</v>
      </c>
      <c r="D464" t="s">
        <v>32</v>
      </c>
      <c r="E464">
        <v>143</v>
      </c>
      <c r="F464">
        <v>48.05</v>
      </c>
      <c r="G464">
        <v>4</v>
      </c>
      <c r="H464">
        <f>CLIENTS_CHURN34[[#This Row],[Anciennete_Mois]]/12</f>
        <v>7.416666666666667</v>
      </c>
      <c r="I464">
        <f>CLIENTS_CHURN34[[#This Row],[Duree_Cumulee_Panne_Min]]/60</f>
        <v>2.3833333333333333</v>
      </c>
    </row>
    <row r="465" spans="1:9">
      <c r="A465" s="1" t="s">
        <v>447</v>
      </c>
      <c r="B465" t="s">
        <v>61</v>
      </c>
      <c r="C465">
        <v>2</v>
      </c>
      <c r="D465" t="s">
        <v>14</v>
      </c>
      <c r="E465">
        <v>142</v>
      </c>
      <c r="F465">
        <v>49.05</v>
      </c>
      <c r="G465">
        <v>4</v>
      </c>
      <c r="H465">
        <f>CLIENTS_CHURN34[[#This Row],[Anciennete_Mois]]/12</f>
        <v>0.16666666666666666</v>
      </c>
      <c r="I465">
        <f>CLIENTS_CHURN34[[#This Row],[Duree_Cumulee_Panne_Min]]/60</f>
        <v>2.3666666666666667</v>
      </c>
    </row>
    <row r="466" spans="1:9">
      <c r="A466" s="1" t="s">
        <v>653</v>
      </c>
      <c r="B466" t="s">
        <v>65</v>
      </c>
      <c r="C466">
        <v>19</v>
      </c>
      <c r="D466" t="s">
        <v>14</v>
      </c>
      <c r="E466">
        <v>141</v>
      </c>
      <c r="F466">
        <v>53.95</v>
      </c>
      <c r="G466">
        <v>1</v>
      </c>
      <c r="H466">
        <f>CLIENTS_CHURN34[[#This Row],[Anciennete_Mois]]/12</f>
        <v>1.5833333333333333</v>
      </c>
      <c r="I466">
        <f>CLIENTS_CHURN34[[#This Row],[Duree_Cumulee_Panne_Min]]/60</f>
        <v>2.35</v>
      </c>
    </row>
    <row r="467" spans="1:9">
      <c r="A467" s="1" t="s">
        <v>653</v>
      </c>
      <c r="B467" t="s">
        <v>10</v>
      </c>
      <c r="C467">
        <v>79</v>
      </c>
      <c r="D467" t="s">
        <v>21</v>
      </c>
      <c r="E467">
        <v>139</v>
      </c>
      <c r="F467">
        <v>16.25</v>
      </c>
      <c r="G467">
        <v>4</v>
      </c>
      <c r="H467">
        <f>CLIENTS_CHURN34[[#This Row],[Anciennete_Mois]]/12</f>
        <v>6.583333333333333</v>
      </c>
      <c r="I467">
        <f>CLIENTS_CHURN34[[#This Row],[Duree_Cumulee_Panne_Min]]/60</f>
        <v>2.3166666666666669</v>
      </c>
    </row>
    <row r="468" spans="1:9">
      <c r="A468" s="1" t="s">
        <v>756</v>
      </c>
      <c r="B468" t="s">
        <v>13</v>
      </c>
      <c r="C468">
        <v>12</v>
      </c>
      <c r="D468" t="s">
        <v>32</v>
      </c>
      <c r="E468">
        <v>138</v>
      </c>
      <c r="F468">
        <v>99.83</v>
      </c>
      <c r="G468">
        <v>1</v>
      </c>
      <c r="H468">
        <f>CLIENTS_CHURN34[[#This Row],[Anciennete_Mois]]/12</f>
        <v>1</v>
      </c>
      <c r="I468">
        <f>CLIENTS_CHURN34[[#This Row],[Duree_Cumulee_Panne_Min]]/60</f>
        <v>2.2999999999999998</v>
      </c>
    </row>
    <row r="469" spans="1:9">
      <c r="A469" s="1" t="s">
        <v>705</v>
      </c>
      <c r="B469" t="s">
        <v>45</v>
      </c>
      <c r="C469">
        <v>107</v>
      </c>
      <c r="D469" t="s">
        <v>21</v>
      </c>
      <c r="E469">
        <v>138</v>
      </c>
      <c r="F469">
        <v>85.75</v>
      </c>
      <c r="G469">
        <v>1</v>
      </c>
      <c r="H469">
        <f>CLIENTS_CHURN34[[#This Row],[Anciennete_Mois]]/12</f>
        <v>8.9166666666666661</v>
      </c>
      <c r="I469">
        <f>CLIENTS_CHURN34[[#This Row],[Duree_Cumulee_Panne_Min]]/60</f>
        <v>2.2999999999999998</v>
      </c>
    </row>
    <row r="470" spans="1:9">
      <c r="A470" s="1" t="s">
        <v>447</v>
      </c>
      <c r="B470" t="s">
        <v>57</v>
      </c>
      <c r="C470">
        <v>99</v>
      </c>
      <c r="D470" t="s">
        <v>11</v>
      </c>
      <c r="E470">
        <v>138</v>
      </c>
      <c r="F470">
        <v>54.64</v>
      </c>
      <c r="G470">
        <v>5</v>
      </c>
      <c r="H470">
        <f>CLIENTS_CHURN34[[#This Row],[Anciennete_Mois]]/12</f>
        <v>8.25</v>
      </c>
      <c r="I470">
        <f>CLIENTS_CHURN34[[#This Row],[Duree_Cumulee_Panne_Min]]/60</f>
        <v>2.2999999999999998</v>
      </c>
    </row>
    <row r="471" spans="1:9">
      <c r="A471" s="1" t="s">
        <v>447</v>
      </c>
      <c r="B471" t="s">
        <v>71</v>
      </c>
      <c r="C471">
        <v>36</v>
      </c>
      <c r="D471" t="s">
        <v>32</v>
      </c>
      <c r="E471">
        <v>137</v>
      </c>
      <c r="F471">
        <v>71.930000000000007</v>
      </c>
      <c r="G471">
        <v>0</v>
      </c>
      <c r="H471">
        <f>CLIENTS_CHURN34[[#This Row],[Anciennete_Mois]]/12</f>
        <v>3</v>
      </c>
      <c r="I471">
        <f>CLIENTS_CHURN34[[#This Row],[Duree_Cumulee_Panne_Min]]/60</f>
        <v>2.2833333333333332</v>
      </c>
    </row>
    <row r="472" spans="1:9">
      <c r="A472" s="1" t="s">
        <v>85</v>
      </c>
      <c r="B472" t="s">
        <v>52</v>
      </c>
      <c r="C472">
        <v>44</v>
      </c>
      <c r="D472" t="s">
        <v>11</v>
      </c>
      <c r="E472">
        <v>137</v>
      </c>
      <c r="F472">
        <v>32.58</v>
      </c>
      <c r="G472">
        <v>0</v>
      </c>
      <c r="H472">
        <f>CLIENTS_CHURN34[[#This Row],[Anciennete_Mois]]/12</f>
        <v>3.6666666666666665</v>
      </c>
      <c r="I472">
        <f>CLIENTS_CHURN34[[#This Row],[Duree_Cumulee_Panne_Min]]/60</f>
        <v>2.2833333333333332</v>
      </c>
    </row>
    <row r="473" spans="1:9">
      <c r="A473" s="1" t="s">
        <v>85</v>
      </c>
      <c r="B473" t="s">
        <v>43</v>
      </c>
      <c r="C473">
        <v>81</v>
      </c>
      <c r="D473" t="s">
        <v>32</v>
      </c>
      <c r="E473">
        <v>137</v>
      </c>
      <c r="F473">
        <v>89.05</v>
      </c>
      <c r="G473">
        <v>0</v>
      </c>
      <c r="H473">
        <f>CLIENTS_CHURN34[[#This Row],[Anciennete_Mois]]/12</f>
        <v>6.75</v>
      </c>
      <c r="I473">
        <f>CLIENTS_CHURN34[[#This Row],[Duree_Cumulee_Panne_Min]]/60</f>
        <v>2.2833333333333332</v>
      </c>
    </row>
    <row r="474" spans="1:9">
      <c r="A474" s="1" t="s">
        <v>602</v>
      </c>
      <c r="B474" t="s">
        <v>63</v>
      </c>
      <c r="C474">
        <v>99</v>
      </c>
      <c r="D474" t="s">
        <v>21</v>
      </c>
      <c r="E474">
        <v>137</v>
      </c>
      <c r="F474">
        <v>23.05</v>
      </c>
      <c r="G474">
        <v>4</v>
      </c>
      <c r="H474">
        <f>CLIENTS_CHURN34[[#This Row],[Anciennete_Mois]]/12</f>
        <v>8.25</v>
      </c>
      <c r="I474">
        <f>CLIENTS_CHURN34[[#This Row],[Duree_Cumulee_Panne_Min]]/60</f>
        <v>2.2833333333333332</v>
      </c>
    </row>
    <row r="475" spans="1:9">
      <c r="A475" s="1" t="s">
        <v>653</v>
      </c>
      <c r="B475" t="s">
        <v>63</v>
      </c>
      <c r="C475">
        <v>93</v>
      </c>
      <c r="D475" t="s">
        <v>32</v>
      </c>
      <c r="E475">
        <v>136</v>
      </c>
      <c r="F475">
        <v>19.09</v>
      </c>
      <c r="G475">
        <v>1</v>
      </c>
      <c r="H475">
        <f>CLIENTS_CHURN34[[#This Row],[Anciennete_Mois]]/12</f>
        <v>7.75</v>
      </c>
      <c r="I475">
        <f>CLIENTS_CHURN34[[#This Row],[Duree_Cumulee_Panne_Min]]/60</f>
        <v>2.2666666666666666</v>
      </c>
    </row>
    <row r="476" spans="1:9">
      <c r="A476" s="1" t="s">
        <v>293</v>
      </c>
      <c r="B476" t="s">
        <v>65</v>
      </c>
      <c r="C476">
        <v>62</v>
      </c>
      <c r="D476" t="s">
        <v>21</v>
      </c>
      <c r="E476">
        <v>136</v>
      </c>
      <c r="F476">
        <v>88.61</v>
      </c>
      <c r="G476">
        <v>2</v>
      </c>
      <c r="H476">
        <f>CLIENTS_CHURN34[[#This Row],[Anciennete_Mois]]/12</f>
        <v>5.166666666666667</v>
      </c>
      <c r="I476">
        <f>CLIENTS_CHURN34[[#This Row],[Duree_Cumulee_Panne_Min]]/60</f>
        <v>2.2666666666666666</v>
      </c>
    </row>
    <row r="477" spans="1:9">
      <c r="A477" s="1" t="s">
        <v>653</v>
      </c>
      <c r="B477" t="s">
        <v>43</v>
      </c>
      <c r="C477">
        <v>1</v>
      </c>
      <c r="D477" t="s">
        <v>14</v>
      </c>
      <c r="E477">
        <v>135</v>
      </c>
      <c r="F477">
        <v>89.16</v>
      </c>
      <c r="G477">
        <v>3</v>
      </c>
      <c r="H477">
        <f>CLIENTS_CHURN34[[#This Row],[Anciennete_Mois]]/12</f>
        <v>8.3333333333333329E-2</v>
      </c>
      <c r="I477">
        <f>CLIENTS_CHURN34[[#This Row],[Duree_Cumulee_Panne_Min]]/60</f>
        <v>2.25</v>
      </c>
    </row>
    <row r="478" spans="1:9">
      <c r="A478" s="1" t="s">
        <v>756</v>
      </c>
      <c r="B478" t="s">
        <v>26</v>
      </c>
      <c r="C478">
        <v>119</v>
      </c>
      <c r="D478" t="s">
        <v>14</v>
      </c>
      <c r="E478">
        <v>133</v>
      </c>
      <c r="F478">
        <v>30.27</v>
      </c>
      <c r="G478">
        <v>5</v>
      </c>
      <c r="H478">
        <f>CLIENTS_CHURN34[[#This Row],[Anciennete_Mois]]/12</f>
        <v>9.9166666666666661</v>
      </c>
      <c r="I478">
        <f>CLIENTS_CHURN34[[#This Row],[Duree_Cumulee_Panne_Min]]/60</f>
        <v>2.2166666666666668</v>
      </c>
    </row>
    <row r="479" spans="1:9">
      <c r="A479" s="1" t="s">
        <v>447</v>
      </c>
      <c r="B479" t="s">
        <v>92</v>
      </c>
      <c r="C479">
        <v>85</v>
      </c>
      <c r="D479" t="s">
        <v>21</v>
      </c>
      <c r="E479">
        <v>132</v>
      </c>
      <c r="F479">
        <v>11.41</v>
      </c>
      <c r="G479">
        <v>0</v>
      </c>
      <c r="H479">
        <f>CLIENTS_CHURN34[[#This Row],[Anciennete_Mois]]/12</f>
        <v>7.083333333333333</v>
      </c>
      <c r="I479">
        <f>CLIENTS_CHURN34[[#This Row],[Duree_Cumulee_Panne_Min]]/60</f>
        <v>2.2000000000000002</v>
      </c>
    </row>
    <row r="480" spans="1:9">
      <c r="A480" s="1" t="s">
        <v>293</v>
      </c>
      <c r="B480" t="s">
        <v>107</v>
      </c>
      <c r="C480">
        <v>118</v>
      </c>
      <c r="D480" t="s">
        <v>11</v>
      </c>
      <c r="E480">
        <v>132</v>
      </c>
      <c r="F480">
        <v>40.880000000000003</v>
      </c>
      <c r="G480">
        <v>4</v>
      </c>
      <c r="H480">
        <f>CLIENTS_CHURN34[[#This Row],[Anciennete_Mois]]/12</f>
        <v>9.8333333333333339</v>
      </c>
      <c r="I480">
        <f>CLIENTS_CHURN34[[#This Row],[Duree_Cumulee_Panne_Min]]/60</f>
        <v>2.2000000000000002</v>
      </c>
    </row>
    <row r="481" spans="1:9">
      <c r="A481" s="1" t="s">
        <v>85</v>
      </c>
      <c r="B481" t="s">
        <v>18</v>
      </c>
      <c r="C481">
        <v>82</v>
      </c>
      <c r="D481" t="s">
        <v>14</v>
      </c>
      <c r="E481">
        <v>132</v>
      </c>
      <c r="F481">
        <v>50.14</v>
      </c>
      <c r="G481">
        <v>5</v>
      </c>
      <c r="H481">
        <f>CLIENTS_CHURN34[[#This Row],[Anciennete_Mois]]/12</f>
        <v>6.833333333333333</v>
      </c>
      <c r="I481">
        <f>CLIENTS_CHURN34[[#This Row],[Duree_Cumulee_Panne_Min]]/60</f>
        <v>2.2000000000000002</v>
      </c>
    </row>
    <row r="482" spans="1:9">
      <c r="A482" s="1" t="s">
        <v>551</v>
      </c>
      <c r="B482" t="s">
        <v>10</v>
      </c>
      <c r="C482">
        <v>110</v>
      </c>
      <c r="D482" t="s">
        <v>14</v>
      </c>
      <c r="E482">
        <v>132</v>
      </c>
      <c r="F482">
        <v>21.31</v>
      </c>
      <c r="G482">
        <v>5</v>
      </c>
      <c r="H482">
        <f>CLIENTS_CHURN34[[#This Row],[Anciennete_Mois]]/12</f>
        <v>9.1666666666666661</v>
      </c>
      <c r="I482">
        <f>CLIENTS_CHURN34[[#This Row],[Duree_Cumulee_Panne_Min]]/60</f>
        <v>2.2000000000000002</v>
      </c>
    </row>
    <row r="483" spans="1:9">
      <c r="A483" s="1" t="s">
        <v>140</v>
      </c>
      <c r="B483" t="s">
        <v>24</v>
      </c>
      <c r="C483">
        <v>25</v>
      </c>
      <c r="D483" t="s">
        <v>14</v>
      </c>
      <c r="E483">
        <v>131</v>
      </c>
      <c r="F483">
        <v>67.489999999999995</v>
      </c>
      <c r="G483">
        <v>0</v>
      </c>
      <c r="H483">
        <f>CLIENTS_CHURN34[[#This Row],[Anciennete_Mois]]/12</f>
        <v>2.0833333333333335</v>
      </c>
      <c r="I483">
        <f>CLIENTS_CHURN34[[#This Row],[Duree_Cumulee_Panne_Min]]/60</f>
        <v>2.1833333333333331</v>
      </c>
    </row>
    <row r="484" spans="1:9">
      <c r="A484" s="1" t="s">
        <v>602</v>
      </c>
      <c r="B484" t="s">
        <v>61</v>
      </c>
      <c r="C484">
        <v>30</v>
      </c>
      <c r="D484" t="s">
        <v>14</v>
      </c>
      <c r="E484">
        <v>130</v>
      </c>
      <c r="F484">
        <v>50.15</v>
      </c>
      <c r="G484">
        <v>4</v>
      </c>
      <c r="H484">
        <f>CLIENTS_CHURN34[[#This Row],[Anciennete_Mois]]/12</f>
        <v>2.5</v>
      </c>
      <c r="I484">
        <f>CLIENTS_CHURN34[[#This Row],[Duree_Cumulee_Panne_Min]]/60</f>
        <v>2.1666666666666665</v>
      </c>
    </row>
    <row r="485" spans="1:9">
      <c r="A485" s="1" t="s">
        <v>551</v>
      </c>
      <c r="B485" t="s">
        <v>57</v>
      </c>
      <c r="C485">
        <v>10</v>
      </c>
      <c r="D485" t="s">
        <v>11</v>
      </c>
      <c r="E485">
        <v>129</v>
      </c>
      <c r="F485">
        <v>70.12</v>
      </c>
      <c r="G485">
        <v>0</v>
      </c>
      <c r="H485">
        <f>CLIENTS_CHURN34[[#This Row],[Anciennete_Mois]]/12</f>
        <v>0.83333333333333337</v>
      </c>
      <c r="I485">
        <f>CLIENTS_CHURN34[[#This Row],[Duree_Cumulee_Panne_Min]]/60</f>
        <v>2.15</v>
      </c>
    </row>
    <row r="486" spans="1:9">
      <c r="A486" s="1" t="s">
        <v>242</v>
      </c>
      <c r="B486" t="s">
        <v>111</v>
      </c>
      <c r="C486">
        <v>106</v>
      </c>
      <c r="D486" t="s">
        <v>21</v>
      </c>
      <c r="E486">
        <v>128</v>
      </c>
      <c r="F486">
        <v>35.96</v>
      </c>
      <c r="G486">
        <v>2</v>
      </c>
      <c r="H486">
        <f>CLIENTS_CHURN34[[#This Row],[Anciennete_Mois]]/12</f>
        <v>8.8333333333333339</v>
      </c>
      <c r="I486">
        <f>CLIENTS_CHURN34[[#This Row],[Duree_Cumulee_Panne_Min]]/60</f>
        <v>2.1333333333333333</v>
      </c>
    </row>
    <row r="487" spans="1:9">
      <c r="A487" s="1" t="s">
        <v>395</v>
      </c>
      <c r="B487" t="s">
        <v>63</v>
      </c>
      <c r="C487">
        <v>22</v>
      </c>
      <c r="D487" t="s">
        <v>11</v>
      </c>
      <c r="E487">
        <v>127</v>
      </c>
      <c r="F487">
        <v>49.06</v>
      </c>
      <c r="G487">
        <v>2</v>
      </c>
      <c r="H487">
        <f>CLIENTS_CHURN34[[#This Row],[Anciennete_Mois]]/12</f>
        <v>1.8333333333333333</v>
      </c>
      <c r="I487">
        <f>CLIENTS_CHURN34[[#This Row],[Duree_Cumulee_Panne_Min]]/60</f>
        <v>2.1166666666666667</v>
      </c>
    </row>
    <row r="488" spans="1:9">
      <c r="A488" s="1" t="s">
        <v>85</v>
      </c>
      <c r="B488" t="s">
        <v>40</v>
      </c>
      <c r="C488">
        <v>83</v>
      </c>
      <c r="D488" t="s">
        <v>14</v>
      </c>
      <c r="E488">
        <v>126</v>
      </c>
      <c r="F488">
        <v>67.17</v>
      </c>
      <c r="G488">
        <v>1</v>
      </c>
      <c r="H488">
        <f>CLIENTS_CHURN34[[#This Row],[Anciennete_Mois]]/12</f>
        <v>6.916666666666667</v>
      </c>
      <c r="I488">
        <f>CLIENTS_CHURN34[[#This Row],[Duree_Cumulee_Panne_Min]]/60</f>
        <v>2.1</v>
      </c>
    </row>
    <row r="489" spans="1:9">
      <c r="A489" s="1" t="s">
        <v>395</v>
      </c>
      <c r="B489" t="s">
        <v>79</v>
      </c>
      <c r="C489">
        <v>12</v>
      </c>
      <c r="D489" t="s">
        <v>11</v>
      </c>
      <c r="E489">
        <v>125</v>
      </c>
      <c r="F489">
        <v>36.93</v>
      </c>
      <c r="G489">
        <v>0</v>
      </c>
      <c r="H489">
        <f>CLIENTS_CHURN34[[#This Row],[Anciennete_Mois]]/12</f>
        <v>1</v>
      </c>
      <c r="I489">
        <f>CLIENTS_CHURN34[[#This Row],[Duree_Cumulee_Panne_Min]]/60</f>
        <v>2.0833333333333335</v>
      </c>
    </row>
    <row r="490" spans="1:9">
      <c r="A490" s="1" t="s">
        <v>344</v>
      </c>
      <c r="B490" t="s">
        <v>24</v>
      </c>
      <c r="C490">
        <v>19</v>
      </c>
      <c r="D490" t="s">
        <v>14</v>
      </c>
      <c r="E490">
        <v>125</v>
      </c>
      <c r="F490">
        <v>11.78</v>
      </c>
      <c r="G490">
        <v>4</v>
      </c>
      <c r="H490">
        <f>CLIENTS_CHURN34[[#This Row],[Anciennete_Mois]]/12</f>
        <v>1.5833333333333333</v>
      </c>
      <c r="I490">
        <f>CLIENTS_CHURN34[[#This Row],[Duree_Cumulee_Panne_Min]]/60</f>
        <v>2.0833333333333335</v>
      </c>
    </row>
    <row r="491" spans="1:9">
      <c r="A491" s="1" t="s">
        <v>140</v>
      </c>
      <c r="B491" t="s">
        <v>38</v>
      </c>
      <c r="C491">
        <v>29</v>
      </c>
      <c r="D491" t="s">
        <v>21</v>
      </c>
      <c r="E491">
        <v>124</v>
      </c>
      <c r="F491">
        <v>43.83</v>
      </c>
      <c r="G491">
        <v>5</v>
      </c>
      <c r="H491">
        <f>CLIENTS_CHURN34[[#This Row],[Anciennete_Mois]]/12</f>
        <v>2.4166666666666665</v>
      </c>
      <c r="I491">
        <f>CLIENTS_CHURN34[[#This Row],[Duree_Cumulee_Panne_Min]]/60</f>
        <v>2.0666666666666669</v>
      </c>
    </row>
    <row r="492" spans="1:9">
      <c r="A492" s="1" t="s">
        <v>653</v>
      </c>
      <c r="B492" t="s">
        <v>95</v>
      </c>
      <c r="C492">
        <v>56</v>
      </c>
      <c r="D492" t="s">
        <v>32</v>
      </c>
      <c r="E492">
        <v>123</v>
      </c>
      <c r="F492">
        <v>29.76</v>
      </c>
      <c r="G492">
        <v>5</v>
      </c>
      <c r="H492">
        <f>CLIENTS_CHURN34[[#This Row],[Anciennete_Mois]]/12</f>
        <v>4.666666666666667</v>
      </c>
      <c r="I492">
        <f>CLIENTS_CHURN34[[#This Row],[Duree_Cumulee_Panne_Min]]/60</f>
        <v>2.0499999999999998</v>
      </c>
    </row>
    <row r="493" spans="1:9">
      <c r="A493" s="1" t="s">
        <v>85</v>
      </c>
      <c r="B493" t="s">
        <v>20</v>
      </c>
      <c r="C493">
        <v>94</v>
      </c>
      <c r="D493" t="s">
        <v>21</v>
      </c>
      <c r="E493">
        <v>122</v>
      </c>
      <c r="F493">
        <v>95.74</v>
      </c>
      <c r="G493">
        <v>5</v>
      </c>
      <c r="H493">
        <f>CLIENTS_CHURN34[[#This Row],[Anciennete_Mois]]/12</f>
        <v>7.833333333333333</v>
      </c>
      <c r="I493">
        <f>CLIENTS_CHURN34[[#This Row],[Duree_Cumulee_Panne_Min]]/60</f>
        <v>2.0333333333333332</v>
      </c>
    </row>
    <row r="494" spans="1:9">
      <c r="A494" s="1" t="s">
        <v>447</v>
      </c>
      <c r="B494" t="s">
        <v>65</v>
      </c>
      <c r="C494">
        <v>63</v>
      </c>
      <c r="D494" t="s">
        <v>11</v>
      </c>
      <c r="E494">
        <v>121</v>
      </c>
      <c r="F494">
        <v>39.18</v>
      </c>
      <c r="G494">
        <v>2</v>
      </c>
      <c r="H494">
        <f>CLIENTS_CHURN34[[#This Row],[Anciennete_Mois]]/12</f>
        <v>5.25</v>
      </c>
      <c r="I494">
        <f>CLIENTS_CHURN34[[#This Row],[Duree_Cumulee_Panne_Min]]/60</f>
        <v>2.0166666666666666</v>
      </c>
    </row>
    <row r="495" spans="1:9">
      <c r="A495" s="1" t="s">
        <v>85</v>
      </c>
      <c r="B495" t="s">
        <v>29</v>
      </c>
      <c r="C495">
        <v>80</v>
      </c>
      <c r="D495" t="s">
        <v>32</v>
      </c>
      <c r="E495">
        <v>121</v>
      </c>
      <c r="F495">
        <v>83.14</v>
      </c>
      <c r="G495">
        <v>5</v>
      </c>
      <c r="H495">
        <f>CLIENTS_CHURN34[[#This Row],[Anciennete_Mois]]/12</f>
        <v>6.666666666666667</v>
      </c>
      <c r="I495">
        <f>CLIENTS_CHURN34[[#This Row],[Duree_Cumulee_Panne_Min]]/60</f>
        <v>2.0166666666666666</v>
      </c>
    </row>
    <row r="496" spans="1:9">
      <c r="A496" s="1" t="s">
        <v>756</v>
      </c>
      <c r="B496" t="s">
        <v>92</v>
      </c>
      <c r="C496">
        <v>23</v>
      </c>
      <c r="D496" t="s">
        <v>11</v>
      </c>
      <c r="E496">
        <v>120</v>
      </c>
      <c r="F496">
        <v>73.12</v>
      </c>
      <c r="G496">
        <v>1</v>
      </c>
      <c r="H496">
        <f>CLIENTS_CHURN34[[#This Row],[Anciennete_Mois]]/12</f>
        <v>1.9166666666666667</v>
      </c>
      <c r="I496">
        <f>CLIENTS_CHURN34[[#This Row],[Duree_Cumulee_Panne_Min]]/60</f>
        <v>2</v>
      </c>
    </row>
    <row r="497" spans="1:9">
      <c r="A497" s="1" t="s">
        <v>293</v>
      </c>
      <c r="B497" t="s">
        <v>76</v>
      </c>
      <c r="C497">
        <v>8</v>
      </c>
      <c r="D497" t="s">
        <v>14</v>
      </c>
      <c r="E497">
        <v>120</v>
      </c>
      <c r="F497">
        <v>88.29</v>
      </c>
      <c r="G497">
        <v>5</v>
      </c>
      <c r="H497">
        <f>CLIENTS_CHURN34[[#This Row],[Anciennete_Mois]]/12</f>
        <v>0.66666666666666663</v>
      </c>
      <c r="I497">
        <f>CLIENTS_CHURN34[[#This Row],[Duree_Cumulee_Panne_Min]]/60</f>
        <v>2</v>
      </c>
    </row>
    <row r="498" spans="1:9">
      <c r="A498" s="1" t="s">
        <v>85</v>
      </c>
      <c r="B498" t="s">
        <v>20</v>
      </c>
      <c r="C498">
        <v>22</v>
      </c>
      <c r="D498" t="s">
        <v>21</v>
      </c>
      <c r="E498">
        <v>119</v>
      </c>
      <c r="F498">
        <v>72.86</v>
      </c>
      <c r="G498">
        <v>3</v>
      </c>
      <c r="H498">
        <f>CLIENTS_CHURN34[[#This Row],[Anciennete_Mois]]/12</f>
        <v>1.8333333333333333</v>
      </c>
      <c r="I498">
        <f>CLIENTS_CHURN34[[#This Row],[Duree_Cumulee_Panne_Min]]/60</f>
        <v>1.9833333333333334</v>
      </c>
    </row>
    <row r="499" spans="1:9">
      <c r="A499" s="1" t="s">
        <v>191</v>
      </c>
      <c r="B499" t="s">
        <v>10</v>
      </c>
      <c r="C499">
        <v>52</v>
      </c>
      <c r="D499" t="s">
        <v>21</v>
      </c>
      <c r="E499">
        <v>119</v>
      </c>
      <c r="F499">
        <v>64.709999999999994</v>
      </c>
      <c r="G499">
        <v>4</v>
      </c>
      <c r="H499">
        <f>CLIENTS_CHURN34[[#This Row],[Anciennete_Mois]]/12</f>
        <v>4.333333333333333</v>
      </c>
      <c r="I499">
        <f>CLIENTS_CHURN34[[#This Row],[Duree_Cumulee_Panne_Min]]/60</f>
        <v>1.9833333333333334</v>
      </c>
    </row>
    <row r="500" spans="1:9">
      <c r="A500" s="1" t="s">
        <v>242</v>
      </c>
      <c r="B500" t="s">
        <v>107</v>
      </c>
      <c r="C500">
        <v>65</v>
      </c>
      <c r="D500" t="s">
        <v>14</v>
      </c>
      <c r="E500">
        <v>118</v>
      </c>
      <c r="F500">
        <v>72.430000000000007</v>
      </c>
      <c r="G500">
        <v>1</v>
      </c>
      <c r="H500">
        <f>CLIENTS_CHURN34[[#This Row],[Anciennete_Mois]]/12</f>
        <v>5.416666666666667</v>
      </c>
      <c r="I500">
        <f>CLIENTS_CHURN34[[#This Row],[Duree_Cumulee_Panne_Min]]/60</f>
        <v>1.9666666666666666</v>
      </c>
    </row>
    <row r="501" spans="1:9">
      <c r="A501" s="1" t="s">
        <v>191</v>
      </c>
      <c r="B501" t="s">
        <v>52</v>
      </c>
      <c r="C501">
        <v>92</v>
      </c>
      <c r="D501" t="s">
        <v>32</v>
      </c>
      <c r="E501">
        <v>116</v>
      </c>
      <c r="F501">
        <v>23.83</v>
      </c>
      <c r="G501">
        <v>3</v>
      </c>
      <c r="H501">
        <f>CLIENTS_CHURN34[[#This Row],[Anciennete_Mois]]/12</f>
        <v>7.666666666666667</v>
      </c>
      <c r="I501">
        <f>CLIENTS_CHURN34[[#This Row],[Duree_Cumulee_Panne_Min]]/60</f>
        <v>1.9333333333333333</v>
      </c>
    </row>
    <row r="502" spans="1:9">
      <c r="A502" s="1" t="s">
        <v>191</v>
      </c>
      <c r="B502" t="s">
        <v>10</v>
      </c>
      <c r="C502">
        <v>62</v>
      </c>
      <c r="D502" t="s">
        <v>32</v>
      </c>
      <c r="E502">
        <v>116</v>
      </c>
      <c r="F502">
        <v>92.99</v>
      </c>
      <c r="G502">
        <v>5</v>
      </c>
      <c r="H502">
        <f>CLIENTS_CHURN34[[#This Row],[Anciennete_Mois]]/12</f>
        <v>5.166666666666667</v>
      </c>
      <c r="I502">
        <f>CLIENTS_CHURN34[[#This Row],[Duree_Cumulee_Panne_Min]]/60</f>
        <v>1.9333333333333333</v>
      </c>
    </row>
    <row r="503" spans="1:9">
      <c r="A503" s="1" t="s">
        <v>395</v>
      </c>
      <c r="B503" t="s">
        <v>38</v>
      </c>
      <c r="C503">
        <v>94</v>
      </c>
      <c r="D503" t="s">
        <v>21</v>
      </c>
      <c r="E503">
        <v>115</v>
      </c>
      <c r="F503">
        <v>19.12</v>
      </c>
      <c r="G503">
        <v>0</v>
      </c>
      <c r="H503">
        <f>CLIENTS_CHURN34[[#This Row],[Anciennete_Mois]]/12</f>
        <v>7.833333333333333</v>
      </c>
      <c r="I503">
        <f>CLIENTS_CHURN34[[#This Row],[Duree_Cumulee_Panne_Min]]/60</f>
        <v>1.9166666666666667</v>
      </c>
    </row>
    <row r="504" spans="1:9">
      <c r="A504" s="1" t="s">
        <v>447</v>
      </c>
      <c r="B504" t="s">
        <v>31</v>
      </c>
      <c r="C504">
        <v>56</v>
      </c>
      <c r="D504" t="s">
        <v>14</v>
      </c>
      <c r="E504">
        <v>114</v>
      </c>
      <c r="F504">
        <v>64.39</v>
      </c>
      <c r="G504">
        <v>1</v>
      </c>
      <c r="H504">
        <f>CLIENTS_CHURN34[[#This Row],[Anciennete_Mois]]/12</f>
        <v>4.666666666666667</v>
      </c>
      <c r="I504">
        <f>CLIENTS_CHURN34[[#This Row],[Duree_Cumulee_Panne_Min]]/60</f>
        <v>1.9</v>
      </c>
    </row>
    <row r="505" spans="1:9">
      <c r="A505" s="1" t="s">
        <v>602</v>
      </c>
      <c r="B505" t="s">
        <v>76</v>
      </c>
      <c r="C505">
        <v>12</v>
      </c>
      <c r="D505" t="s">
        <v>21</v>
      </c>
      <c r="E505">
        <v>112</v>
      </c>
      <c r="F505">
        <v>82.81</v>
      </c>
      <c r="G505">
        <v>0</v>
      </c>
      <c r="H505">
        <f>CLIENTS_CHURN34[[#This Row],[Anciennete_Mois]]/12</f>
        <v>1</v>
      </c>
      <c r="I505">
        <f>CLIENTS_CHURN34[[#This Row],[Duree_Cumulee_Panne_Min]]/60</f>
        <v>1.8666666666666667</v>
      </c>
    </row>
    <row r="506" spans="1:9">
      <c r="A506" s="1" t="s">
        <v>447</v>
      </c>
      <c r="B506" t="s">
        <v>71</v>
      </c>
      <c r="C506">
        <v>28</v>
      </c>
      <c r="D506" t="s">
        <v>21</v>
      </c>
      <c r="E506">
        <v>112</v>
      </c>
      <c r="F506">
        <v>94.51</v>
      </c>
      <c r="G506">
        <v>3</v>
      </c>
      <c r="H506">
        <f>CLIENTS_CHURN34[[#This Row],[Anciennete_Mois]]/12</f>
        <v>2.3333333333333335</v>
      </c>
      <c r="I506">
        <f>CLIENTS_CHURN34[[#This Row],[Duree_Cumulee_Panne_Min]]/60</f>
        <v>1.8666666666666667</v>
      </c>
    </row>
    <row r="507" spans="1:9">
      <c r="A507" s="1" t="s">
        <v>242</v>
      </c>
      <c r="B507" t="s">
        <v>38</v>
      </c>
      <c r="C507">
        <v>110</v>
      </c>
      <c r="D507" t="s">
        <v>14</v>
      </c>
      <c r="E507">
        <v>112</v>
      </c>
      <c r="F507">
        <v>98.95</v>
      </c>
      <c r="G507">
        <v>5</v>
      </c>
      <c r="H507">
        <f>CLIENTS_CHURN34[[#This Row],[Anciennete_Mois]]/12</f>
        <v>9.1666666666666661</v>
      </c>
      <c r="I507">
        <f>CLIENTS_CHURN34[[#This Row],[Duree_Cumulee_Panne_Min]]/60</f>
        <v>1.8666666666666667</v>
      </c>
    </row>
    <row r="508" spans="1:9">
      <c r="A508" s="1" t="s">
        <v>447</v>
      </c>
      <c r="B508" t="s">
        <v>52</v>
      </c>
      <c r="C508">
        <v>47</v>
      </c>
      <c r="D508" t="s">
        <v>14</v>
      </c>
      <c r="E508">
        <v>111</v>
      </c>
      <c r="F508">
        <v>95.18</v>
      </c>
      <c r="G508">
        <v>0</v>
      </c>
      <c r="H508">
        <f>CLIENTS_CHURN34[[#This Row],[Anciennete_Mois]]/12</f>
        <v>3.9166666666666665</v>
      </c>
      <c r="I508">
        <f>CLIENTS_CHURN34[[#This Row],[Duree_Cumulee_Panne_Min]]/60</f>
        <v>1.85</v>
      </c>
    </row>
    <row r="509" spans="1:9">
      <c r="A509" s="1" t="s">
        <v>242</v>
      </c>
      <c r="B509" t="s">
        <v>29</v>
      </c>
      <c r="C509">
        <v>86</v>
      </c>
      <c r="D509" t="s">
        <v>32</v>
      </c>
      <c r="E509">
        <v>111</v>
      </c>
      <c r="F509">
        <v>23.65</v>
      </c>
      <c r="G509">
        <v>0</v>
      </c>
      <c r="H509">
        <f>CLIENTS_CHURN34[[#This Row],[Anciennete_Mois]]/12</f>
        <v>7.166666666666667</v>
      </c>
      <c r="I509">
        <f>CLIENTS_CHURN34[[#This Row],[Duree_Cumulee_Panne_Min]]/60</f>
        <v>1.85</v>
      </c>
    </row>
    <row r="510" spans="1:9">
      <c r="A510" s="1" t="s">
        <v>602</v>
      </c>
      <c r="B510" t="s">
        <v>20</v>
      </c>
      <c r="C510">
        <v>71</v>
      </c>
      <c r="D510" t="s">
        <v>11</v>
      </c>
      <c r="E510">
        <v>111</v>
      </c>
      <c r="F510">
        <v>95.53</v>
      </c>
      <c r="G510">
        <v>3</v>
      </c>
      <c r="H510">
        <f>CLIENTS_CHURN34[[#This Row],[Anciennete_Mois]]/12</f>
        <v>5.916666666666667</v>
      </c>
      <c r="I510">
        <f>CLIENTS_CHURN34[[#This Row],[Duree_Cumulee_Panne_Min]]/60</f>
        <v>1.85</v>
      </c>
    </row>
    <row r="511" spans="1:9">
      <c r="A511" s="1" t="s">
        <v>602</v>
      </c>
      <c r="B511" t="s">
        <v>45</v>
      </c>
      <c r="C511">
        <v>98</v>
      </c>
      <c r="D511" t="s">
        <v>21</v>
      </c>
      <c r="E511">
        <v>110</v>
      </c>
      <c r="F511">
        <v>96.23</v>
      </c>
      <c r="G511">
        <v>2</v>
      </c>
      <c r="H511">
        <f>CLIENTS_CHURN34[[#This Row],[Anciennete_Mois]]/12</f>
        <v>8.1666666666666661</v>
      </c>
      <c r="I511">
        <f>CLIENTS_CHURN34[[#This Row],[Duree_Cumulee_Panne_Min]]/60</f>
        <v>1.8333333333333333</v>
      </c>
    </row>
    <row r="512" spans="1:9">
      <c r="A512" s="1" t="s">
        <v>551</v>
      </c>
      <c r="B512" t="s">
        <v>107</v>
      </c>
      <c r="C512">
        <v>63</v>
      </c>
      <c r="D512" t="s">
        <v>21</v>
      </c>
      <c r="E512">
        <v>109</v>
      </c>
      <c r="F512">
        <v>10.33</v>
      </c>
      <c r="G512">
        <v>3</v>
      </c>
      <c r="H512">
        <f>CLIENTS_CHURN34[[#This Row],[Anciennete_Mois]]/12</f>
        <v>5.25</v>
      </c>
      <c r="I512">
        <f>CLIENTS_CHURN34[[#This Row],[Duree_Cumulee_Panne_Min]]/60</f>
        <v>1.8166666666666667</v>
      </c>
    </row>
    <row r="513" spans="1:9">
      <c r="A513" s="1" t="s">
        <v>242</v>
      </c>
      <c r="B513" t="s">
        <v>10</v>
      </c>
      <c r="C513">
        <v>6</v>
      </c>
      <c r="D513" t="s">
        <v>11</v>
      </c>
      <c r="E513">
        <v>109</v>
      </c>
      <c r="F513">
        <v>39.880000000000003</v>
      </c>
      <c r="G513">
        <v>4</v>
      </c>
      <c r="H513">
        <f>CLIENTS_CHURN34[[#This Row],[Anciennete_Mois]]/12</f>
        <v>0.5</v>
      </c>
      <c r="I513">
        <f>CLIENTS_CHURN34[[#This Row],[Duree_Cumulee_Panne_Min]]/60</f>
        <v>1.8166666666666667</v>
      </c>
    </row>
    <row r="514" spans="1:9">
      <c r="A514" s="1" t="s">
        <v>242</v>
      </c>
      <c r="B514" t="s">
        <v>16</v>
      </c>
      <c r="C514">
        <v>96</v>
      </c>
      <c r="D514" t="s">
        <v>21</v>
      </c>
      <c r="E514">
        <v>108</v>
      </c>
      <c r="F514">
        <v>30.92</v>
      </c>
      <c r="G514">
        <v>1</v>
      </c>
      <c r="H514">
        <f>CLIENTS_CHURN34[[#This Row],[Anciennete_Mois]]/12</f>
        <v>8</v>
      </c>
      <c r="I514">
        <f>CLIENTS_CHURN34[[#This Row],[Duree_Cumulee_Panne_Min]]/60</f>
        <v>1.8</v>
      </c>
    </row>
    <row r="515" spans="1:9">
      <c r="A515" s="1" t="s">
        <v>653</v>
      </c>
      <c r="B515" t="s">
        <v>76</v>
      </c>
      <c r="C515">
        <v>101</v>
      </c>
      <c r="D515" t="s">
        <v>11</v>
      </c>
      <c r="E515">
        <v>108</v>
      </c>
      <c r="F515">
        <v>76.05</v>
      </c>
      <c r="G515">
        <v>3</v>
      </c>
      <c r="H515">
        <f>CLIENTS_CHURN34[[#This Row],[Anciennete_Mois]]/12</f>
        <v>8.4166666666666661</v>
      </c>
      <c r="I515">
        <f>CLIENTS_CHURN34[[#This Row],[Duree_Cumulee_Panne_Min]]/60</f>
        <v>1.8</v>
      </c>
    </row>
    <row r="516" spans="1:9">
      <c r="A516" s="1" t="s">
        <v>293</v>
      </c>
      <c r="B516" t="s">
        <v>10</v>
      </c>
      <c r="C516">
        <v>50</v>
      </c>
      <c r="D516" t="s">
        <v>11</v>
      </c>
      <c r="E516">
        <v>108</v>
      </c>
      <c r="F516">
        <v>43.81</v>
      </c>
      <c r="G516">
        <v>5</v>
      </c>
      <c r="H516">
        <f>CLIENTS_CHURN34[[#This Row],[Anciennete_Mois]]/12</f>
        <v>4.166666666666667</v>
      </c>
      <c r="I516">
        <f>CLIENTS_CHURN34[[#This Row],[Duree_Cumulee_Panne_Min]]/60</f>
        <v>1.8</v>
      </c>
    </row>
    <row r="517" spans="1:9">
      <c r="A517" s="1" t="s">
        <v>447</v>
      </c>
      <c r="B517" t="s">
        <v>61</v>
      </c>
      <c r="C517">
        <v>47</v>
      </c>
      <c r="D517" t="s">
        <v>11</v>
      </c>
      <c r="E517">
        <v>107</v>
      </c>
      <c r="F517">
        <v>35.380000000000003</v>
      </c>
      <c r="G517">
        <v>1</v>
      </c>
      <c r="H517">
        <f>CLIENTS_CHURN34[[#This Row],[Anciennete_Mois]]/12</f>
        <v>3.9166666666666665</v>
      </c>
      <c r="I517">
        <f>CLIENTS_CHURN34[[#This Row],[Duree_Cumulee_Panne_Min]]/60</f>
        <v>1.7833333333333334</v>
      </c>
    </row>
    <row r="518" spans="1:9">
      <c r="A518" s="1" t="s">
        <v>191</v>
      </c>
      <c r="B518" t="s">
        <v>43</v>
      </c>
      <c r="C518">
        <v>21</v>
      </c>
      <c r="D518" t="s">
        <v>21</v>
      </c>
      <c r="E518">
        <v>107</v>
      </c>
      <c r="F518">
        <v>30.97</v>
      </c>
      <c r="G518">
        <v>4</v>
      </c>
      <c r="H518">
        <f>CLIENTS_CHURN34[[#This Row],[Anciennete_Mois]]/12</f>
        <v>1.75</v>
      </c>
      <c r="I518">
        <f>CLIENTS_CHURN34[[#This Row],[Duree_Cumulee_Panne_Min]]/60</f>
        <v>1.7833333333333334</v>
      </c>
    </row>
    <row r="519" spans="1:9">
      <c r="A519" s="1" t="s">
        <v>191</v>
      </c>
      <c r="B519" t="s">
        <v>45</v>
      </c>
      <c r="C519">
        <v>35</v>
      </c>
      <c r="D519" t="s">
        <v>21</v>
      </c>
      <c r="E519">
        <v>107</v>
      </c>
      <c r="F519">
        <v>66.69</v>
      </c>
      <c r="G519">
        <v>4</v>
      </c>
      <c r="H519">
        <f>CLIENTS_CHURN34[[#This Row],[Anciennete_Mois]]/12</f>
        <v>2.9166666666666665</v>
      </c>
      <c r="I519">
        <f>CLIENTS_CHURN34[[#This Row],[Duree_Cumulee_Panne_Min]]/60</f>
        <v>1.7833333333333334</v>
      </c>
    </row>
    <row r="520" spans="1:9">
      <c r="A520" s="1" t="s">
        <v>447</v>
      </c>
      <c r="B520" t="s">
        <v>18</v>
      </c>
      <c r="C520">
        <v>83</v>
      </c>
      <c r="D520" t="s">
        <v>32</v>
      </c>
      <c r="E520">
        <v>105</v>
      </c>
      <c r="F520">
        <v>20.46</v>
      </c>
      <c r="G520">
        <v>1</v>
      </c>
      <c r="H520">
        <f>CLIENTS_CHURN34[[#This Row],[Anciennete_Mois]]/12</f>
        <v>6.916666666666667</v>
      </c>
      <c r="I520">
        <f>CLIENTS_CHURN34[[#This Row],[Duree_Cumulee_Panne_Min]]/60</f>
        <v>1.75</v>
      </c>
    </row>
    <row r="521" spans="1:9">
      <c r="A521" s="1" t="s">
        <v>8</v>
      </c>
      <c r="B521" t="s">
        <v>52</v>
      </c>
      <c r="C521">
        <v>103</v>
      </c>
      <c r="D521" t="s">
        <v>11</v>
      </c>
      <c r="E521">
        <v>105</v>
      </c>
      <c r="F521">
        <v>61.52</v>
      </c>
      <c r="G521">
        <v>3</v>
      </c>
      <c r="H521">
        <f>CLIENTS_CHURN34[[#This Row],[Anciennete_Mois]]/12</f>
        <v>8.5833333333333339</v>
      </c>
      <c r="I521">
        <f>CLIENTS_CHURN34[[#This Row],[Duree_Cumulee_Panne_Min]]/60</f>
        <v>1.75</v>
      </c>
    </row>
    <row r="522" spans="1:9">
      <c r="A522" s="1" t="s">
        <v>756</v>
      </c>
      <c r="B522" t="s">
        <v>13</v>
      </c>
      <c r="C522">
        <v>109</v>
      </c>
      <c r="D522" t="s">
        <v>21</v>
      </c>
      <c r="E522">
        <v>104</v>
      </c>
      <c r="F522">
        <v>12.37</v>
      </c>
      <c r="G522">
        <v>5</v>
      </c>
      <c r="H522">
        <f>CLIENTS_CHURN34[[#This Row],[Anciennete_Mois]]/12</f>
        <v>9.0833333333333339</v>
      </c>
      <c r="I522">
        <f>CLIENTS_CHURN34[[#This Row],[Duree_Cumulee_Panne_Min]]/60</f>
        <v>1.7333333333333334</v>
      </c>
    </row>
    <row r="523" spans="1:9">
      <c r="A523" s="1" t="s">
        <v>85</v>
      </c>
      <c r="B523" t="s">
        <v>18</v>
      </c>
      <c r="C523">
        <v>111</v>
      </c>
      <c r="D523" t="s">
        <v>32</v>
      </c>
      <c r="E523">
        <v>103</v>
      </c>
      <c r="F523">
        <v>32.06</v>
      </c>
      <c r="G523">
        <v>0</v>
      </c>
      <c r="H523">
        <f>CLIENTS_CHURN34[[#This Row],[Anciennete_Mois]]/12</f>
        <v>9.25</v>
      </c>
      <c r="I523">
        <f>CLIENTS_CHURN34[[#This Row],[Duree_Cumulee_Panne_Min]]/60</f>
        <v>1.7166666666666666</v>
      </c>
    </row>
    <row r="524" spans="1:9">
      <c r="A524" s="1" t="s">
        <v>756</v>
      </c>
      <c r="B524" t="s">
        <v>57</v>
      </c>
      <c r="C524">
        <v>9</v>
      </c>
      <c r="D524" t="s">
        <v>21</v>
      </c>
      <c r="E524">
        <v>102</v>
      </c>
      <c r="F524">
        <v>41.52</v>
      </c>
      <c r="G524">
        <v>0</v>
      </c>
      <c r="H524">
        <f>CLIENTS_CHURN34[[#This Row],[Anciennete_Mois]]/12</f>
        <v>0.75</v>
      </c>
      <c r="I524">
        <f>CLIENTS_CHURN34[[#This Row],[Duree_Cumulee_Panne_Min]]/60</f>
        <v>1.7</v>
      </c>
    </row>
    <row r="525" spans="1:9">
      <c r="A525" s="1" t="s">
        <v>293</v>
      </c>
      <c r="B525" t="s">
        <v>52</v>
      </c>
      <c r="C525">
        <v>40</v>
      </c>
      <c r="D525" t="s">
        <v>32</v>
      </c>
      <c r="E525">
        <v>102</v>
      </c>
      <c r="F525">
        <v>96.59</v>
      </c>
      <c r="G525">
        <v>5</v>
      </c>
      <c r="H525">
        <f>CLIENTS_CHURN34[[#This Row],[Anciennete_Mois]]/12</f>
        <v>3.3333333333333335</v>
      </c>
      <c r="I525">
        <f>CLIENTS_CHURN34[[#This Row],[Duree_Cumulee_Panne_Min]]/60</f>
        <v>1.7</v>
      </c>
    </row>
    <row r="526" spans="1:9">
      <c r="A526" s="1" t="s">
        <v>8</v>
      </c>
      <c r="B526" t="s">
        <v>40</v>
      </c>
      <c r="C526">
        <v>14</v>
      </c>
      <c r="D526" t="s">
        <v>11</v>
      </c>
      <c r="E526">
        <v>101</v>
      </c>
      <c r="F526">
        <v>43.99</v>
      </c>
      <c r="G526">
        <v>1</v>
      </c>
      <c r="H526">
        <f>CLIENTS_CHURN34[[#This Row],[Anciennete_Mois]]/12</f>
        <v>1.1666666666666667</v>
      </c>
      <c r="I526">
        <f>CLIENTS_CHURN34[[#This Row],[Duree_Cumulee_Panne_Min]]/60</f>
        <v>1.6833333333333333</v>
      </c>
    </row>
    <row r="527" spans="1:9">
      <c r="A527" s="1" t="s">
        <v>551</v>
      </c>
      <c r="B527" t="s">
        <v>63</v>
      </c>
      <c r="C527">
        <v>80</v>
      </c>
      <c r="D527" t="s">
        <v>21</v>
      </c>
      <c r="E527">
        <v>101</v>
      </c>
      <c r="F527">
        <v>61.92</v>
      </c>
      <c r="G527">
        <v>4</v>
      </c>
      <c r="H527">
        <f>CLIENTS_CHURN34[[#This Row],[Anciennete_Mois]]/12</f>
        <v>6.666666666666667</v>
      </c>
      <c r="I527">
        <f>CLIENTS_CHURN34[[#This Row],[Duree_Cumulee_Panne_Min]]/60</f>
        <v>1.6833333333333333</v>
      </c>
    </row>
    <row r="528" spans="1:9">
      <c r="A528" s="1" t="s">
        <v>140</v>
      </c>
      <c r="B528" t="s">
        <v>71</v>
      </c>
      <c r="C528">
        <v>54</v>
      </c>
      <c r="D528" t="s">
        <v>14</v>
      </c>
      <c r="E528">
        <v>99</v>
      </c>
      <c r="F528">
        <v>39.58</v>
      </c>
      <c r="G528">
        <v>0</v>
      </c>
      <c r="H528">
        <f>CLIENTS_CHURN34[[#This Row],[Anciennete_Mois]]/12</f>
        <v>4.5</v>
      </c>
      <c r="I528">
        <f>CLIENTS_CHURN34[[#This Row],[Duree_Cumulee_Panne_Min]]/60</f>
        <v>1.65</v>
      </c>
    </row>
    <row r="529" spans="1:9">
      <c r="A529" s="1" t="s">
        <v>653</v>
      </c>
      <c r="B529" t="s">
        <v>20</v>
      </c>
      <c r="C529">
        <v>75</v>
      </c>
      <c r="D529" t="s">
        <v>21</v>
      </c>
      <c r="E529">
        <v>99</v>
      </c>
      <c r="F529">
        <v>16.93</v>
      </c>
      <c r="G529">
        <v>5</v>
      </c>
      <c r="H529">
        <f>CLIENTS_CHURN34[[#This Row],[Anciennete_Mois]]/12</f>
        <v>6.25</v>
      </c>
      <c r="I529">
        <f>CLIENTS_CHURN34[[#This Row],[Duree_Cumulee_Panne_Min]]/60</f>
        <v>1.65</v>
      </c>
    </row>
    <row r="530" spans="1:9">
      <c r="A530" s="1" t="s">
        <v>293</v>
      </c>
      <c r="B530" t="s">
        <v>111</v>
      </c>
      <c r="C530">
        <v>5</v>
      </c>
      <c r="D530" t="s">
        <v>11</v>
      </c>
      <c r="E530">
        <v>98</v>
      </c>
      <c r="F530">
        <v>71.37</v>
      </c>
      <c r="G530">
        <v>1</v>
      </c>
      <c r="H530">
        <f>CLIENTS_CHURN34[[#This Row],[Anciennete_Mois]]/12</f>
        <v>0.41666666666666669</v>
      </c>
      <c r="I530">
        <f>CLIENTS_CHURN34[[#This Row],[Duree_Cumulee_Panne_Min]]/60</f>
        <v>1.6333333333333333</v>
      </c>
    </row>
    <row r="531" spans="1:9">
      <c r="A531" s="1" t="s">
        <v>602</v>
      </c>
      <c r="B531" t="s">
        <v>16</v>
      </c>
      <c r="C531">
        <v>103</v>
      </c>
      <c r="D531" t="s">
        <v>14</v>
      </c>
      <c r="E531">
        <v>98</v>
      </c>
      <c r="F531">
        <v>38.69</v>
      </c>
      <c r="G531">
        <v>4</v>
      </c>
      <c r="H531">
        <f>CLIENTS_CHURN34[[#This Row],[Anciennete_Mois]]/12</f>
        <v>8.5833333333333339</v>
      </c>
      <c r="I531">
        <f>CLIENTS_CHURN34[[#This Row],[Duree_Cumulee_Panne_Min]]/60</f>
        <v>1.6333333333333333</v>
      </c>
    </row>
    <row r="532" spans="1:9">
      <c r="A532" s="1" t="s">
        <v>140</v>
      </c>
      <c r="B532" t="s">
        <v>16</v>
      </c>
      <c r="C532">
        <v>47</v>
      </c>
      <c r="D532" t="s">
        <v>14</v>
      </c>
      <c r="E532">
        <v>98</v>
      </c>
      <c r="F532">
        <v>16.16</v>
      </c>
      <c r="G532">
        <v>5</v>
      </c>
      <c r="H532">
        <f>CLIENTS_CHURN34[[#This Row],[Anciennete_Mois]]/12</f>
        <v>3.9166666666666665</v>
      </c>
      <c r="I532">
        <f>CLIENTS_CHURN34[[#This Row],[Duree_Cumulee_Panne_Min]]/60</f>
        <v>1.6333333333333333</v>
      </c>
    </row>
    <row r="533" spans="1:9">
      <c r="A533" s="1" t="s">
        <v>653</v>
      </c>
      <c r="B533" t="s">
        <v>18</v>
      </c>
      <c r="C533">
        <v>16</v>
      </c>
      <c r="D533" t="s">
        <v>32</v>
      </c>
      <c r="E533">
        <v>96</v>
      </c>
      <c r="F533">
        <v>86.78</v>
      </c>
      <c r="G533">
        <v>1</v>
      </c>
      <c r="H533">
        <f>CLIENTS_CHURN34[[#This Row],[Anciennete_Mois]]/12</f>
        <v>1.3333333333333333</v>
      </c>
      <c r="I533">
        <f>CLIENTS_CHURN34[[#This Row],[Duree_Cumulee_Panne_Min]]/60</f>
        <v>1.6</v>
      </c>
    </row>
    <row r="534" spans="1:9">
      <c r="A534" s="1" t="s">
        <v>191</v>
      </c>
      <c r="B534" t="s">
        <v>92</v>
      </c>
      <c r="C534">
        <v>28</v>
      </c>
      <c r="D534" t="s">
        <v>32</v>
      </c>
      <c r="E534">
        <v>96</v>
      </c>
      <c r="F534">
        <v>72.010000000000005</v>
      </c>
      <c r="G534">
        <v>4</v>
      </c>
      <c r="H534">
        <f>CLIENTS_CHURN34[[#This Row],[Anciennete_Mois]]/12</f>
        <v>2.3333333333333335</v>
      </c>
      <c r="I534">
        <f>CLIENTS_CHURN34[[#This Row],[Duree_Cumulee_Panne_Min]]/60</f>
        <v>1.6</v>
      </c>
    </row>
    <row r="535" spans="1:9">
      <c r="A535" s="1" t="s">
        <v>293</v>
      </c>
      <c r="B535" t="s">
        <v>36</v>
      </c>
      <c r="C535">
        <v>63</v>
      </c>
      <c r="D535" t="s">
        <v>21</v>
      </c>
      <c r="E535">
        <v>95</v>
      </c>
      <c r="F535">
        <v>56.81</v>
      </c>
      <c r="G535">
        <v>0</v>
      </c>
      <c r="H535">
        <f>CLIENTS_CHURN34[[#This Row],[Anciennete_Mois]]/12</f>
        <v>5.25</v>
      </c>
      <c r="I535">
        <f>CLIENTS_CHURN34[[#This Row],[Duree_Cumulee_Panne_Min]]/60</f>
        <v>1.5833333333333333</v>
      </c>
    </row>
    <row r="536" spans="1:9">
      <c r="A536" s="1" t="s">
        <v>140</v>
      </c>
      <c r="B536" t="s">
        <v>65</v>
      </c>
      <c r="C536">
        <v>95</v>
      </c>
      <c r="D536" t="s">
        <v>11</v>
      </c>
      <c r="E536">
        <v>95</v>
      </c>
      <c r="F536">
        <v>82.65</v>
      </c>
      <c r="G536">
        <v>2</v>
      </c>
      <c r="H536">
        <f>CLIENTS_CHURN34[[#This Row],[Anciennete_Mois]]/12</f>
        <v>7.916666666666667</v>
      </c>
      <c r="I536">
        <f>CLIENTS_CHURN34[[#This Row],[Duree_Cumulee_Panne_Min]]/60</f>
        <v>1.5833333333333333</v>
      </c>
    </row>
    <row r="537" spans="1:9">
      <c r="A537" s="1" t="s">
        <v>653</v>
      </c>
      <c r="B537" t="s">
        <v>45</v>
      </c>
      <c r="C537">
        <v>25</v>
      </c>
      <c r="D537" t="s">
        <v>14</v>
      </c>
      <c r="E537">
        <v>95</v>
      </c>
      <c r="F537">
        <v>15.93</v>
      </c>
      <c r="G537">
        <v>4</v>
      </c>
      <c r="H537">
        <f>CLIENTS_CHURN34[[#This Row],[Anciennete_Mois]]/12</f>
        <v>2.0833333333333335</v>
      </c>
      <c r="I537">
        <f>CLIENTS_CHURN34[[#This Row],[Duree_Cumulee_Panne_Min]]/60</f>
        <v>1.5833333333333333</v>
      </c>
    </row>
    <row r="538" spans="1:9">
      <c r="A538" s="1" t="s">
        <v>447</v>
      </c>
      <c r="B538" t="s">
        <v>79</v>
      </c>
      <c r="C538">
        <v>7</v>
      </c>
      <c r="D538" t="s">
        <v>21</v>
      </c>
      <c r="E538">
        <v>94</v>
      </c>
      <c r="F538">
        <v>68.38</v>
      </c>
      <c r="G538">
        <v>3</v>
      </c>
      <c r="H538">
        <f>CLIENTS_CHURN34[[#This Row],[Anciennete_Mois]]/12</f>
        <v>0.58333333333333337</v>
      </c>
      <c r="I538">
        <f>CLIENTS_CHURN34[[#This Row],[Duree_Cumulee_Panne_Min]]/60</f>
        <v>1.5666666666666667</v>
      </c>
    </row>
    <row r="539" spans="1:9">
      <c r="A539" s="1" t="s">
        <v>551</v>
      </c>
      <c r="B539" t="s">
        <v>10</v>
      </c>
      <c r="C539">
        <v>37</v>
      </c>
      <c r="D539" t="s">
        <v>32</v>
      </c>
      <c r="E539">
        <v>94</v>
      </c>
      <c r="F539">
        <v>50.44</v>
      </c>
      <c r="G539">
        <v>4</v>
      </c>
      <c r="H539">
        <f>CLIENTS_CHURN34[[#This Row],[Anciennete_Mois]]/12</f>
        <v>3.0833333333333335</v>
      </c>
      <c r="I539">
        <f>CLIENTS_CHURN34[[#This Row],[Duree_Cumulee_Panne_Min]]/60</f>
        <v>1.5666666666666667</v>
      </c>
    </row>
    <row r="540" spans="1:9">
      <c r="A540" s="1" t="s">
        <v>499</v>
      </c>
      <c r="B540" t="s">
        <v>13</v>
      </c>
      <c r="C540">
        <v>20</v>
      </c>
      <c r="D540" t="s">
        <v>11</v>
      </c>
      <c r="E540">
        <v>93</v>
      </c>
      <c r="F540">
        <v>84.45</v>
      </c>
      <c r="G540">
        <v>0</v>
      </c>
      <c r="H540">
        <f>CLIENTS_CHURN34[[#This Row],[Anciennete_Mois]]/12</f>
        <v>1.6666666666666667</v>
      </c>
      <c r="I540">
        <f>CLIENTS_CHURN34[[#This Row],[Duree_Cumulee_Panne_Min]]/60</f>
        <v>1.55</v>
      </c>
    </row>
    <row r="541" spans="1:9">
      <c r="A541" s="1" t="s">
        <v>293</v>
      </c>
      <c r="B541" t="s">
        <v>40</v>
      </c>
      <c r="C541">
        <v>10</v>
      </c>
      <c r="D541" t="s">
        <v>14</v>
      </c>
      <c r="E541">
        <v>93</v>
      </c>
      <c r="F541">
        <v>78.12</v>
      </c>
      <c r="G541">
        <v>4</v>
      </c>
      <c r="H541">
        <f>CLIENTS_CHURN34[[#This Row],[Anciennete_Mois]]/12</f>
        <v>0.83333333333333337</v>
      </c>
      <c r="I541">
        <f>CLIENTS_CHURN34[[#This Row],[Duree_Cumulee_Panne_Min]]/60</f>
        <v>1.55</v>
      </c>
    </row>
    <row r="542" spans="1:9">
      <c r="A542" s="1" t="s">
        <v>602</v>
      </c>
      <c r="B542" t="s">
        <v>63</v>
      </c>
      <c r="C542">
        <v>83</v>
      </c>
      <c r="D542" t="s">
        <v>11</v>
      </c>
      <c r="E542">
        <v>91</v>
      </c>
      <c r="F542">
        <v>73.73</v>
      </c>
      <c r="G542">
        <v>2</v>
      </c>
      <c r="H542">
        <f>CLIENTS_CHURN34[[#This Row],[Anciennete_Mois]]/12</f>
        <v>6.916666666666667</v>
      </c>
      <c r="I542">
        <f>CLIENTS_CHURN34[[#This Row],[Duree_Cumulee_Panne_Min]]/60</f>
        <v>1.5166666666666666</v>
      </c>
    </row>
    <row r="543" spans="1:9">
      <c r="A543" s="1" t="s">
        <v>344</v>
      </c>
      <c r="B543" t="s">
        <v>57</v>
      </c>
      <c r="C543">
        <v>102</v>
      </c>
      <c r="D543" t="s">
        <v>14</v>
      </c>
      <c r="E543">
        <v>91</v>
      </c>
      <c r="F543">
        <v>34.64</v>
      </c>
      <c r="G543">
        <v>2</v>
      </c>
      <c r="H543">
        <f>CLIENTS_CHURN34[[#This Row],[Anciennete_Mois]]/12</f>
        <v>8.5</v>
      </c>
      <c r="I543">
        <f>CLIENTS_CHURN34[[#This Row],[Duree_Cumulee_Panne_Min]]/60</f>
        <v>1.5166666666666666</v>
      </c>
    </row>
    <row r="544" spans="1:9">
      <c r="A544" s="1" t="s">
        <v>653</v>
      </c>
      <c r="B544" t="s">
        <v>24</v>
      </c>
      <c r="C544">
        <v>41</v>
      </c>
      <c r="D544" t="s">
        <v>21</v>
      </c>
      <c r="E544">
        <v>90</v>
      </c>
      <c r="F544">
        <v>97.26</v>
      </c>
      <c r="G544">
        <v>1</v>
      </c>
      <c r="H544">
        <f>CLIENTS_CHURN34[[#This Row],[Anciennete_Mois]]/12</f>
        <v>3.4166666666666665</v>
      </c>
      <c r="I544">
        <f>CLIENTS_CHURN34[[#This Row],[Duree_Cumulee_Panne_Min]]/60</f>
        <v>1.5</v>
      </c>
    </row>
    <row r="545" spans="1:9">
      <c r="A545" s="1" t="s">
        <v>551</v>
      </c>
      <c r="B545" t="s">
        <v>111</v>
      </c>
      <c r="C545">
        <v>91</v>
      </c>
      <c r="D545" t="s">
        <v>21</v>
      </c>
      <c r="E545">
        <v>90</v>
      </c>
      <c r="F545">
        <v>39.14</v>
      </c>
      <c r="G545">
        <v>3</v>
      </c>
      <c r="H545">
        <f>CLIENTS_CHURN34[[#This Row],[Anciennete_Mois]]/12</f>
        <v>7.583333333333333</v>
      </c>
      <c r="I545">
        <f>CLIENTS_CHURN34[[#This Row],[Duree_Cumulee_Panne_Min]]/60</f>
        <v>1.5</v>
      </c>
    </row>
    <row r="546" spans="1:9">
      <c r="A546" s="1" t="s">
        <v>395</v>
      </c>
      <c r="B546" t="s">
        <v>20</v>
      </c>
      <c r="C546">
        <v>113</v>
      </c>
      <c r="D546" t="s">
        <v>32</v>
      </c>
      <c r="E546">
        <v>89</v>
      </c>
      <c r="F546">
        <v>54.28</v>
      </c>
      <c r="G546">
        <v>0</v>
      </c>
      <c r="H546">
        <f>CLIENTS_CHURN34[[#This Row],[Anciennete_Mois]]/12</f>
        <v>9.4166666666666661</v>
      </c>
      <c r="I546">
        <f>CLIENTS_CHURN34[[#This Row],[Duree_Cumulee_Panne_Min]]/60</f>
        <v>1.4833333333333334</v>
      </c>
    </row>
    <row r="547" spans="1:9">
      <c r="A547" s="1" t="s">
        <v>344</v>
      </c>
      <c r="B547" t="s">
        <v>92</v>
      </c>
      <c r="C547">
        <v>37</v>
      </c>
      <c r="D547" t="s">
        <v>11</v>
      </c>
      <c r="E547">
        <v>88</v>
      </c>
      <c r="F547">
        <v>77.77</v>
      </c>
      <c r="G547">
        <v>1</v>
      </c>
      <c r="H547">
        <f>CLIENTS_CHURN34[[#This Row],[Anciennete_Mois]]/12</f>
        <v>3.0833333333333335</v>
      </c>
      <c r="I547">
        <f>CLIENTS_CHURN34[[#This Row],[Duree_Cumulee_Panne_Min]]/60</f>
        <v>1.4666666666666666</v>
      </c>
    </row>
    <row r="548" spans="1:9">
      <c r="A548" s="1" t="s">
        <v>242</v>
      </c>
      <c r="B548" t="s">
        <v>24</v>
      </c>
      <c r="C548">
        <v>82</v>
      </c>
      <c r="D548" t="s">
        <v>32</v>
      </c>
      <c r="E548">
        <v>88</v>
      </c>
      <c r="F548">
        <v>86.64</v>
      </c>
      <c r="G548">
        <v>1</v>
      </c>
      <c r="H548">
        <f>CLIENTS_CHURN34[[#This Row],[Anciennete_Mois]]/12</f>
        <v>6.833333333333333</v>
      </c>
      <c r="I548">
        <f>CLIENTS_CHURN34[[#This Row],[Duree_Cumulee_Panne_Min]]/60</f>
        <v>1.4666666666666666</v>
      </c>
    </row>
    <row r="549" spans="1:9">
      <c r="A549" s="1" t="s">
        <v>447</v>
      </c>
      <c r="B549" t="s">
        <v>79</v>
      </c>
      <c r="C549">
        <v>13</v>
      </c>
      <c r="D549" t="s">
        <v>11</v>
      </c>
      <c r="E549">
        <v>87</v>
      </c>
      <c r="F549">
        <v>66.36</v>
      </c>
      <c r="G549">
        <v>0</v>
      </c>
      <c r="H549">
        <f>CLIENTS_CHURN34[[#This Row],[Anciennete_Mois]]/12</f>
        <v>1.0833333333333333</v>
      </c>
      <c r="I549">
        <f>CLIENTS_CHURN34[[#This Row],[Duree_Cumulee_Panne_Min]]/60</f>
        <v>1.45</v>
      </c>
    </row>
    <row r="550" spans="1:9">
      <c r="A550" s="1" t="s">
        <v>242</v>
      </c>
      <c r="B550" t="s">
        <v>26</v>
      </c>
      <c r="C550">
        <v>61</v>
      </c>
      <c r="D550" t="s">
        <v>21</v>
      </c>
      <c r="E550">
        <v>87</v>
      </c>
      <c r="F550">
        <v>68.319999999999993</v>
      </c>
      <c r="G550">
        <v>2</v>
      </c>
      <c r="H550">
        <f>CLIENTS_CHURN34[[#This Row],[Anciennete_Mois]]/12</f>
        <v>5.083333333333333</v>
      </c>
      <c r="I550">
        <f>CLIENTS_CHURN34[[#This Row],[Duree_Cumulee_Panne_Min]]/60</f>
        <v>1.45</v>
      </c>
    </row>
    <row r="551" spans="1:9">
      <c r="A551" s="1" t="s">
        <v>344</v>
      </c>
      <c r="B551" t="s">
        <v>38</v>
      </c>
      <c r="C551">
        <v>55</v>
      </c>
      <c r="D551" t="s">
        <v>32</v>
      </c>
      <c r="E551">
        <v>86</v>
      </c>
      <c r="F551">
        <v>17.440000000000001</v>
      </c>
      <c r="G551">
        <v>2</v>
      </c>
      <c r="H551">
        <f>CLIENTS_CHURN34[[#This Row],[Anciennete_Mois]]/12</f>
        <v>4.583333333333333</v>
      </c>
      <c r="I551">
        <f>CLIENTS_CHURN34[[#This Row],[Duree_Cumulee_Panne_Min]]/60</f>
        <v>1.4333333333333333</v>
      </c>
    </row>
    <row r="552" spans="1:9">
      <c r="A552" s="1" t="s">
        <v>293</v>
      </c>
      <c r="B552" t="s">
        <v>79</v>
      </c>
      <c r="C552">
        <v>117</v>
      </c>
      <c r="D552" t="s">
        <v>14</v>
      </c>
      <c r="E552">
        <v>85</v>
      </c>
      <c r="F552">
        <v>46.16</v>
      </c>
      <c r="G552">
        <v>3</v>
      </c>
      <c r="H552">
        <f>CLIENTS_CHURN34[[#This Row],[Anciennete_Mois]]/12</f>
        <v>9.75</v>
      </c>
      <c r="I552">
        <f>CLIENTS_CHURN34[[#This Row],[Duree_Cumulee_Panne_Min]]/60</f>
        <v>1.4166666666666667</v>
      </c>
    </row>
    <row r="553" spans="1:9">
      <c r="A553" s="1" t="s">
        <v>551</v>
      </c>
      <c r="B553" t="s">
        <v>29</v>
      </c>
      <c r="C553">
        <v>109</v>
      </c>
      <c r="D553" t="s">
        <v>21</v>
      </c>
      <c r="E553">
        <v>84</v>
      </c>
      <c r="F553">
        <v>97.46</v>
      </c>
      <c r="G553">
        <v>5</v>
      </c>
      <c r="H553">
        <f>CLIENTS_CHURN34[[#This Row],[Anciennete_Mois]]/12</f>
        <v>9.0833333333333339</v>
      </c>
      <c r="I553">
        <f>CLIENTS_CHURN34[[#This Row],[Duree_Cumulee_Panne_Min]]/60</f>
        <v>1.4</v>
      </c>
    </row>
    <row r="554" spans="1:9">
      <c r="A554" s="1" t="s">
        <v>602</v>
      </c>
      <c r="B554" t="s">
        <v>20</v>
      </c>
      <c r="C554">
        <v>67</v>
      </c>
      <c r="D554" t="s">
        <v>21</v>
      </c>
      <c r="E554">
        <v>81</v>
      </c>
      <c r="F554">
        <v>28.52</v>
      </c>
      <c r="G554">
        <v>4</v>
      </c>
      <c r="H554">
        <f>CLIENTS_CHURN34[[#This Row],[Anciennete_Mois]]/12</f>
        <v>5.583333333333333</v>
      </c>
      <c r="I554">
        <f>CLIENTS_CHURN34[[#This Row],[Duree_Cumulee_Panne_Min]]/60</f>
        <v>1.35</v>
      </c>
    </row>
    <row r="555" spans="1:9">
      <c r="A555" s="1" t="s">
        <v>499</v>
      </c>
      <c r="B555" t="s">
        <v>65</v>
      </c>
      <c r="C555">
        <v>118</v>
      </c>
      <c r="D555" t="s">
        <v>11</v>
      </c>
      <c r="E555">
        <v>80</v>
      </c>
      <c r="F555">
        <v>97.58</v>
      </c>
      <c r="G555">
        <v>3</v>
      </c>
      <c r="H555">
        <f>CLIENTS_CHURN34[[#This Row],[Anciennete_Mois]]/12</f>
        <v>9.8333333333333339</v>
      </c>
      <c r="I555">
        <f>CLIENTS_CHURN34[[#This Row],[Duree_Cumulee_Panne_Min]]/60</f>
        <v>1.3333333333333333</v>
      </c>
    </row>
    <row r="556" spans="1:9">
      <c r="A556" s="1" t="s">
        <v>602</v>
      </c>
      <c r="B556" t="s">
        <v>52</v>
      </c>
      <c r="C556">
        <v>108</v>
      </c>
      <c r="D556" t="s">
        <v>32</v>
      </c>
      <c r="E556">
        <v>78</v>
      </c>
      <c r="F556">
        <v>90.05</v>
      </c>
      <c r="G556">
        <v>2</v>
      </c>
      <c r="H556">
        <f>CLIENTS_CHURN34[[#This Row],[Anciennete_Mois]]/12</f>
        <v>9</v>
      </c>
      <c r="I556">
        <f>CLIENTS_CHURN34[[#This Row],[Duree_Cumulee_Panne_Min]]/60</f>
        <v>1.3</v>
      </c>
    </row>
    <row r="557" spans="1:9">
      <c r="A557" s="1" t="s">
        <v>653</v>
      </c>
      <c r="B557" t="s">
        <v>111</v>
      </c>
      <c r="C557">
        <v>6</v>
      </c>
      <c r="D557" t="s">
        <v>21</v>
      </c>
      <c r="E557">
        <v>77</v>
      </c>
      <c r="F557">
        <v>18.48</v>
      </c>
      <c r="G557">
        <v>2</v>
      </c>
      <c r="H557">
        <f>CLIENTS_CHURN34[[#This Row],[Anciennete_Mois]]/12</f>
        <v>0.5</v>
      </c>
      <c r="I557">
        <f>CLIENTS_CHURN34[[#This Row],[Duree_Cumulee_Panne_Min]]/60</f>
        <v>1.2833333333333334</v>
      </c>
    </row>
    <row r="558" spans="1:9">
      <c r="A558" s="1" t="s">
        <v>191</v>
      </c>
      <c r="B558" t="s">
        <v>38</v>
      </c>
      <c r="C558">
        <v>48</v>
      </c>
      <c r="D558" t="s">
        <v>11</v>
      </c>
      <c r="E558">
        <v>76</v>
      </c>
      <c r="F558">
        <v>39.35</v>
      </c>
      <c r="G558">
        <v>2</v>
      </c>
      <c r="H558">
        <f>CLIENTS_CHURN34[[#This Row],[Anciennete_Mois]]/12</f>
        <v>4</v>
      </c>
      <c r="I558">
        <f>CLIENTS_CHURN34[[#This Row],[Duree_Cumulee_Panne_Min]]/60</f>
        <v>1.2666666666666666</v>
      </c>
    </row>
    <row r="559" spans="1:9">
      <c r="A559" s="1" t="s">
        <v>499</v>
      </c>
      <c r="B559" t="s">
        <v>18</v>
      </c>
      <c r="C559">
        <v>111</v>
      </c>
      <c r="D559" t="s">
        <v>14</v>
      </c>
      <c r="E559">
        <v>76</v>
      </c>
      <c r="F559">
        <v>38.19</v>
      </c>
      <c r="G559">
        <v>5</v>
      </c>
      <c r="H559">
        <f>CLIENTS_CHURN34[[#This Row],[Anciennete_Mois]]/12</f>
        <v>9.25</v>
      </c>
      <c r="I559">
        <f>CLIENTS_CHURN34[[#This Row],[Duree_Cumulee_Panne_Min]]/60</f>
        <v>1.2666666666666666</v>
      </c>
    </row>
    <row r="560" spans="1:9">
      <c r="A560" s="1" t="s">
        <v>447</v>
      </c>
      <c r="B560" t="s">
        <v>45</v>
      </c>
      <c r="C560">
        <v>15</v>
      </c>
      <c r="D560" t="s">
        <v>32</v>
      </c>
      <c r="E560">
        <v>75</v>
      </c>
      <c r="F560">
        <v>45.59</v>
      </c>
      <c r="G560">
        <v>0</v>
      </c>
      <c r="H560">
        <f>CLIENTS_CHURN34[[#This Row],[Anciennete_Mois]]/12</f>
        <v>1.25</v>
      </c>
      <c r="I560">
        <f>CLIENTS_CHURN34[[#This Row],[Duree_Cumulee_Panne_Min]]/60</f>
        <v>1.25</v>
      </c>
    </row>
    <row r="561" spans="1:9">
      <c r="A561" s="1" t="s">
        <v>653</v>
      </c>
      <c r="B561" t="s">
        <v>29</v>
      </c>
      <c r="C561">
        <v>18</v>
      </c>
      <c r="D561" t="s">
        <v>11</v>
      </c>
      <c r="E561">
        <v>75</v>
      </c>
      <c r="F561">
        <v>57.66</v>
      </c>
      <c r="G561">
        <v>1</v>
      </c>
      <c r="H561">
        <f>CLIENTS_CHURN34[[#This Row],[Anciennete_Mois]]/12</f>
        <v>1.5</v>
      </c>
      <c r="I561">
        <f>CLIENTS_CHURN34[[#This Row],[Duree_Cumulee_Panne_Min]]/60</f>
        <v>1.25</v>
      </c>
    </row>
    <row r="562" spans="1:9">
      <c r="A562" s="1" t="s">
        <v>499</v>
      </c>
      <c r="B562" t="s">
        <v>52</v>
      </c>
      <c r="C562">
        <v>85</v>
      </c>
      <c r="D562" t="s">
        <v>11</v>
      </c>
      <c r="E562">
        <v>75</v>
      </c>
      <c r="F562">
        <v>98.01</v>
      </c>
      <c r="G562">
        <v>1</v>
      </c>
      <c r="H562">
        <f>CLIENTS_CHURN34[[#This Row],[Anciennete_Mois]]/12</f>
        <v>7.083333333333333</v>
      </c>
      <c r="I562">
        <f>CLIENTS_CHURN34[[#This Row],[Duree_Cumulee_Panne_Min]]/60</f>
        <v>1.25</v>
      </c>
    </row>
    <row r="563" spans="1:9">
      <c r="A563" s="1" t="s">
        <v>8</v>
      </c>
      <c r="B563" t="s">
        <v>13</v>
      </c>
      <c r="C563">
        <v>14</v>
      </c>
      <c r="D563" t="s">
        <v>32</v>
      </c>
      <c r="E563">
        <v>75</v>
      </c>
      <c r="F563">
        <v>55.67</v>
      </c>
      <c r="G563">
        <v>3</v>
      </c>
      <c r="H563">
        <f>CLIENTS_CHURN34[[#This Row],[Anciennete_Mois]]/12</f>
        <v>1.1666666666666667</v>
      </c>
      <c r="I563">
        <f>CLIENTS_CHURN34[[#This Row],[Duree_Cumulee_Panne_Min]]/60</f>
        <v>1.25</v>
      </c>
    </row>
    <row r="564" spans="1:9">
      <c r="A564" s="1" t="s">
        <v>551</v>
      </c>
      <c r="B564" t="s">
        <v>95</v>
      </c>
      <c r="C564">
        <v>59</v>
      </c>
      <c r="D564" t="s">
        <v>11</v>
      </c>
      <c r="E564">
        <v>72</v>
      </c>
      <c r="F564">
        <v>94.51</v>
      </c>
      <c r="G564">
        <v>2</v>
      </c>
      <c r="H564">
        <f>CLIENTS_CHURN34[[#This Row],[Anciennete_Mois]]/12</f>
        <v>4.916666666666667</v>
      </c>
      <c r="I564">
        <f>CLIENTS_CHURN34[[#This Row],[Duree_Cumulee_Panne_Min]]/60</f>
        <v>1.2</v>
      </c>
    </row>
    <row r="565" spans="1:9">
      <c r="A565" s="1" t="s">
        <v>499</v>
      </c>
      <c r="B565" t="s">
        <v>71</v>
      </c>
      <c r="C565">
        <v>120</v>
      </c>
      <c r="D565" t="s">
        <v>11</v>
      </c>
      <c r="E565">
        <v>72</v>
      </c>
      <c r="F565">
        <v>29.07</v>
      </c>
      <c r="G565">
        <v>3</v>
      </c>
      <c r="H565">
        <f>CLIENTS_CHURN34[[#This Row],[Anciennete_Mois]]/12</f>
        <v>10</v>
      </c>
      <c r="I565">
        <f>CLIENTS_CHURN34[[#This Row],[Duree_Cumulee_Panne_Min]]/60</f>
        <v>1.2</v>
      </c>
    </row>
    <row r="566" spans="1:9">
      <c r="A566" s="1" t="s">
        <v>191</v>
      </c>
      <c r="B566" t="s">
        <v>107</v>
      </c>
      <c r="C566">
        <v>18</v>
      </c>
      <c r="D566" t="s">
        <v>11</v>
      </c>
      <c r="E566">
        <v>71</v>
      </c>
      <c r="F566">
        <v>46.98</v>
      </c>
      <c r="G566">
        <v>2</v>
      </c>
      <c r="H566">
        <f>CLIENTS_CHURN34[[#This Row],[Anciennete_Mois]]/12</f>
        <v>1.5</v>
      </c>
      <c r="I566">
        <f>CLIENTS_CHURN34[[#This Row],[Duree_Cumulee_Panne_Min]]/60</f>
        <v>1.1833333333333333</v>
      </c>
    </row>
    <row r="567" spans="1:9">
      <c r="A567" s="1" t="s">
        <v>756</v>
      </c>
      <c r="B567" t="s">
        <v>16</v>
      </c>
      <c r="C567">
        <v>5</v>
      </c>
      <c r="D567" t="s">
        <v>32</v>
      </c>
      <c r="E567">
        <v>71</v>
      </c>
      <c r="F567">
        <v>93.81</v>
      </c>
      <c r="G567">
        <v>3</v>
      </c>
      <c r="H567">
        <f>CLIENTS_CHURN34[[#This Row],[Anciennete_Mois]]/12</f>
        <v>0.41666666666666669</v>
      </c>
      <c r="I567">
        <f>CLIENTS_CHURN34[[#This Row],[Duree_Cumulee_Panne_Min]]/60</f>
        <v>1.1833333333333333</v>
      </c>
    </row>
    <row r="568" spans="1:9">
      <c r="A568" s="1" t="s">
        <v>602</v>
      </c>
      <c r="B568" t="s">
        <v>10</v>
      </c>
      <c r="C568">
        <v>27</v>
      </c>
      <c r="D568" t="s">
        <v>14</v>
      </c>
      <c r="E568">
        <v>70</v>
      </c>
      <c r="F568">
        <v>20.32</v>
      </c>
      <c r="G568">
        <v>3</v>
      </c>
      <c r="H568">
        <f>CLIENTS_CHURN34[[#This Row],[Anciennete_Mois]]/12</f>
        <v>2.25</v>
      </c>
      <c r="I568">
        <f>CLIENTS_CHURN34[[#This Row],[Duree_Cumulee_Panne_Min]]/60</f>
        <v>1.1666666666666667</v>
      </c>
    </row>
    <row r="569" spans="1:9">
      <c r="A569" s="1" t="s">
        <v>447</v>
      </c>
      <c r="B569" t="s">
        <v>38</v>
      </c>
      <c r="C569">
        <v>71</v>
      </c>
      <c r="D569" t="s">
        <v>21</v>
      </c>
      <c r="E569">
        <v>68</v>
      </c>
      <c r="F569">
        <v>53.11</v>
      </c>
      <c r="G569">
        <v>2</v>
      </c>
      <c r="H569">
        <f>CLIENTS_CHURN34[[#This Row],[Anciennete_Mois]]/12</f>
        <v>5.916666666666667</v>
      </c>
      <c r="I569">
        <f>CLIENTS_CHURN34[[#This Row],[Duree_Cumulee_Panne_Min]]/60</f>
        <v>1.1333333333333333</v>
      </c>
    </row>
    <row r="570" spans="1:9">
      <c r="A570" s="1" t="s">
        <v>395</v>
      </c>
      <c r="B570" t="s">
        <v>61</v>
      </c>
      <c r="C570">
        <v>104</v>
      </c>
      <c r="D570" t="s">
        <v>32</v>
      </c>
      <c r="E570">
        <v>68</v>
      </c>
      <c r="F570">
        <v>21.15</v>
      </c>
      <c r="G570">
        <v>2</v>
      </c>
      <c r="H570">
        <f>CLIENTS_CHURN34[[#This Row],[Anciennete_Mois]]/12</f>
        <v>8.6666666666666661</v>
      </c>
      <c r="I570">
        <f>CLIENTS_CHURN34[[#This Row],[Duree_Cumulee_Panne_Min]]/60</f>
        <v>1.1333333333333333</v>
      </c>
    </row>
    <row r="571" spans="1:9">
      <c r="A571" s="1" t="s">
        <v>756</v>
      </c>
      <c r="B571" t="s">
        <v>18</v>
      </c>
      <c r="C571">
        <v>25</v>
      </c>
      <c r="D571" t="s">
        <v>11</v>
      </c>
      <c r="E571">
        <v>66</v>
      </c>
      <c r="F571">
        <v>90.14</v>
      </c>
      <c r="G571">
        <v>5</v>
      </c>
      <c r="H571">
        <f>CLIENTS_CHURN34[[#This Row],[Anciennete_Mois]]/12</f>
        <v>2.0833333333333335</v>
      </c>
      <c r="I571">
        <f>CLIENTS_CHURN34[[#This Row],[Duree_Cumulee_Panne_Min]]/60</f>
        <v>1.1000000000000001</v>
      </c>
    </row>
    <row r="572" spans="1:9">
      <c r="A572" s="1" t="s">
        <v>705</v>
      </c>
      <c r="B572" t="s">
        <v>20</v>
      </c>
      <c r="C572">
        <v>80</v>
      </c>
      <c r="D572" t="s">
        <v>14</v>
      </c>
      <c r="E572">
        <v>65</v>
      </c>
      <c r="F572">
        <v>76.64</v>
      </c>
      <c r="G572">
        <v>3</v>
      </c>
      <c r="H572">
        <f>CLIENTS_CHURN34[[#This Row],[Anciennete_Mois]]/12</f>
        <v>6.666666666666667</v>
      </c>
      <c r="I572">
        <f>CLIENTS_CHURN34[[#This Row],[Duree_Cumulee_Panne_Min]]/60</f>
        <v>1.0833333333333333</v>
      </c>
    </row>
    <row r="573" spans="1:9">
      <c r="A573" s="1" t="s">
        <v>705</v>
      </c>
      <c r="B573" t="s">
        <v>63</v>
      </c>
      <c r="C573">
        <v>59</v>
      </c>
      <c r="D573" t="s">
        <v>21</v>
      </c>
      <c r="E573">
        <v>64</v>
      </c>
      <c r="F573">
        <v>20.32</v>
      </c>
      <c r="G573">
        <v>0</v>
      </c>
      <c r="H573">
        <f>CLIENTS_CHURN34[[#This Row],[Anciennete_Mois]]/12</f>
        <v>4.916666666666667</v>
      </c>
      <c r="I573">
        <f>CLIENTS_CHURN34[[#This Row],[Duree_Cumulee_Panne_Min]]/60</f>
        <v>1.0666666666666667</v>
      </c>
    </row>
    <row r="574" spans="1:9">
      <c r="A574" s="1" t="s">
        <v>140</v>
      </c>
      <c r="B574" t="s">
        <v>71</v>
      </c>
      <c r="C574">
        <v>41</v>
      </c>
      <c r="D574" t="s">
        <v>32</v>
      </c>
      <c r="E574">
        <v>64</v>
      </c>
      <c r="F574">
        <v>91.95</v>
      </c>
      <c r="G574">
        <v>1</v>
      </c>
      <c r="H574">
        <f>CLIENTS_CHURN34[[#This Row],[Anciennete_Mois]]/12</f>
        <v>3.4166666666666665</v>
      </c>
      <c r="I574">
        <f>CLIENTS_CHURN34[[#This Row],[Duree_Cumulee_Panne_Min]]/60</f>
        <v>1.0666666666666667</v>
      </c>
    </row>
    <row r="575" spans="1:9">
      <c r="A575" s="1" t="s">
        <v>602</v>
      </c>
      <c r="B575" t="s">
        <v>24</v>
      </c>
      <c r="C575">
        <v>81</v>
      </c>
      <c r="D575" t="s">
        <v>21</v>
      </c>
      <c r="E575">
        <v>64</v>
      </c>
      <c r="F575">
        <v>43.45</v>
      </c>
      <c r="G575">
        <v>2</v>
      </c>
      <c r="H575">
        <f>CLIENTS_CHURN34[[#This Row],[Anciennete_Mois]]/12</f>
        <v>6.75</v>
      </c>
      <c r="I575">
        <f>CLIENTS_CHURN34[[#This Row],[Duree_Cumulee_Panne_Min]]/60</f>
        <v>1.0666666666666667</v>
      </c>
    </row>
    <row r="576" spans="1:9">
      <c r="A576" s="1" t="s">
        <v>85</v>
      </c>
      <c r="B576" t="s">
        <v>71</v>
      </c>
      <c r="C576">
        <v>25</v>
      </c>
      <c r="D576" t="s">
        <v>32</v>
      </c>
      <c r="E576">
        <v>64</v>
      </c>
      <c r="F576">
        <v>38.950000000000003</v>
      </c>
      <c r="G576">
        <v>5</v>
      </c>
      <c r="H576">
        <f>CLIENTS_CHURN34[[#This Row],[Anciennete_Mois]]/12</f>
        <v>2.0833333333333335</v>
      </c>
      <c r="I576">
        <f>CLIENTS_CHURN34[[#This Row],[Duree_Cumulee_Panne_Min]]/60</f>
        <v>1.0666666666666667</v>
      </c>
    </row>
    <row r="577" spans="1:9">
      <c r="A577" s="1" t="s">
        <v>293</v>
      </c>
      <c r="B577" t="s">
        <v>29</v>
      </c>
      <c r="C577">
        <v>91</v>
      </c>
      <c r="D577" t="s">
        <v>21</v>
      </c>
      <c r="E577">
        <v>63</v>
      </c>
      <c r="F577">
        <v>57.76</v>
      </c>
      <c r="G577">
        <v>5</v>
      </c>
      <c r="H577">
        <f>CLIENTS_CHURN34[[#This Row],[Anciennete_Mois]]/12</f>
        <v>7.583333333333333</v>
      </c>
      <c r="I577">
        <f>CLIENTS_CHURN34[[#This Row],[Duree_Cumulee_Panne_Min]]/60</f>
        <v>1.05</v>
      </c>
    </row>
    <row r="578" spans="1:9">
      <c r="A578" s="1" t="s">
        <v>602</v>
      </c>
      <c r="B578" t="s">
        <v>79</v>
      </c>
      <c r="C578">
        <v>91</v>
      </c>
      <c r="D578" t="s">
        <v>14</v>
      </c>
      <c r="E578">
        <v>62</v>
      </c>
      <c r="F578">
        <v>34.450000000000003</v>
      </c>
      <c r="G578">
        <v>5</v>
      </c>
      <c r="H578">
        <f>CLIENTS_CHURN34[[#This Row],[Anciennete_Mois]]/12</f>
        <v>7.583333333333333</v>
      </c>
      <c r="I578">
        <f>CLIENTS_CHURN34[[#This Row],[Duree_Cumulee_Panne_Min]]/60</f>
        <v>1.0333333333333334</v>
      </c>
    </row>
    <row r="579" spans="1:9">
      <c r="A579" s="1" t="s">
        <v>85</v>
      </c>
      <c r="B579" t="s">
        <v>61</v>
      </c>
      <c r="C579">
        <v>58</v>
      </c>
      <c r="D579" t="s">
        <v>21</v>
      </c>
      <c r="E579">
        <v>61</v>
      </c>
      <c r="F579">
        <v>58.64</v>
      </c>
      <c r="G579">
        <v>3</v>
      </c>
      <c r="H579">
        <f>CLIENTS_CHURN34[[#This Row],[Anciennete_Mois]]/12</f>
        <v>4.833333333333333</v>
      </c>
      <c r="I579">
        <f>CLIENTS_CHURN34[[#This Row],[Duree_Cumulee_Panne_Min]]/60</f>
        <v>1.0166666666666666</v>
      </c>
    </row>
    <row r="580" spans="1:9">
      <c r="A580" s="1" t="s">
        <v>242</v>
      </c>
      <c r="B580" t="s">
        <v>29</v>
      </c>
      <c r="C580">
        <v>27</v>
      </c>
      <c r="D580" t="s">
        <v>32</v>
      </c>
      <c r="E580">
        <v>61</v>
      </c>
      <c r="F580">
        <v>97.51</v>
      </c>
      <c r="G580">
        <v>5</v>
      </c>
      <c r="H580">
        <f>CLIENTS_CHURN34[[#This Row],[Anciennete_Mois]]/12</f>
        <v>2.25</v>
      </c>
      <c r="I580">
        <f>CLIENTS_CHURN34[[#This Row],[Duree_Cumulee_Panne_Min]]/60</f>
        <v>1.0166666666666666</v>
      </c>
    </row>
    <row r="581" spans="1:9">
      <c r="A581" s="1" t="s">
        <v>395</v>
      </c>
      <c r="B581" t="s">
        <v>76</v>
      </c>
      <c r="C581">
        <v>104</v>
      </c>
      <c r="D581" t="s">
        <v>11</v>
      </c>
      <c r="E581">
        <v>60</v>
      </c>
      <c r="F581">
        <v>45.51</v>
      </c>
      <c r="G581">
        <v>1</v>
      </c>
      <c r="H581">
        <f>CLIENTS_CHURN34[[#This Row],[Anciennete_Mois]]/12</f>
        <v>8.6666666666666661</v>
      </c>
      <c r="I581">
        <f>CLIENTS_CHURN34[[#This Row],[Duree_Cumulee_Panne_Min]]/60</f>
        <v>1</v>
      </c>
    </row>
    <row r="582" spans="1:9">
      <c r="A582" s="1" t="s">
        <v>653</v>
      </c>
      <c r="B582" t="s">
        <v>18</v>
      </c>
      <c r="C582">
        <v>120</v>
      </c>
      <c r="D582" t="s">
        <v>11</v>
      </c>
      <c r="E582">
        <v>60</v>
      </c>
      <c r="F582">
        <v>34.14</v>
      </c>
      <c r="G582">
        <v>3</v>
      </c>
      <c r="H582">
        <f>CLIENTS_CHURN34[[#This Row],[Anciennete_Mois]]/12</f>
        <v>10</v>
      </c>
      <c r="I582">
        <f>CLIENTS_CHURN34[[#This Row],[Duree_Cumulee_Panne_Min]]/60</f>
        <v>1</v>
      </c>
    </row>
    <row r="583" spans="1:9">
      <c r="A583" s="1" t="s">
        <v>344</v>
      </c>
      <c r="B583" t="s">
        <v>79</v>
      </c>
      <c r="C583">
        <v>38</v>
      </c>
      <c r="D583" t="s">
        <v>32</v>
      </c>
      <c r="E583">
        <v>60</v>
      </c>
      <c r="F583">
        <v>58.28</v>
      </c>
      <c r="G583">
        <v>4</v>
      </c>
      <c r="H583">
        <f>CLIENTS_CHURN34[[#This Row],[Anciennete_Mois]]/12</f>
        <v>3.1666666666666665</v>
      </c>
      <c r="I583">
        <f>CLIENTS_CHURN34[[#This Row],[Duree_Cumulee_Panne_Min]]/60</f>
        <v>1</v>
      </c>
    </row>
    <row r="584" spans="1:9">
      <c r="A584" s="1" t="s">
        <v>602</v>
      </c>
      <c r="B584" t="s">
        <v>40</v>
      </c>
      <c r="C584">
        <v>55</v>
      </c>
      <c r="D584" t="s">
        <v>21</v>
      </c>
      <c r="E584">
        <v>60</v>
      </c>
      <c r="F584">
        <v>32.51</v>
      </c>
      <c r="G584">
        <v>4</v>
      </c>
      <c r="H584">
        <f>CLIENTS_CHURN34[[#This Row],[Anciennete_Mois]]/12</f>
        <v>4.583333333333333</v>
      </c>
      <c r="I584">
        <f>CLIENTS_CHURN34[[#This Row],[Duree_Cumulee_Panne_Min]]/60</f>
        <v>1</v>
      </c>
    </row>
    <row r="585" spans="1:9">
      <c r="A585" s="1" t="s">
        <v>447</v>
      </c>
      <c r="B585" t="s">
        <v>45</v>
      </c>
      <c r="C585">
        <v>78</v>
      </c>
      <c r="D585" t="s">
        <v>32</v>
      </c>
      <c r="E585">
        <v>60</v>
      </c>
      <c r="F585">
        <v>33.159999999999997</v>
      </c>
      <c r="G585">
        <v>5</v>
      </c>
      <c r="H585">
        <f>CLIENTS_CHURN34[[#This Row],[Anciennete_Mois]]/12</f>
        <v>6.5</v>
      </c>
      <c r="I585">
        <f>CLIENTS_CHURN34[[#This Row],[Duree_Cumulee_Panne_Min]]/60</f>
        <v>1</v>
      </c>
    </row>
    <row r="586" spans="1:9">
      <c r="A586" s="1" t="s">
        <v>602</v>
      </c>
      <c r="B586" t="s">
        <v>71</v>
      </c>
      <c r="C586">
        <v>34</v>
      </c>
      <c r="D586" t="s">
        <v>11</v>
      </c>
      <c r="E586">
        <v>58</v>
      </c>
      <c r="F586">
        <v>64.349999999999994</v>
      </c>
      <c r="G586">
        <v>0</v>
      </c>
      <c r="H586">
        <f>CLIENTS_CHURN34[[#This Row],[Anciennete_Mois]]/12</f>
        <v>2.8333333333333335</v>
      </c>
      <c r="I586">
        <f>CLIENTS_CHURN34[[#This Row],[Duree_Cumulee_Panne_Min]]/60</f>
        <v>0.96666666666666667</v>
      </c>
    </row>
    <row r="587" spans="1:9">
      <c r="A587" s="1" t="s">
        <v>395</v>
      </c>
      <c r="B587" t="s">
        <v>24</v>
      </c>
      <c r="C587">
        <v>78</v>
      </c>
      <c r="D587" t="s">
        <v>14</v>
      </c>
      <c r="E587">
        <v>57</v>
      </c>
      <c r="F587">
        <v>49.47</v>
      </c>
      <c r="G587">
        <v>0</v>
      </c>
      <c r="H587">
        <f>CLIENTS_CHURN34[[#This Row],[Anciennete_Mois]]/12</f>
        <v>6.5</v>
      </c>
      <c r="I587">
        <f>CLIENTS_CHURN34[[#This Row],[Duree_Cumulee_Panne_Min]]/60</f>
        <v>0.95</v>
      </c>
    </row>
    <row r="588" spans="1:9">
      <c r="A588" s="1" t="s">
        <v>653</v>
      </c>
      <c r="B588" t="s">
        <v>65</v>
      </c>
      <c r="C588">
        <v>93</v>
      </c>
      <c r="D588" t="s">
        <v>11</v>
      </c>
      <c r="E588">
        <v>56</v>
      </c>
      <c r="F588">
        <v>96.31</v>
      </c>
      <c r="G588">
        <v>4</v>
      </c>
      <c r="H588">
        <f>CLIENTS_CHURN34[[#This Row],[Anciennete_Mois]]/12</f>
        <v>7.75</v>
      </c>
      <c r="I588">
        <f>CLIENTS_CHURN34[[#This Row],[Duree_Cumulee_Panne_Min]]/60</f>
        <v>0.93333333333333335</v>
      </c>
    </row>
    <row r="589" spans="1:9">
      <c r="A589" s="1" t="s">
        <v>140</v>
      </c>
      <c r="B589" t="s">
        <v>36</v>
      </c>
      <c r="C589">
        <v>67</v>
      </c>
      <c r="D589" t="s">
        <v>11</v>
      </c>
      <c r="E589">
        <v>55</v>
      </c>
      <c r="F589">
        <v>27.04</v>
      </c>
      <c r="G589">
        <v>1</v>
      </c>
      <c r="H589">
        <f>CLIENTS_CHURN34[[#This Row],[Anciennete_Mois]]/12</f>
        <v>5.583333333333333</v>
      </c>
      <c r="I589">
        <f>CLIENTS_CHURN34[[#This Row],[Duree_Cumulee_Panne_Min]]/60</f>
        <v>0.91666666666666663</v>
      </c>
    </row>
    <row r="590" spans="1:9">
      <c r="A590" s="1" t="s">
        <v>293</v>
      </c>
      <c r="B590" t="s">
        <v>63</v>
      </c>
      <c r="C590">
        <v>56</v>
      </c>
      <c r="D590" t="s">
        <v>11</v>
      </c>
      <c r="E590">
        <v>55</v>
      </c>
      <c r="F590">
        <v>82.56</v>
      </c>
      <c r="G590">
        <v>2</v>
      </c>
      <c r="H590">
        <f>CLIENTS_CHURN34[[#This Row],[Anciennete_Mois]]/12</f>
        <v>4.666666666666667</v>
      </c>
      <c r="I590">
        <f>CLIENTS_CHURN34[[#This Row],[Duree_Cumulee_Panne_Min]]/60</f>
        <v>0.91666666666666663</v>
      </c>
    </row>
    <row r="591" spans="1:9">
      <c r="A591" s="1" t="s">
        <v>499</v>
      </c>
      <c r="B591" t="s">
        <v>63</v>
      </c>
      <c r="C591">
        <v>39</v>
      </c>
      <c r="D591" t="s">
        <v>11</v>
      </c>
      <c r="E591">
        <v>54</v>
      </c>
      <c r="F591">
        <v>88.84</v>
      </c>
      <c r="G591">
        <v>0</v>
      </c>
      <c r="H591">
        <f>CLIENTS_CHURN34[[#This Row],[Anciennete_Mois]]/12</f>
        <v>3.25</v>
      </c>
      <c r="I591">
        <f>CLIENTS_CHURN34[[#This Row],[Duree_Cumulee_Panne_Min]]/60</f>
        <v>0.9</v>
      </c>
    </row>
    <row r="592" spans="1:9">
      <c r="A592" s="1" t="s">
        <v>242</v>
      </c>
      <c r="B592" t="s">
        <v>40</v>
      </c>
      <c r="C592">
        <v>60</v>
      </c>
      <c r="D592" t="s">
        <v>21</v>
      </c>
      <c r="E592">
        <v>54</v>
      </c>
      <c r="F592">
        <v>67.180000000000007</v>
      </c>
      <c r="G592">
        <v>3</v>
      </c>
      <c r="H592">
        <f>CLIENTS_CHURN34[[#This Row],[Anciennete_Mois]]/12</f>
        <v>5</v>
      </c>
      <c r="I592">
        <f>CLIENTS_CHURN34[[#This Row],[Duree_Cumulee_Panne_Min]]/60</f>
        <v>0.9</v>
      </c>
    </row>
    <row r="593" spans="1:9">
      <c r="A593" s="1" t="s">
        <v>705</v>
      </c>
      <c r="B593" t="s">
        <v>38</v>
      </c>
      <c r="C593">
        <v>33</v>
      </c>
      <c r="D593" t="s">
        <v>14</v>
      </c>
      <c r="E593">
        <v>54</v>
      </c>
      <c r="F593">
        <v>71.319999999999993</v>
      </c>
      <c r="G593">
        <v>4</v>
      </c>
      <c r="H593">
        <f>CLIENTS_CHURN34[[#This Row],[Anciennete_Mois]]/12</f>
        <v>2.75</v>
      </c>
      <c r="I593">
        <f>CLIENTS_CHURN34[[#This Row],[Duree_Cumulee_Panne_Min]]/60</f>
        <v>0.9</v>
      </c>
    </row>
    <row r="594" spans="1:9">
      <c r="A594" s="1" t="s">
        <v>140</v>
      </c>
      <c r="B594" t="s">
        <v>92</v>
      </c>
      <c r="C594">
        <v>98</v>
      </c>
      <c r="D594" t="s">
        <v>14</v>
      </c>
      <c r="E594">
        <v>52</v>
      </c>
      <c r="F594">
        <v>52.82</v>
      </c>
      <c r="G594">
        <v>2</v>
      </c>
      <c r="H594">
        <f>CLIENTS_CHURN34[[#This Row],[Anciennete_Mois]]/12</f>
        <v>8.1666666666666661</v>
      </c>
      <c r="I594">
        <f>CLIENTS_CHURN34[[#This Row],[Duree_Cumulee_Panne_Min]]/60</f>
        <v>0.8666666666666667</v>
      </c>
    </row>
    <row r="595" spans="1:9">
      <c r="A595" s="1" t="s">
        <v>242</v>
      </c>
      <c r="B595" t="s">
        <v>31</v>
      </c>
      <c r="C595">
        <v>11</v>
      </c>
      <c r="D595" t="s">
        <v>14</v>
      </c>
      <c r="E595">
        <v>52</v>
      </c>
      <c r="F595">
        <v>76.53</v>
      </c>
      <c r="G595">
        <v>5</v>
      </c>
      <c r="H595">
        <f>CLIENTS_CHURN34[[#This Row],[Anciennete_Mois]]/12</f>
        <v>0.91666666666666663</v>
      </c>
      <c r="I595">
        <f>CLIENTS_CHURN34[[#This Row],[Duree_Cumulee_Panne_Min]]/60</f>
        <v>0.8666666666666667</v>
      </c>
    </row>
    <row r="596" spans="1:9">
      <c r="A596" s="1" t="s">
        <v>85</v>
      </c>
      <c r="B596" t="s">
        <v>76</v>
      </c>
      <c r="C596">
        <v>72</v>
      </c>
      <c r="D596" t="s">
        <v>21</v>
      </c>
      <c r="E596">
        <v>51</v>
      </c>
      <c r="F596">
        <v>95.09</v>
      </c>
      <c r="G596">
        <v>0</v>
      </c>
      <c r="H596">
        <f>CLIENTS_CHURN34[[#This Row],[Anciennete_Mois]]/12</f>
        <v>6</v>
      </c>
      <c r="I596">
        <f>CLIENTS_CHURN34[[#This Row],[Duree_Cumulee_Panne_Min]]/60</f>
        <v>0.85</v>
      </c>
    </row>
    <row r="597" spans="1:9">
      <c r="A597" s="1" t="s">
        <v>293</v>
      </c>
      <c r="B597" t="s">
        <v>71</v>
      </c>
      <c r="C597">
        <v>95</v>
      </c>
      <c r="D597" t="s">
        <v>32</v>
      </c>
      <c r="E597">
        <v>51</v>
      </c>
      <c r="F597">
        <v>94.77</v>
      </c>
      <c r="G597">
        <v>5</v>
      </c>
      <c r="H597">
        <f>CLIENTS_CHURN34[[#This Row],[Anciennete_Mois]]/12</f>
        <v>7.916666666666667</v>
      </c>
      <c r="I597">
        <f>CLIENTS_CHURN34[[#This Row],[Duree_Cumulee_Panne_Min]]/60</f>
        <v>0.85</v>
      </c>
    </row>
    <row r="598" spans="1:9">
      <c r="A598" s="1" t="s">
        <v>140</v>
      </c>
      <c r="B598" t="s">
        <v>31</v>
      </c>
      <c r="C598">
        <v>110</v>
      </c>
      <c r="D598" t="s">
        <v>32</v>
      </c>
      <c r="E598">
        <v>51</v>
      </c>
      <c r="F598">
        <v>56.59</v>
      </c>
      <c r="G598">
        <v>5</v>
      </c>
      <c r="H598">
        <f>CLIENTS_CHURN34[[#This Row],[Anciennete_Mois]]/12</f>
        <v>9.1666666666666661</v>
      </c>
      <c r="I598">
        <f>CLIENTS_CHURN34[[#This Row],[Duree_Cumulee_Panne_Min]]/60</f>
        <v>0.85</v>
      </c>
    </row>
    <row r="599" spans="1:9">
      <c r="A599" s="1" t="s">
        <v>344</v>
      </c>
      <c r="B599" t="s">
        <v>92</v>
      </c>
      <c r="C599">
        <v>47</v>
      </c>
      <c r="D599" t="s">
        <v>32</v>
      </c>
      <c r="E599">
        <v>49</v>
      </c>
      <c r="F599">
        <v>55.88</v>
      </c>
      <c r="G599">
        <v>3</v>
      </c>
      <c r="H599">
        <f>CLIENTS_CHURN34[[#This Row],[Anciennete_Mois]]/12</f>
        <v>3.9166666666666665</v>
      </c>
      <c r="I599">
        <f>CLIENTS_CHURN34[[#This Row],[Duree_Cumulee_Panne_Min]]/60</f>
        <v>0.81666666666666665</v>
      </c>
    </row>
    <row r="600" spans="1:9">
      <c r="A600" s="1" t="s">
        <v>293</v>
      </c>
      <c r="B600" t="s">
        <v>107</v>
      </c>
      <c r="C600">
        <v>4</v>
      </c>
      <c r="D600" t="s">
        <v>11</v>
      </c>
      <c r="E600">
        <v>49</v>
      </c>
      <c r="F600">
        <v>41.35</v>
      </c>
      <c r="G600">
        <v>5</v>
      </c>
      <c r="H600">
        <f>CLIENTS_CHURN34[[#This Row],[Anciennete_Mois]]/12</f>
        <v>0.33333333333333331</v>
      </c>
      <c r="I600">
        <f>CLIENTS_CHURN34[[#This Row],[Duree_Cumulee_Panne_Min]]/60</f>
        <v>0.81666666666666665</v>
      </c>
    </row>
    <row r="601" spans="1:9">
      <c r="A601" s="1" t="s">
        <v>705</v>
      </c>
      <c r="B601" t="s">
        <v>18</v>
      </c>
      <c r="C601">
        <v>113</v>
      </c>
      <c r="D601" t="s">
        <v>32</v>
      </c>
      <c r="E601">
        <v>49</v>
      </c>
      <c r="F601">
        <v>48.91</v>
      </c>
      <c r="G601">
        <v>5</v>
      </c>
      <c r="H601">
        <f>CLIENTS_CHURN34[[#This Row],[Anciennete_Mois]]/12</f>
        <v>9.4166666666666661</v>
      </c>
      <c r="I601">
        <f>CLIENTS_CHURN34[[#This Row],[Duree_Cumulee_Panne_Min]]/60</f>
        <v>0.81666666666666665</v>
      </c>
    </row>
    <row r="602" spans="1:9">
      <c r="A602" s="1" t="s">
        <v>242</v>
      </c>
      <c r="B602" t="s">
        <v>61</v>
      </c>
      <c r="C602">
        <v>108</v>
      </c>
      <c r="D602" t="s">
        <v>11</v>
      </c>
      <c r="E602">
        <v>48</v>
      </c>
      <c r="F602">
        <v>86.22</v>
      </c>
      <c r="G602">
        <v>3</v>
      </c>
      <c r="H602">
        <f>CLIENTS_CHURN34[[#This Row],[Anciennete_Mois]]/12</f>
        <v>9</v>
      </c>
      <c r="I602">
        <f>CLIENTS_CHURN34[[#This Row],[Duree_Cumulee_Panne_Min]]/60</f>
        <v>0.8</v>
      </c>
    </row>
    <row r="603" spans="1:9">
      <c r="A603" s="1" t="s">
        <v>551</v>
      </c>
      <c r="B603" t="s">
        <v>92</v>
      </c>
      <c r="C603">
        <v>110</v>
      </c>
      <c r="D603" t="s">
        <v>21</v>
      </c>
      <c r="E603">
        <v>47</v>
      </c>
      <c r="F603">
        <v>29.68</v>
      </c>
      <c r="G603">
        <v>0</v>
      </c>
      <c r="H603">
        <f>CLIENTS_CHURN34[[#This Row],[Anciennete_Mois]]/12</f>
        <v>9.1666666666666661</v>
      </c>
      <c r="I603">
        <f>CLIENTS_CHURN34[[#This Row],[Duree_Cumulee_Panne_Min]]/60</f>
        <v>0.78333333333333333</v>
      </c>
    </row>
    <row r="604" spans="1:9">
      <c r="A604" s="1" t="s">
        <v>344</v>
      </c>
      <c r="B604" t="s">
        <v>92</v>
      </c>
      <c r="C604">
        <v>77</v>
      </c>
      <c r="D604" t="s">
        <v>21</v>
      </c>
      <c r="E604">
        <v>45</v>
      </c>
      <c r="F604">
        <v>21.59</v>
      </c>
      <c r="G604">
        <v>2</v>
      </c>
      <c r="H604">
        <f>CLIENTS_CHURN34[[#This Row],[Anciennete_Mois]]/12</f>
        <v>6.416666666666667</v>
      </c>
      <c r="I604">
        <f>CLIENTS_CHURN34[[#This Row],[Duree_Cumulee_Panne_Min]]/60</f>
        <v>0.75</v>
      </c>
    </row>
    <row r="605" spans="1:9">
      <c r="A605" s="1" t="s">
        <v>8</v>
      </c>
      <c r="B605" t="s">
        <v>52</v>
      </c>
      <c r="C605">
        <v>16</v>
      </c>
      <c r="D605" t="s">
        <v>14</v>
      </c>
      <c r="E605">
        <v>43</v>
      </c>
      <c r="F605">
        <v>56.48</v>
      </c>
      <c r="G605">
        <v>0</v>
      </c>
      <c r="H605">
        <f>CLIENTS_CHURN34[[#This Row],[Anciennete_Mois]]/12</f>
        <v>1.3333333333333333</v>
      </c>
      <c r="I605">
        <f>CLIENTS_CHURN34[[#This Row],[Duree_Cumulee_Panne_Min]]/60</f>
        <v>0.71666666666666667</v>
      </c>
    </row>
    <row r="606" spans="1:9">
      <c r="A606" s="1" t="s">
        <v>293</v>
      </c>
      <c r="B606" t="s">
        <v>29</v>
      </c>
      <c r="C606">
        <v>45</v>
      </c>
      <c r="D606" t="s">
        <v>21</v>
      </c>
      <c r="E606">
        <v>43</v>
      </c>
      <c r="F606">
        <v>12.31</v>
      </c>
      <c r="G606">
        <v>0</v>
      </c>
      <c r="H606">
        <f>CLIENTS_CHURN34[[#This Row],[Anciennete_Mois]]/12</f>
        <v>3.75</v>
      </c>
      <c r="I606">
        <f>CLIENTS_CHURN34[[#This Row],[Duree_Cumulee_Panne_Min]]/60</f>
        <v>0.71666666666666667</v>
      </c>
    </row>
    <row r="607" spans="1:9">
      <c r="A607" s="1" t="s">
        <v>705</v>
      </c>
      <c r="B607" t="s">
        <v>29</v>
      </c>
      <c r="C607">
        <v>46</v>
      </c>
      <c r="D607" t="s">
        <v>32</v>
      </c>
      <c r="E607">
        <v>43</v>
      </c>
      <c r="F607">
        <v>98.44</v>
      </c>
      <c r="G607">
        <v>2</v>
      </c>
      <c r="H607">
        <f>CLIENTS_CHURN34[[#This Row],[Anciennete_Mois]]/12</f>
        <v>3.8333333333333335</v>
      </c>
      <c r="I607">
        <f>CLIENTS_CHURN34[[#This Row],[Duree_Cumulee_Panne_Min]]/60</f>
        <v>0.71666666666666667</v>
      </c>
    </row>
    <row r="608" spans="1:9">
      <c r="A608" s="1" t="s">
        <v>191</v>
      </c>
      <c r="B608" t="s">
        <v>79</v>
      </c>
      <c r="C608">
        <v>111</v>
      </c>
      <c r="D608" t="s">
        <v>32</v>
      </c>
      <c r="E608">
        <v>43</v>
      </c>
      <c r="F608">
        <v>19.39</v>
      </c>
      <c r="G608">
        <v>3</v>
      </c>
      <c r="H608">
        <f>CLIENTS_CHURN34[[#This Row],[Anciennete_Mois]]/12</f>
        <v>9.25</v>
      </c>
      <c r="I608">
        <f>CLIENTS_CHURN34[[#This Row],[Duree_Cumulee_Panne_Min]]/60</f>
        <v>0.71666666666666667</v>
      </c>
    </row>
    <row r="609" spans="1:9">
      <c r="A609" s="1" t="s">
        <v>653</v>
      </c>
      <c r="B609" t="s">
        <v>36</v>
      </c>
      <c r="C609">
        <v>7</v>
      </c>
      <c r="D609" t="s">
        <v>14</v>
      </c>
      <c r="E609">
        <v>43</v>
      </c>
      <c r="F609">
        <v>41.29</v>
      </c>
      <c r="G609">
        <v>4</v>
      </c>
      <c r="H609">
        <f>CLIENTS_CHURN34[[#This Row],[Anciennete_Mois]]/12</f>
        <v>0.58333333333333337</v>
      </c>
      <c r="I609">
        <f>CLIENTS_CHURN34[[#This Row],[Duree_Cumulee_Panne_Min]]/60</f>
        <v>0.71666666666666667</v>
      </c>
    </row>
    <row r="610" spans="1:9">
      <c r="A610" s="1" t="s">
        <v>602</v>
      </c>
      <c r="B610" t="s">
        <v>76</v>
      </c>
      <c r="C610">
        <v>12</v>
      </c>
      <c r="D610" t="s">
        <v>11</v>
      </c>
      <c r="E610">
        <v>42</v>
      </c>
      <c r="F610">
        <v>48.64</v>
      </c>
      <c r="G610">
        <v>0</v>
      </c>
      <c r="H610">
        <f>CLIENTS_CHURN34[[#This Row],[Anciennete_Mois]]/12</f>
        <v>1</v>
      </c>
      <c r="I610">
        <f>CLIENTS_CHURN34[[#This Row],[Duree_Cumulee_Panne_Min]]/60</f>
        <v>0.7</v>
      </c>
    </row>
    <row r="611" spans="1:9">
      <c r="A611" s="1" t="s">
        <v>551</v>
      </c>
      <c r="B611" t="s">
        <v>76</v>
      </c>
      <c r="C611">
        <v>99</v>
      </c>
      <c r="D611" t="s">
        <v>11</v>
      </c>
      <c r="E611">
        <v>42</v>
      </c>
      <c r="F611">
        <v>98.77</v>
      </c>
      <c r="G611">
        <v>3</v>
      </c>
      <c r="H611">
        <f>CLIENTS_CHURN34[[#This Row],[Anciennete_Mois]]/12</f>
        <v>8.25</v>
      </c>
      <c r="I611">
        <f>CLIENTS_CHURN34[[#This Row],[Duree_Cumulee_Panne_Min]]/60</f>
        <v>0.7</v>
      </c>
    </row>
    <row r="612" spans="1:9">
      <c r="A612" s="1" t="s">
        <v>551</v>
      </c>
      <c r="B612" t="s">
        <v>29</v>
      </c>
      <c r="C612">
        <v>98</v>
      </c>
      <c r="D612" t="s">
        <v>11</v>
      </c>
      <c r="E612">
        <v>41</v>
      </c>
      <c r="F612">
        <v>23.55</v>
      </c>
      <c r="G612">
        <v>1</v>
      </c>
      <c r="H612">
        <f>CLIENTS_CHURN34[[#This Row],[Anciennete_Mois]]/12</f>
        <v>8.1666666666666661</v>
      </c>
      <c r="I612">
        <f>CLIENTS_CHURN34[[#This Row],[Duree_Cumulee_Panne_Min]]/60</f>
        <v>0.68333333333333335</v>
      </c>
    </row>
    <row r="613" spans="1:9">
      <c r="A613" s="1" t="s">
        <v>293</v>
      </c>
      <c r="B613" t="s">
        <v>107</v>
      </c>
      <c r="C613">
        <v>97</v>
      </c>
      <c r="D613" t="s">
        <v>14</v>
      </c>
      <c r="E613">
        <v>40</v>
      </c>
      <c r="F613">
        <v>85.19</v>
      </c>
      <c r="G613">
        <v>1</v>
      </c>
      <c r="H613">
        <f>CLIENTS_CHURN34[[#This Row],[Anciennete_Mois]]/12</f>
        <v>8.0833333333333339</v>
      </c>
      <c r="I613">
        <f>CLIENTS_CHURN34[[#This Row],[Duree_Cumulee_Panne_Min]]/60</f>
        <v>0.66666666666666663</v>
      </c>
    </row>
    <row r="614" spans="1:9">
      <c r="A614" s="1" t="s">
        <v>499</v>
      </c>
      <c r="B614" t="s">
        <v>20</v>
      </c>
      <c r="C614">
        <v>34</v>
      </c>
      <c r="D614" t="s">
        <v>14</v>
      </c>
      <c r="E614">
        <v>40</v>
      </c>
      <c r="F614">
        <v>65.709999999999994</v>
      </c>
      <c r="G614">
        <v>5</v>
      </c>
      <c r="H614">
        <f>CLIENTS_CHURN34[[#This Row],[Anciennete_Mois]]/12</f>
        <v>2.8333333333333335</v>
      </c>
      <c r="I614">
        <f>CLIENTS_CHURN34[[#This Row],[Duree_Cumulee_Panne_Min]]/60</f>
        <v>0.66666666666666663</v>
      </c>
    </row>
    <row r="615" spans="1:9">
      <c r="A615" s="1" t="s">
        <v>499</v>
      </c>
      <c r="B615" t="s">
        <v>29</v>
      </c>
      <c r="C615">
        <v>117</v>
      </c>
      <c r="D615" t="s">
        <v>21</v>
      </c>
      <c r="E615">
        <v>39</v>
      </c>
      <c r="F615">
        <v>26.53</v>
      </c>
      <c r="G615">
        <v>1</v>
      </c>
      <c r="H615">
        <f>CLIENTS_CHURN34[[#This Row],[Anciennete_Mois]]/12</f>
        <v>9.75</v>
      </c>
      <c r="I615">
        <f>CLIENTS_CHURN34[[#This Row],[Duree_Cumulee_Panne_Min]]/60</f>
        <v>0.65</v>
      </c>
    </row>
    <row r="616" spans="1:9">
      <c r="A616" s="1" t="s">
        <v>395</v>
      </c>
      <c r="B616" t="s">
        <v>92</v>
      </c>
      <c r="C616">
        <v>40</v>
      </c>
      <c r="D616" t="s">
        <v>14</v>
      </c>
      <c r="E616">
        <v>38</v>
      </c>
      <c r="F616">
        <v>17.63</v>
      </c>
      <c r="G616">
        <v>0</v>
      </c>
      <c r="H616">
        <f>CLIENTS_CHURN34[[#This Row],[Anciennete_Mois]]/12</f>
        <v>3.3333333333333335</v>
      </c>
      <c r="I616">
        <f>CLIENTS_CHURN34[[#This Row],[Duree_Cumulee_Panne_Min]]/60</f>
        <v>0.6333333333333333</v>
      </c>
    </row>
    <row r="617" spans="1:9">
      <c r="A617" s="1" t="s">
        <v>499</v>
      </c>
      <c r="B617" t="s">
        <v>61</v>
      </c>
      <c r="C617">
        <v>37</v>
      </c>
      <c r="D617" t="s">
        <v>11</v>
      </c>
      <c r="E617">
        <v>37</v>
      </c>
      <c r="F617">
        <v>92.72</v>
      </c>
      <c r="G617">
        <v>0</v>
      </c>
      <c r="H617">
        <f>CLIENTS_CHURN34[[#This Row],[Anciennete_Mois]]/12</f>
        <v>3.0833333333333335</v>
      </c>
      <c r="I617">
        <f>CLIENTS_CHURN34[[#This Row],[Duree_Cumulee_Panne_Min]]/60</f>
        <v>0.6166666666666667</v>
      </c>
    </row>
    <row r="618" spans="1:9">
      <c r="A618" s="1" t="s">
        <v>551</v>
      </c>
      <c r="B618" t="s">
        <v>40</v>
      </c>
      <c r="C618">
        <v>34</v>
      </c>
      <c r="D618" t="s">
        <v>14</v>
      </c>
      <c r="E618">
        <v>35</v>
      </c>
      <c r="F618">
        <v>76.86</v>
      </c>
      <c r="G618">
        <v>1</v>
      </c>
      <c r="H618">
        <f>CLIENTS_CHURN34[[#This Row],[Anciennete_Mois]]/12</f>
        <v>2.8333333333333335</v>
      </c>
      <c r="I618">
        <f>CLIENTS_CHURN34[[#This Row],[Duree_Cumulee_Panne_Min]]/60</f>
        <v>0.58333333333333337</v>
      </c>
    </row>
    <row r="619" spans="1:9">
      <c r="A619" s="1" t="s">
        <v>242</v>
      </c>
      <c r="B619" t="s">
        <v>57</v>
      </c>
      <c r="C619">
        <v>18</v>
      </c>
      <c r="D619" t="s">
        <v>21</v>
      </c>
      <c r="E619">
        <v>34</v>
      </c>
      <c r="F619">
        <v>43.71</v>
      </c>
      <c r="G619">
        <v>1</v>
      </c>
      <c r="H619">
        <f>CLIENTS_CHURN34[[#This Row],[Anciennete_Mois]]/12</f>
        <v>1.5</v>
      </c>
      <c r="I619">
        <f>CLIENTS_CHURN34[[#This Row],[Duree_Cumulee_Panne_Min]]/60</f>
        <v>0.56666666666666665</v>
      </c>
    </row>
    <row r="620" spans="1:9">
      <c r="A620" s="1" t="s">
        <v>140</v>
      </c>
      <c r="B620" t="s">
        <v>92</v>
      </c>
      <c r="C620">
        <v>29</v>
      </c>
      <c r="D620" t="s">
        <v>11</v>
      </c>
      <c r="E620">
        <v>34</v>
      </c>
      <c r="F620">
        <v>86.68</v>
      </c>
      <c r="G620">
        <v>1</v>
      </c>
      <c r="H620">
        <f>CLIENTS_CHURN34[[#This Row],[Anciennete_Mois]]/12</f>
        <v>2.4166666666666665</v>
      </c>
      <c r="I620">
        <f>CLIENTS_CHURN34[[#This Row],[Duree_Cumulee_Panne_Min]]/60</f>
        <v>0.56666666666666665</v>
      </c>
    </row>
    <row r="621" spans="1:9">
      <c r="A621" s="1" t="s">
        <v>85</v>
      </c>
      <c r="B621" t="s">
        <v>36</v>
      </c>
      <c r="C621">
        <v>95</v>
      </c>
      <c r="D621" t="s">
        <v>14</v>
      </c>
      <c r="E621">
        <v>33</v>
      </c>
      <c r="F621">
        <v>35.32</v>
      </c>
      <c r="G621">
        <v>0</v>
      </c>
      <c r="H621">
        <f>CLIENTS_CHURN34[[#This Row],[Anciennete_Mois]]/12</f>
        <v>7.916666666666667</v>
      </c>
      <c r="I621">
        <f>CLIENTS_CHURN34[[#This Row],[Duree_Cumulee_Panne_Min]]/60</f>
        <v>0.55000000000000004</v>
      </c>
    </row>
    <row r="622" spans="1:9">
      <c r="A622" s="1" t="s">
        <v>242</v>
      </c>
      <c r="B622" t="s">
        <v>92</v>
      </c>
      <c r="C622">
        <v>25</v>
      </c>
      <c r="D622" t="s">
        <v>14</v>
      </c>
      <c r="E622">
        <v>33</v>
      </c>
      <c r="F622">
        <v>30.93</v>
      </c>
      <c r="G622">
        <v>1</v>
      </c>
      <c r="H622">
        <f>CLIENTS_CHURN34[[#This Row],[Anciennete_Mois]]/12</f>
        <v>2.0833333333333335</v>
      </c>
      <c r="I622">
        <f>CLIENTS_CHURN34[[#This Row],[Duree_Cumulee_Panne_Min]]/60</f>
        <v>0.55000000000000004</v>
      </c>
    </row>
    <row r="623" spans="1:9">
      <c r="A623" s="1" t="s">
        <v>293</v>
      </c>
      <c r="B623" t="s">
        <v>63</v>
      </c>
      <c r="C623">
        <v>82</v>
      </c>
      <c r="D623" t="s">
        <v>32</v>
      </c>
      <c r="E623">
        <v>32</v>
      </c>
      <c r="F623">
        <v>77.63</v>
      </c>
      <c r="G623">
        <v>1</v>
      </c>
      <c r="H623">
        <f>CLIENTS_CHURN34[[#This Row],[Anciennete_Mois]]/12</f>
        <v>6.833333333333333</v>
      </c>
      <c r="I623">
        <f>CLIENTS_CHURN34[[#This Row],[Duree_Cumulee_Panne_Min]]/60</f>
        <v>0.53333333333333333</v>
      </c>
    </row>
    <row r="624" spans="1:9">
      <c r="A624" s="1" t="s">
        <v>293</v>
      </c>
      <c r="B624" t="s">
        <v>65</v>
      </c>
      <c r="C624">
        <v>32</v>
      </c>
      <c r="D624" t="s">
        <v>21</v>
      </c>
      <c r="E624">
        <v>31</v>
      </c>
      <c r="F624">
        <v>67.040000000000006</v>
      </c>
      <c r="G624">
        <v>1</v>
      </c>
      <c r="H624">
        <f>CLIENTS_CHURN34[[#This Row],[Anciennete_Mois]]/12</f>
        <v>2.6666666666666665</v>
      </c>
      <c r="I624">
        <f>CLIENTS_CHURN34[[#This Row],[Duree_Cumulee_Panne_Min]]/60</f>
        <v>0.51666666666666672</v>
      </c>
    </row>
    <row r="625" spans="1:9">
      <c r="A625" s="1" t="s">
        <v>705</v>
      </c>
      <c r="B625" t="s">
        <v>29</v>
      </c>
      <c r="C625">
        <v>20</v>
      </c>
      <c r="D625" t="s">
        <v>11</v>
      </c>
      <c r="E625">
        <v>31</v>
      </c>
      <c r="F625">
        <v>52.85</v>
      </c>
      <c r="G625">
        <v>2</v>
      </c>
      <c r="H625">
        <f>CLIENTS_CHURN34[[#This Row],[Anciennete_Mois]]/12</f>
        <v>1.6666666666666667</v>
      </c>
      <c r="I625">
        <f>CLIENTS_CHURN34[[#This Row],[Duree_Cumulee_Panne_Min]]/60</f>
        <v>0.51666666666666672</v>
      </c>
    </row>
    <row r="626" spans="1:9">
      <c r="A626" s="1" t="s">
        <v>756</v>
      </c>
      <c r="B626" t="s">
        <v>76</v>
      </c>
      <c r="C626">
        <v>119</v>
      </c>
      <c r="D626" t="s">
        <v>11</v>
      </c>
      <c r="E626">
        <v>31</v>
      </c>
      <c r="F626">
        <v>21.27</v>
      </c>
      <c r="G626">
        <v>5</v>
      </c>
      <c r="H626">
        <f>CLIENTS_CHURN34[[#This Row],[Anciennete_Mois]]/12</f>
        <v>9.9166666666666661</v>
      </c>
      <c r="I626">
        <f>CLIENTS_CHURN34[[#This Row],[Duree_Cumulee_Panne_Min]]/60</f>
        <v>0.51666666666666672</v>
      </c>
    </row>
    <row r="627" spans="1:9">
      <c r="A627" s="1" t="s">
        <v>293</v>
      </c>
      <c r="B627" t="s">
        <v>111</v>
      </c>
      <c r="C627">
        <v>83</v>
      </c>
      <c r="D627" t="s">
        <v>21</v>
      </c>
      <c r="E627">
        <v>30</v>
      </c>
      <c r="F627">
        <v>33.93</v>
      </c>
      <c r="G627">
        <v>3</v>
      </c>
      <c r="H627">
        <f>CLIENTS_CHURN34[[#This Row],[Anciennete_Mois]]/12</f>
        <v>6.916666666666667</v>
      </c>
      <c r="I627">
        <f>CLIENTS_CHURN34[[#This Row],[Duree_Cumulee_Panne_Min]]/60</f>
        <v>0.5</v>
      </c>
    </row>
    <row r="628" spans="1:9">
      <c r="A628" s="1" t="s">
        <v>705</v>
      </c>
      <c r="B628" t="s">
        <v>31</v>
      </c>
      <c r="C628">
        <v>85</v>
      </c>
      <c r="D628" t="s">
        <v>11</v>
      </c>
      <c r="E628">
        <v>28</v>
      </c>
      <c r="F628">
        <v>83.82</v>
      </c>
      <c r="G628">
        <v>0</v>
      </c>
      <c r="H628">
        <f>CLIENTS_CHURN34[[#This Row],[Anciennete_Mois]]/12</f>
        <v>7.083333333333333</v>
      </c>
      <c r="I628">
        <f>CLIENTS_CHURN34[[#This Row],[Duree_Cumulee_Panne_Min]]/60</f>
        <v>0.46666666666666667</v>
      </c>
    </row>
    <row r="629" spans="1:9">
      <c r="A629" s="1" t="s">
        <v>344</v>
      </c>
      <c r="B629" t="s">
        <v>24</v>
      </c>
      <c r="C629">
        <v>99</v>
      </c>
      <c r="D629" t="s">
        <v>14</v>
      </c>
      <c r="E629">
        <v>28</v>
      </c>
      <c r="F629">
        <v>70.19</v>
      </c>
      <c r="G629">
        <v>1</v>
      </c>
      <c r="H629">
        <f>CLIENTS_CHURN34[[#This Row],[Anciennete_Mois]]/12</f>
        <v>8.25</v>
      </c>
      <c r="I629">
        <f>CLIENTS_CHURN34[[#This Row],[Duree_Cumulee_Panne_Min]]/60</f>
        <v>0.46666666666666667</v>
      </c>
    </row>
    <row r="630" spans="1:9">
      <c r="A630" s="1" t="s">
        <v>551</v>
      </c>
      <c r="B630" t="s">
        <v>71</v>
      </c>
      <c r="C630">
        <v>53</v>
      </c>
      <c r="D630" t="s">
        <v>11</v>
      </c>
      <c r="E630">
        <v>27</v>
      </c>
      <c r="F630">
        <v>18.77</v>
      </c>
      <c r="G630">
        <v>0</v>
      </c>
      <c r="H630">
        <f>CLIENTS_CHURN34[[#This Row],[Anciennete_Mois]]/12</f>
        <v>4.416666666666667</v>
      </c>
      <c r="I630">
        <f>CLIENTS_CHURN34[[#This Row],[Duree_Cumulee_Panne_Min]]/60</f>
        <v>0.45</v>
      </c>
    </row>
    <row r="631" spans="1:9">
      <c r="A631" s="1" t="s">
        <v>705</v>
      </c>
      <c r="B631" t="s">
        <v>18</v>
      </c>
      <c r="C631">
        <v>9</v>
      </c>
      <c r="D631" t="s">
        <v>14</v>
      </c>
      <c r="E631">
        <v>27</v>
      </c>
      <c r="F631">
        <v>99.02</v>
      </c>
      <c r="G631">
        <v>3</v>
      </c>
      <c r="H631">
        <f>CLIENTS_CHURN34[[#This Row],[Anciennete_Mois]]/12</f>
        <v>0.75</v>
      </c>
      <c r="I631">
        <f>CLIENTS_CHURN34[[#This Row],[Duree_Cumulee_Panne_Min]]/60</f>
        <v>0.45</v>
      </c>
    </row>
    <row r="632" spans="1:9">
      <c r="A632" s="1" t="s">
        <v>705</v>
      </c>
      <c r="B632" t="s">
        <v>79</v>
      </c>
      <c r="C632">
        <v>56</v>
      </c>
      <c r="D632" t="s">
        <v>14</v>
      </c>
      <c r="E632">
        <v>27</v>
      </c>
      <c r="F632">
        <v>46.41</v>
      </c>
      <c r="G632">
        <v>3</v>
      </c>
      <c r="H632">
        <f>CLIENTS_CHURN34[[#This Row],[Anciennete_Mois]]/12</f>
        <v>4.666666666666667</v>
      </c>
      <c r="I632">
        <f>CLIENTS_CHURN34[[#This Row],[Duree_Cumulee_Panne_Min]]/60</f>
        <v>0.45</v>
      </c>
    </row>
    <row r="633" spans="1:9">
      <c r="A633" s="1" t="s">
        <v>551</v>
      </c>
      <c r="B633" t="s">
        <v>57</v>
      </c>
      <c r="C633">
        <v>120</v>
      </c>
      <c r="D633" t="s">
        <v>14</v>
      </c>
      <c r="E633">
        <v>27</v>
      </c>
      <c r="F633">
        <v>24.46</v>
      </c>
      <c r="G633">
        <v>3</v>
      </c>
      <c r="H633">
        <f>CLIENTS_CHURN34[[#This Row],[Anciennete_Mois]]/12</f>
        <v>10</v>
      </c>
      <c r="I633">
        <f>CLIENTS_CHURN34[[#This Row],[Duree_Cumulee_Panne_Min]]/60</f>
        <v>0.45</v>
      </c>
    </row>
    <row r="634" spans="1:9">
      <c r="A634" s="1" t="s">
        <v>499</v>
      </c>
      <c r="B634" t="s">
        <v>45</v>
      </c>
      <c r="C634">
        <v>86</v>
      </c>
      <c r="D634" t="s">
        <v>32</v>
      </c>
      <c r="E634">
        <v>27</v>
      </c>
      <c r="F634">
        <v>84.94</v>
      </c>
      <c r="G634">
        <v>4</v>
      </c>
      <c r="H634">
        <f>CLIENTS_CHURN34[[#This Row],[Anciennete_Mois]]/12</f>
        <v>7.166666666666667</v>
      </c>
      <c r="I634">
        <f>CLIENTS_CHURN34[[#This Row],[Duree_Cumulee_Panne_Min]]/60</f>
        <v>0.45</v>
      </c>
    </row>
    <row r="635" spans="1:9">
      <c r="A635" s="1" t="s">
        <v>653</v>
      </c>
      <c r="B635" t="s">
        <v>76</v>
      </c>
      <c r="C635">
        <v>43</v>
      </c>
      <c r="D635" t="s">
        <v>32</v>
      </c>
      <c r="E635">
        <v>27</v>
      </c>
      <c r="F635">
        <v>31.48</v>
      </c>
      <c r="G635">
        <v>5</v>
      </c>
      <c r="H635">
        <f>CLIENTS_CHURN34[[#This Row],[Anciennete_Mois]]/12</f>
        <v>3.5833333333333335</v>
      </c>
      <c r="I635">
        <f>CLIENTS_CHURN34[[#This Row],[Duree_Cumulee_Panne_Min]]/60</f>
        <v>0.45</v>
      </c>
    </row>
    <row r="636" spans="1:9">
      <c r="A636" s="1" t="s">
        <v>85</v>
      </c>
      <c r="B636" t="s">
        <v>71</v>
      </c>
      <c r="C636">
        <v>20</v>
      </c>
      <c r="D636" t="s">
        <v>14</v>
      </c>
      <c r="E636">
        <v>26</v>
      </c>
      <c r="F636">
        <v>25.14</v>
      </c>
      <c r="G636">
        <v>0</v>
      </c>
      <c r="H636">
        <f>CLIENTS_CHURN34[[#This Row],[Anciennete_Mois]]/12</f>
        <v>1.6666666666666667</v>
      </c>
      <c r="I636">
        <f>CLIENTS_CHURN34[[#This Row],[Duree_Cumulee_Panne_Min]]/60</f>
        <v>0.43333333333333335</v>
      </c>
    </row>
    <row r="637" spans="1:9">
      <c r="A637" s="1" t="s">
        <v>447</v>
      </c>
      <c r="B637" t="s">
        <v>76</v>
      </c>
      <c r="C637">
        <v>43</v>
      </c>
      <c r="D637" t="s">
        <v>21</v>
      </c>
      <c r="E637">
        <v>26</v>
      </c>
      <c r="F637">
        <v>25.85</v>
      </c>
      <c r="G637">
        <v>1</v>
      </c>
      <c r="H637">
        <f>CLIENTS_CHURN34[[#This Row],[Anciennete_Mois]]/12</f>
        <v>3.5833333333333335</v>
      </c>
      <c r="I637">
        <f>CLIENTS_CHURN34[[#This Row],[Duree_Cumulee_Panne_Min]]/60</f>
        <v>0.43333333333333335</v>
      </c>
    </row>
    <row r="638" spans="1:9">
      <c r="A638" s="1" t="s">
        <v>395</v>
      </c>
      <c r="B638" t="s">
        <v>71</v>
      </c>
      <c r="C638">
        <v>45</v>
      </c>
      <c r="D638" t="s">
        <v>21</v>
      </c>
      <c r="E638">
        <v>26</v>
      </c>
      <c r="F638">
        <v>30.35</v>
      </c>
      <c r="G638">
        <v>1</v>
      </c>
      <c r="H638">
        <f>CLIENTS_CHURN34[[#This Row],[Anciennete_Mois]]/12</f>
        <v>3.75</v>
      </c>
      <c r="I638">
        <f>CLIENTS_CHURN34[[#This Row],[Duree_Cumulee_Panne_Min]]/60</f>
        <v>0.43333333333333335</v>
      </c>
    </row>
    <row r="639" spans="1:9">
      <c r="A639" s="1" t="s">
        <v>344</v>
      </c>
      <c r="B639" t="s">
        <v>107</v>
      </c>
      <c r="C639">
        <v>67</v>
      </c>
      <c r="D639" t="s">
        <v>11</v>
      </c>
      <c r="E639">
        <v>26</v>
      </c>
      <c r="F639">
        <v>81.489999999999995</v>
      </c>
      <c r="G639">
        <v>4</v>
      </c>
      <c r="H639">
        <f>CLIENTS_CHURN34[[#This Row],[Anciennete_Mois]]/12</f>
        <v>5.583333333333333</v>
      </c>
      <c r="I639">
        <f>CLIENTS_CHURN34[[#This Row],[Duree_Cumulee_Panne_Min]]/60</f>
        <v>0.43333333333333335</v>
      </c>
    </row>
    <row r="640" spans="1:9">
      <c r="A640" s="1" t="s">
        <v>653</v>
      </c>
      <c r="B640" t="s">
        <v>29</v>
      </c>
      <c r="C640">
        <v>49</v>
      </c>
      <c r="D640" t="s">
        <v>21</v>
      </c>
      <c r="E640">
        <v>25</v>
      </c>
      <c r="F640">
        <v>22.77</v>
      </c>
      <c r="G640">
        <v>3</v>
      </c>
      <c r="H640">
        <f>CLIENTS_CHURN34[[#This Row],[Anciennete_Mois]]/12</f>
        <v>4.083333333333333</v>
      </c>
      <c r="I640">
        <f>CLIENTS_CHURN34[[#This Row],[Duree_Cumulee_Panne_Min]]/60</f>
        <v>0.41666666666666669</v>
      </c>
    </row>
    <row r="641" spans="1:9">
      <c r="A641" s="1" t="s">
        <v>447</v>
      </c>
      <c r="B641" t="s">
        <v>71</v>
      </c>
      <c r="C641">
        <v>24</v>
      </c>
      <c r="D641" t="s">
        <v>11</v>
      </c>
      <c r="E641">
        <v>23</v>
      </c>
      <c r="F641">
        <v>28.55</v>
      </c>
      <c r="G641">
        <v>1</v>
      </c>
      <c r="H641">
        <f>CLIENTS_CHURN34[[#This Row],[Anciennete_Mois]]/12</f>
        <v>2</v>
      </c>
      <c r="I641">
        <f>CLIENTS_CHURN34[[#This Row],[Duree_Cumulee_Panne_Min]]/60</f>
        <v>0.38333333333333336</v>
      </c>
    </row>
    <row r="642" spans="1:9">
      <c r="A642" s="1" t="s">
        <v>242</v>
      </c>
      <c r="B642" t="s">
        <v>79</v>
      </c>
      <c r="C642">
        <v>118</v>
      </c>
      <c r="D642" t="s">
        <v>11</v>
      </c>
      <c r="E642">
        <v>22</v>
      </c>
      <c r="F642">
        <v>15.39</v>
      </c>
      <c r="G642">
        <v>1</v>
      </c>
      <c r="H642">
        <f>CLIENTS_CHURN34[[#This Row],[Anciennete_Mois]]/12</f>
        <v>9.8333333333333339</v>
      </c>
      <c r="I642">
        <f>CLIENTS_CHURN34[[#This Row],[Duree_Cumulee_Panne_Min]]/60</f>
        <v>0.36666666666666664</v>
      </c>
    </row>
    <row r="643" spans="1:9">
      <c r="A643" s="1" t="s">
        <v>395</v>
      </c>
      <c r="B643" t="s">
        <v>71</v>
      </c>
      <c r="C643">
        <v>2</v>
      </c>
      <c r="D643" t="s">
        <v>32</v>
      </c>
      <c r="E643">
        <v>21</v>
      </c>
      <c r="F643">
        <v>51.68</v>
      </c>
      <c r="G643">
        <v>3</v>
      </c>
      <c r="H643">
        <f>CLIENTS_CHURN34[[#This Row],[Anciennete_Mois]]/12</f>
        <v>0.16666666666666666</v>
      </c>
      <c r="I643">
        <f>CLIENTS_CHURN34[[#This Row],[Duree_Cumulee_Panne_Min]]/60</f>
        <v>0.35</v>
      </c>
    </row>
    <row r="644" spans="1:9">
      <c r="A644" s="1" t="s">
        <v>293</v>
      </c>
      <c r="B644" t="s">
        <v>52</v>
      </c>
      <c r="C644">
        <v>87</v>
      </c>
      <c r="D644" t="s">
        <v>14</v>
      </c>
      <c r="E644">
        <v>21</v>
      </c>
      <c r="F644">
        <v>81.459999999999994</v>
      </c>
      <c r="G644">
        <v>3</v>
      </c>
      <c r="H644">
        <f>CLIENTS_CHURN34[[#This Row],[Anciennete_Mois]]/12</f>
        <v>7.25</v>
      </c>
      <c r="I644">
        <f>CLIENTS_CHURN34[[#This Row],[Duree_Cumulee_Panne_Min]]/60</f>
        <v>0.35</v>
      </c>
    </row>
    <row r="645" spans="1:9">
      <c r="A645" s="1" t="s">
        <v>447</v>
      </c>
      <c r="B645" t="s">
        <v>31</v>
      </c>
      <c r="C645">
        <v>43</v>
      </c>
      <c r="D645" t="s">
        <v>14</v>
      </c>
      <c r="E645">
        <v>20</v>
      </c>
      <c r="F645">
        <v>66.680000000000007</v>
      </c>
      <c r="G645">
        <v>5</v>
      </c>
      <c r="H645">
        <f>CLIENTS_CHURN34[[#This Row],[Anciennete_Mois]]/12</f>
        <v>3.5833333333333335</v>
      </c>
      <c r="I645">
        <f>CLIENTS_CHURN34[[#This Row],[Duree_Cumulee_Panne_Min]]/60</f>
        <v>0.33333333333333331</v>
      </c>
    </row>
    <row r="646" spans="1:9">
      <c r="A646" s="1" t="s">
        <v>756</v>
      </c>
      <c r="B646" t="s">
        <v>18</v>
      </c>
      <c r="C646">
        <v>33</v>
      </c>
      <c r="D646" t="s">
        <v>21</v>
      </c>
      <c r="E646">
        <v>18</v>
      </c>
      <c r="F646">
        <v>47.18</v>
      </c>
      <c r="G646">
        <v>4</v>
      </c>
      <c r="H646">
        <f>CLIENTS_CHURN34[[#This Row],[Anciennete_Mois]]/12</f>
        <v>2.75</v>
      </c>
      <c r="I646">
        <f>CLIENTS_CHURN34[[#This Row],[Duree_Cumulee_Panne_Min]]/60</f>
        <v>0.3</v>
      </c>
    </row>
    <row r="647" spans="1:9">
      <c r="A647" s="1" t="s">
        <v>8</v>
      </c>
      <c r="B647" t="s">
        <v>18</v>
      </c>
      <c r="C647">
        <v>112</v>
      </c>
      <c r="D647" t="s">
        <v>11</v>
      </c>
      <c r="E647">
        <v>18</v>
      </c>
      <c r="F647">
        <v>27.33</v>
      </c>
      <c r="G647">
        <v>5</v>
      </c>
      <c r="H647">
        <f>CLIENTS_CHURN34[[#This Row],[Anciennete_Mois]]/12</f>
        <v>9.3333333333333339</v>
      </c>
      <c r="I647">
        <f>CLIENTS_CHURN34[[#This Row],[Duree_Cumulee_Panne_Min]]/60</f>
        <v>0.3</v>
      </c>
    </row>
    <row r="648" spans="1:9">
      <c r="A648" s="1" t="s">
        <v>344</v>
      </c>
      <c r="B648" t="s">
        <v>24</v>
      </c>
      <c r="C648">
        <v>105</v>
      </c>
      <c r="D648" t="s">
        <v>32</v>
      </c>
      <c r="E648">
        <v>17</v>
      </c>
      <c r="F648">
        <v>60.05</v>
      </c>
      <c r="G648">
        <v>4</v>
      </c>
      <c r="H648">
        <f>CLIENTS_CHURN34[[#This Row],[Anciennete_Mois]]/12</f>
        <v>8.75</v>
      </c>
      <c r="I648">
        <f>CLIENTS_CHURN34[[#This Row],[Duree_Cumulee_Panne_Min]]/60</f>
        <v>0.28333333333333333</v>
      </c>
    </row>
    <row r="649" spans="1:9">
      <c r="A649" s="1" t="s">
        <v>602</v>
      </c>
      <c r="B649" t="s">
        <v>20</v>
      </c>
      <c r="C649">
        <v>74</v>
      </c>
      <c r="D649" t="s">
        <v>21</v>
      </c>
      <c r="E649">
        <v>16</v>
      </c>
      <c r="F649">
        <v>93.01</v>
      </c>
      <c r="G649">
        <v>3</v>
      </c>
      <c r="H649">
        <f>CLIENTS_CHURN34[[#This Row],[Anciennete_Mois]]/12</f>
        <v>6.166666666666667</v>
      </c>
      <c r="I649">
        <f>CLIENTS_CHURN34[[#This Row],[Duree_Cumulee_Panne_Min]]/60</f>
        <v>0.26666666666666666</v>
      </c>
    </row>
    <row r="650" spans="1:9">
      <c r="A650" s="1" t="s">
        <v>602</v>
      </c>
      <c r="B650" t="s">
        <v>61</v>
      </c>
      <c r="C650">
        <v>21</v>
      </c>
      <c r="D650" t="s">
        <v>14</v>
      </c>
      <c r="E650">
        <v>15</v>
      </c>
      <c r="F650">
        <v>57.74</v>
      </c>
      <c r="G650">
        <v>0</v>
      </c>
      <c r="H650">
        <f>CLIENTS_CHURN34[[#This Row],[Anciennete_Mois]]/12</f>
        <v>1.75</v>
      </c>
      <c r="I650">
        <f>CLIENTS_CHURN34[[#This Row],[Duree_Cumulee_Panne_Min]]/60</f>
        <v>0.25</v>
      </c>
    </row>
    <row r="651" spans="1:9">
      <c r="A651" s="1" t="s">
        <v>602</v>
      </c>
      <c r="B651" t="s">
        <v>29</v>
      </c>
      <c r="C651">
        <v>65</v>
      </c>
      <c r="D651" t="s">
        <v>32</v>
      </c>
      <c r="E651">
        <v>15</v>
      </c>
      <c r="F651">
        <v>44.47</v>
      </c>
      <c r="G651">
        <v>0</v>
      </c>
      <c r="H651">
        <f>CLIENTS_CHURN34[[#This Row],[Anciennete_Mois]]/12</f>
        <v>5.416666666666667</v>
      </c>
      <c r="I651">
        <f>CLIENTS_CHURN34[[#This Row],[Duree_Cumulee_Panne_Min]]/60</f>
        <v>0.25</v>
      </c>
    </row>
    <row r="652" spans="1:9">
      <c r="A652" s="1" t="s">
        <v>293</v>
      </c>
      <c r="B652" t="s">
        <v>43</v>
      </c>
      <c r="C652">
        <v>48</v>
      </c>
      <c r="D652" t="s">
        <v>21</v>
      </c>
      <c r="E652">
        <v>15</v>
      </c>
      <c r="F652">
        <v>50.67</v>
      </c>
      <c r="G652">
        <v>1</v>
      </c>
      <c r="H652">
        <f>CLIENTS_CHURN34[[#This Row],[Anciennete_Mois]]/12</f>
        <v>4</v>
      </c>
      <c r="I652">
        <f>CLIENTS_CHURN34[[#This Row],[Duree_Cumulee_Panne_Min]]/60</f>
        <v>0.25</v>
      </c>
    </row>
    <row r="653" spans="1:9">
      <c r="A653" s="1" t="s">
        <v>499</v>
      </c>
      <c r="B653" t="s">
        <v>24</v>
      </c>
      <c r="C653">
        <v>64</v>
      </c>
      <c r="D653" t="s">
        <v>11</v>
      </c>
      <c r="E653">
        <v>15</v>
      </c>
      <c r="F653">
        <v>56.94</v>
      </c>
      <c r="G653">
        <v>4</v>
      </c>
      <c r="H653">
        <f>CLIENTS_CHURN34[[#This Row],[Anciennete_Mois]]/12</f>
        <v>5.333333333333333</v>
      </c>
      <c r="I653">
        <f>CLIENTS_CHURN34[[#This Row],[Duree_Cumulee_Panne_Min]]/60</f>
        <v>0.25</v>
      </c>
    </row>
    <row r="654" spans="1:9">
      <c r="A654" s="1" t="s">
        <v>191</v>
      </c>
      <c r="B654" t="s">
        <v>13</v>
      </c>
      <c r="C654">
        <v>71</v>
      </c>
      <c r="D654" t="s">
        <v>32</v>
      </c>
      <c r="E654">
        <v>15</v>
      </c>
      <c r="F654">
        <v>25.46</v>
      </c>
      <c r="G654">
        <v>5</v>
      </c>
      <c r="H654">
        <f>CLIENTS_CHURN34[[#This Row],[Anciennete_Mois]]/12</f>
        <v>5.916666666666667</v>
      </c>
      <c r="I654">
        <f>CLIENTS_CHURN34[[#This Row],[Duree_Cumulee_Panne_Min]]/60</f>
        <v>0.25</v>
      </c>
    </row>
    <row r="655" spans="1:9">
      <c r="A655" s="1" t="s">
        <v>653</v>
      </c>
      <c r="B655" t="s">
        <v>61</v>
      </c>
      <c r="C655">
        <v>116</v>
      </c>
      <c r="D655" t="s">
        <v>32</v>
      </c>
      <c r="E655">
        <v>14</v>
      </c>
      <c r="F655">
        <v>30.38</v>
      </c>
      <c r="G655">
        <v>1</v>
      </c>
      <c r="H655">
        <f>CLIENTS_CHURN34[[#This Row],[Anciennete_Mois]]/12</f>
        <v>9.6666666666666661</v>
      </c>
      <c r="I655">
        <f>CLIENTS_CHURN34[[#This Row],[Duree_Cumulee_Panne_Min]]/60</f>
        <v>0.23333333333333334</v>
      </c>
    </row>
    <row r="656" spans="1:9">
      <c r="A656" s="1" t="s">
        <v>85</v>
      </c>
      <c r="B656" t="s">
        <v>65</v>
      </c>
      <c r="C656">
        <v>83</v>
      </c>
      <c r="D656" t="s">
        <v>21</v>
      </c>
      <c r="E656">
        <v>14</v>
      </c>
      <c r="F656">
        <v>58.07</v>
      </c>
      <c r="G656">
        <v>3</v>
      </c>
      <c r="H656">
        <f>CLIENTS_CHURN34[[#This Row],[Anciennete_Mois]]/12</f>
        <v>6.916666666666667</v>
      </c>
      <c r="I656">
        <f>CLIENTS_CHURN34[[#This Row],[Duree_Cumulee_Panne_Min]]/60</f>
        <v>0.23333333333333334</v>
      </c>
    </row>
    <row r="657" spans="1:9">
      <c r="A657" s="1" t="s">
        <v>140</v>
      </c>
      <c r="B657" t="s">
        <v>61</v>
      </c>
      <c r="C657">
        <v>16</v>
      </c>
      <c r="D657" t="s">
        <v>14</v>
      </c>
      <c r="E657">
        <v>13</v>
      </c>
      <c r="F657">
        <v>14.91</v>
      </c>
      <c r="G657">
        <v>1</v>
      </c>
      <c r="H657">
        <f>CLIENTS_CHURN34[[#This Row],[Anciennete_Mois]]/12</f>
        <v>1.3333333333333333</v>
      </c>
      <c r="I657">
        <f>CLIENTS_CHURN34[[#This Row],[Duree_Cumulee_Panne_Min]]/60</f>
        <v>0.21666666666666667</v>
      </c>
    </row>
    <row r="658" spans="1:9">
      <c r="A658" s="1" t="s">
        <v>551</v>
      </c>
      <c r="B658" t="s">
        <v>38</v>
      </c>
      <c r="C658">
        <v>9</v>
      </c>
      <c r="D658" t="s">
        <v>14</v>
      </c>
      <c r="E658">
        <v>11</v>
      </c>
      <c r="F658">
        <v>72.36</v>
      </c>
      <c r="G658">
        <v>2</v>
      </c>
      <c r="H658">
        <f>CLIENTS_CHURN34[[#This Row],[Anciennete_Mois]]/12</f>
        <v>0.75</v>
      </c>
      <c r="I658">
        <f>CLIENTS_CHURN34[[#This Row],[Duree_Cumulee_Panne_Min]]/60</f>
        <v>0.18333333333333332</v>
      </c>
    </row>
    <row r="659" spans="1:9">
      <c r="A659" s="1" t="s">
        <v>602</v>
      </c>
      <c r="B659" t="s">
        <v>52</v>
      </c>
      <c r="C659">
        <v>81</v>
      </c>
      <c r="D659" t="s">
        <v>21</v>
      </c>
      <c r="E659">
        <v>11</v>
      </c>
      <c r="F659">
        <v>41.76</v>
      </c>
      <c r="G659">
        <v>5</v>
      </c>
      <c r="H659">
        <f>CLIENTS_CHURN34[[#This Row],[Anciennete_Mois]]/12</f>
        <v>6.75</v>
      </c>
      <c r="I659">
        <f>CLIENTS_CHURN34[[#This Row],[Duree_Cumulee_Panne_Min]]/60</f>
        <v>0.18333333333333332</v>
      </c>
    </row>
    <row r="660" spans="1:9">
      <c r="A660" s="1" t="s">
        <v>85</v>
      </c>
      <c r="B660" t="s">
        <v>52</v>
      </c>
      <c r="C660">
        <v>74</v>
      </c>
      <c r="D660" t="s">
        <v>21</v>
      </c>
      <c r="E660">
        <v>9</v>
      </c>
      <c r="F660">
        <v>99.89</v>
      </c>
      <c r="G660">
        <v>0</v>
      </c>
      <c r="H660">
        <f>CLIENTS_CHURN34[[#This Row],[Anciennete_Mois]]/12</f>
        <v>6.166666666666667</v>
      </c>
      <c r="I660">
        <f>CLIENTS_CHURN34[[#This Row],[Duree_Cumulee_Panne_Min]]/60</f>
        <v>0.15</v>
      </c>
    </row>
    <row r="661" spans="1:9">
      <c r="A661" s="1" t="s">
        <v>653</v>
      </c>
      <c r="B661" t="s">
        <v>29</v>
      </c>
      <c r="C661">
        <v>29</v>
      </c>
      <c r="D661" t="s">
        <v>32</v>
      </c>
      <c r="E661">
        <v>8</v>
      </c>
      <c r="F661">
        <v>14.78</v>
      </c>
      <c r="G661">
        <v>2</v>
      </c>
      <c r="H661">
        <f>CLIENTS_CHURN34[[#This Row],[Anciennete_Mois]]/12</f>
        <v>2.4166666666666665</v>
      </c>
      <c r="I661">
        <f>CLIENTS_CHURN34[[#This Row],[Duree_Cumulee_Panne_Min]]/60</f>
        <v>0.13333333333333333</v>
      </c>
    </row>
    <row r="662" spans="1:9">
      <c r="A662" s="1" t="s">
        <v>242</v>
      </c>
      <c r="B662" t="s">
        <v>13</v>
      </c>
      <c r="C662">
        <v>89</v>
      </c>
      <c r="D662" t="s">
        <v>21</v>
      </c>
      <c r="E662">
        <v>7</v>
      </c>
      <c r="F662">
        <v>53.39</v>
      </c>
      <c r="G662">
        <v>3</v>
      </c>
      <c r="H662">
        <f>CLIENTS_CHURN34[[#This Row],[Anciennete_Mois]]/12</f>
        <v>7.416666666666667</v>
      </c>
      <c r="I662">
        <f>CLIENTS_CHURN34[[#This Row],[Duree_Cumulee_Panne_Min]]/60</f>
        <v>0.11666666666666667</v>
      </c>
    </row>
    <row r="663" spans="1:9">
      <c r="A663" s="1" t="s">
        <v>242</v>
      </c>
      <c r="B663" t="s">
        <v>95</v>
      </c>
      <c r="C663">
        <v>49</v>
      </c>
      <c r="D663" t="s">
        <v>21</v>
      </c>
      <c r="E663">
        <v>6</v>
      </c>
      <c r="F663">
        <v>44.41</v>
      </c>
      <c r="G663">
        <v>3</v>
      </c>
      <c r="H663">
        <f>CLIENTS_CHURN34[[#This Row],[Anciennete_Mois]]/12</f>
        <v>4.083333333333333</v>
      </c>
      <c r="I663">
        <f>CLIENTS_CHURN34[[#This Row],[Duree_Cumulee_Panne_Min]]/60</f>
        <v>0.1</v>
      </c>
    </row>
    <row r="664" spans="1:9">
      <c r="A664" s="1" t="s">
        <v>140</v>
      </c>
      <c r="B664" t="s">
        <v>16</v>
      </c>
      <c r="C664">
        <v>6</v>
      </c>
      <c r="D664" t="s">
        <v>14</v>
      </c>
      <c r="E664">
        <v>6</v>
      </c>
      <c r="F664">
        <v>72.27</v>
      </c>
      <c r="G664">
        <v>4</v>
      </c>
      <c r="H664">
        <f>CLIENTS_CHURN34[[#This Row],[Anciennete_Mois]]/12</f>
        <v>0.5</v>
      </c>
      <c r="I664">
        <f>CLIENTS_CHURN34[[#This Row],[Duree_Cumulee_Panne_Min]]/60</f>
        <v>0.1</v>
      </c>
    </row>
    <row r="665" spans="1:9">
      <c r="A665" s="1" t="s">
        <v>191</v>
      </c>
      <c r="B665" t="s">
        <v>71</v>
      </c>
      <c r="C665">
        <v>64</v>
      </c>
      <c r="D665" t="s">
        <v>11</v>
      </c>
      <c r="E665">
        <v>6</v>
      </c>
      <c r="F665">
        <v>40.58</v>
      </c>
      <c r="G665">
        <v>5</v>
      </c>
      <c r="H665">
        <f>CLIENTS_CHURN34[[#This Row],[Anciennete_Mois]]/12</f>
        <v>5.333333333333333</v>
      </c>
      <c r="I665">
        <f>CLIENTS_CHURN34[[#This Row],[Duree_Cumulee_Panne_Min]]/60</f>
        <v>0.1</v>
      </c>
    </row>
    <row r="666" spans="1:9">
      <c r="A666" s="1" t="s">
        <v>499</v>
      </c>
      <c r="B666" t="s">
        <v>24</v>
      </c>
      <c r="C666">
        <v>92</v>
      </c>
      <c r="D666" t="s">
        <v>14</v>
      </c>
      <c r="E666">
        <v>6</v>
      </c>
      <c r="F666">
        <v>77.14</v>
      </c>
      <c r="G666">
        <v>5</v>
      </c>
      <c r="H666">
        <f>CLIENTS_CHURN34[[#This Row],[Anciennete_Mois]]/12</f>
        <v>7.666666666666667</v>
      </c>
      <c r="I666">
        <f>CLIENTS_CHURN34[[#This Row],[Duree_Cumulee_Panne_Min]]/60</f>
        <v>0.1</v>
      </c>
    </row>
    <row r="667" spans="1:9">
      <c r="A667" s="1" t="s">
        <v>499</v>
      </c>
      <c r="B667" t="s">
        <v>61</v>
      </c>
      <c r="C667">
        <v>94</v>
      </c>
      <c r="D667" t="s">
        <v>21</v>
      </c>
      <c r="E667">
        <v>6</v>
      </c>
      <c r="F667">
        <v>67.459999999999994</v>
      </c>
      <c r="G667">
        <v>5</v>
      </c>
      <c r="H667">
        <f>CLIENTS_CHURN34[[#This Row],[Anciennete_Mois]]/12</f>
        <v>7.833333333333333</v>
      </c>
      <c r="I667">
        <f>CLIENTS_CHURN34[[#This Row],[Duree_Cumulee_Panne_Min]]/60</f>
        <v>0.1</v>
      </c>
    </row>
    <row r="668" spans="1:9">
      <c r="A668" s="1" t="s">
        <v>602</v>
      </c>
      <c r="B668" t="s">
        <v>111</v>
      </c>
      <c r="C668">
        <v>25</v>
      </c>
      <c r="D668" t="s">
        <v>14</v>
      </c>
      <c r="E668">
        <v>5</v>
      </c>
      <c r="F668">
        <v>27.93</v>
      </c>
      <c r="G668">
        <v>0</v>
      </c>
      <c r="H668">
        <f>CLIENTS_CHURN34[[#This Row],[Anciennete_Mois]]/12</f>
        <v>2.0833333333333335</v>
      </c>
      <c r="I668">
        <f>CLIENTS_CHURN34[[#This Row],[Duree_Cumulee_Panne_Min]]/60</f>
        <v>8.3333333333333329E-2</v>
      </c>
    </row>
    <row r="669" spans="1:9">
      <c r="A669" s="1" t="s">
        <v>140</v>
      </c>
      <c r="B669" t="s">
        <v>20</v>
      </c>
      <c r="C669">
        <v>72</v>
      </c>
      <c r="D669" t="s">
        <v>32</v>
      </c>
      <c r="E669">
        <v>5</v>
      </c>
      <c r="F669">
        <v>68.650000000000006</v>
      </c>
      <c r="G669">
        <v>0</v>
      </c>
      <c r="H669">
        <f>CLIENTS_CHURN34[[#This Row],[Anciennete_Mois]]/12</f>
        <v>6</v>
      </c>
      <c r="I669">
        <f>CLIENTS_CHURN34[[#This Row],[Duree_Cumulee_Panne_Min]]/60</f>
        <v>8.3333333333333329E-2</v>
      </c>
    </row>
    <row r="670" spans="1:9">
      <c r="A670" s="1" t="s">
        <v>447</v>
      </c>
      <c r="B670" t="s">
        <v>38</v>
      </c>
      <c r="C670">
        <v>92</v>
      </c>
      <c r="D670" t="s">
        <v>14</v>
      </c>
      <c r="E670">
        <v>4</v>
      </c>
      <c r="F670">
        <v>22.03</v>
      </c>
      <c r="G670">
        <v>3</v>
      </c>
      <c r="H670">
        <f>CLIENTS_CHURN34[[#This Row],[Anciennete_Mois]]/12</f>
        <v>7.666666666666667</v>
      </c>
      <c r="I670">
        <f>CLIENTS_CHURN34[[#This Row],[Duree_Cumulee_Panne_Min]]/60</f>
        <v>6.6666666666666666E-2</v>
      </c>
    </row>
    <row r="671" spans="1:9">
      <c r="A671" s="1" t="s">
        <v>293</v>
      </c>
      <c r="B671" t="s">
        <v>36</v>
      </c>
      <c r="C671">
        <v>105</v>
      </c>
      <c r="D671" t="s">
        <v>21</v>
      </c>
      <c r="E671">
        <v>3</v>
      </c>
      <c r="F671">
        <v>71.010000000000005</v>
      </c>
      <c r="G671">
        <v>1</v>
      </c>
      <c r="H671">
        <f>CLIENTS_CHURN34[[#This Row],[Anciennete_Mois]]/12</f>
        <v>8.75</v>
      </c>
      <c r="I671">
        <f>CLIENTS_CHURN34[[#This Row],[Duree_Cumulee_Panne_Min]]/60</f>
        <v>0.05</v>
      </c>
    </row>
    <row r="672" spans="1:9">
      <c r="A672" s="1" t="s">
        <v>705</v>
      </c>
      <c r="B672" t="s">
        <v>13</v>
      </c>
      <c r="C672">
        <v>37</v>
      </c>
      <c r="D672" t="s">
        <v>21</v>
      </c>
      <c r="E672">
        <v>3</v>
      </c>
      <c r="F672">
        <v>20.89</v>
      </c>
      <c r="G672">
        <v>5</v>
      </c>
      <c r="H672">
        <f>CLIENTS_CHURN34[[#This Row],[Anciennete_Mois]]/12</f>
        <v>3.0833333333333335</v>
      </c>
      <c r="I672">
        <f>CLIENTS_CHURN34[[#This Row],[Duree_Cumulee_Panne_Min]]/60</f>
        <v>0.05</v>
      </c>
    </row>
    <row r="673" spans="1:9">
      <c r="A673" s="1" t="s">
        <v>602</v>
      </c>
      <c r="B673" t="s">
        <v>65</v>
      </c>
      <c r="C673">
        <v>41</v>
      </c>
      <c r="D673" t="s">
        <v>14</v>
      </c>
      <c r="E673">
        <v>2</v>
      </c>
      <c r="F673">
        <v>24.91</v>
      </c>
      <c r="G673">
        <v>1</v>
      </c>
      <c r="H673">
        <f>CLIENTS_CHURN34[[#This Row],[Anciennete_Mois]]/12</f>
        <v>3.4166666666666665</v>
      </c>
      <c r="I673">
        <f>CLIENTS_CHURN34[[#This Row],[Duree_Cumulee_Panne_Min]]/60</f>
        <v>3.3333333333333333E-2</v>
      </c>
    </row>
    <row r="674" spans="1:9">
      <c r="A674" s="1" t="s">
        <v>447</v>
      </c>
      <c r="B674" t="s">
        <v>38</v>
      </c>
      <c r="C674">
        <v>39</v>
      </c>
      <c r="D674" t="s">
        <v>32</v>
      </c>
      <c r="E674">
        <v>1</v>
      </c>
      <c r="F674">
        <v>66.94</v>
      </c>
      <c r="G674">
        <v>5</v>
      </c>
      <c r="H674">
        <f>CLIENTS_CHURN34[[#This Row],[Anciennete_Mois]]/12</f>
        <v>3.25</v>
      </c>
      <c r="I674">
        <f>CLIENTS_CHURN34[[#This Row],[Duree_Cumulee_Panne_Min]]/60</f>
        <v>1.6666666666666666E-2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4AF30-1D15-4CAB-9C6D-56370ABAB13A}">
  <dimension ref="A1:H751"/>
  <sheetViews>
    <sheetView topLeftCell="A2" workbookViewId="0">
      <selection activeCell="C9" sqref="C9"/>
    </sheetView>
  </sheetViews>
  <sheetFormatPr baseColWidth="10" defaultRowHeight="14.5"/>
  <cols>
    <col min="1" max="1" width="23.6328125" bestFit="1" customWidth="1"/>
    <col min="2" max="2" width="10.7265625" bestFit="1" customWidth="1"/>
    <col min="3" max="3" width="16.08984375" bestFit="1" customWidth="1"/>
    <col min="4" max="4" width="17.6328125" bestFit="1" customWidth="1"/>
    <col min="5" max="5" width="17" bestFit="1" customWidth="1"/>
    <col min="6" max="6" width="27.26953125" bestFit="1" customWidth="1"/>
    <col min="7" max="7" width="19.08984375" bestFit="1" customWidth="1"/>
    <col min="8" max="8" width="22.4531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 t="s">
        <v>8</v>
      </c>
      <c r="B2" t="s">
        <v>9</v>
      </c>
      <c r="C2" t="s">
        <v>10</v>
      </c>
      <c r="D2">
        <v>91</v>
      </c>
      <c r="E2" t="s">
        <v>11</v>
      </c>
      <c r="F2">
        <v>358</v>
      </c>
      <c r="G2">
        <v>21.14</v>
      </c>
      <c r="H2">
        <v>5</v>
      </c>
    </row>
    <row r="3" spans="1:8">
      <c r="A3" s="1" t="s">
        <v>8</v>
      </c>
      <c r="B3" t="s">
        <v>12</v>
      </c>
      <c r="C3" t="s">
        <v>13</v>
      </c>
      <c r="D3">
        <v>72</v>
      </c>
      <c r="E3" t="s">
        <v>14</v>
      </c>
      <c r="F3">
        <v>332</v>
      </c>
      <c r="G3">
        <v>83.36</v>
      </c>
      <c r="H3">
        <v>4</v>
      </c>
    </row>
    <row r="4" spans="1:8">
      <c r="A4" s="1" t="s">
        <v>8</v>
      </c>
      <c r="B4" t="s">
        <v>15</v>
      </c>
      <c r="C4" t="s">
        <v>16</v>
      </c>
      <c r="D4">
        <v>14</v>
      </c>
      <c r="E4" t="s">
        <v>14</v>
      </c>
      <c r="F4">
        <v>415</v>
      </c>
      <c r="G4">
        <v>36.93</v>
      </c>
      <c r="H4">
        <v>5</v>
      </c>
    </row>
    <row r="5" spans="1:8">
      <c r="A5" s="1" t="s">
        <v>8</v>
      </c>
      <c r="B5" t="s">
        <v>17</v>
      </c>
      <c r="C5" t="s">
        <v>18</v>
      </c>
      <c r="D5">
        <v>112</v>
      </c>
      <c r="E5" t="s">
        <v>11</v>
      </c>
      <c r="F5">
        <v>18</v>
      </c>
      <c r="G5">
        <v>27.33</v>
      </c>
      <c r="H5">
        <v>5</v>
      </c>
    </row>
    <row r="6" spans="1:8">
      <c r="A6" s="1" t="s">
        <v>8</v>
      </c>
      <c r="B6" t="s">
        <v>19</v>
      </c>
      <c r="C6" t="s">
        <v>20</v>
      </c>
      <c r="D6">
        <v>101</v>
      </c>
      <c r="E6" t="s">
        <v>21</v>
      </c>
      <c r="F6">
        <v>358</v>
      </c>
      <c r="G6">
        <v>29.24</v>
      </c>
      <c r="H6">
        <v>3</v>
      </c>
    </row>
    <row r="7" spans="1:8">
      <c r="A7" s="1" t="s">
        <v>8</v>
      </c>
      <c r="B7" t="s">
        <v>22</v>
      </c>
      <c r="C7" t="s">
        <v>20</v>
      </c>
      <c r="D7">
        <v>110</v>
      </c>
      <c r="E7" t="s">
        <v>21</v>
      </c>
      <c r="F7">
        <v>454</v>
      </c>
      <c r="G7">
        <v>31.05</v>
      </c>
      <c r="H7">
        <v>1</v>
      </c>
    </row>
    <row r="8" spans="1:8">
      <c r="A8" s="1" t="s">
        <v>8</v>
      </c>
      <c r="B8" t="s">
        <v>23</v>
      </c>
      <c r="C8" t="s">
        <v>24</v>
      </c>
      <c r="D8">
        <v>97</v>
      </c>
      <c r="E8" t="s">
        <v>11</v>
      </c>
      <c r="F8">
        <v>319</v>
      </c>
      <c r="G8">
        <v>31.25</v>
      </c>
      <c r="H8">
        <v>1</v>
      </c>
    </row>
    <row r="9" spans="1:8">
      <c r="A9" s="1" t="s">
        <v>8</v>
      </c>
      <c r="B9" t="s">
        <v>25</v>
      </c>
      <c r="C9" t="s">
        <v>26</v>
      </c>
      <c r="D9">
        <v>22</v>
      </c>
      <c r="E9" t="s">
        <v>21</v>
      </c>
      <c r="F9">
        <v>451</v>
      </c>
      <c r="G9">
        <v>76.38</v>
      </c>
      <c r="H9">
        <v>3</v>
      </c>
    </row>
    <row r="10" spans="1:8">
      <c r="A10" s="1" t="s">
        <v>8</v>
      </c>
      <c r="B10" t="s">
        <v>27</v>
      </c>
      <c r="C10" t="s">
        <v>20</v>
      </c>
      <c r="D10">
        <v>79</v>
      </c>
      <c r="E10" t="s">
        <v>14</v>
      </c>
      <c r="F10">
        <v>357</v>
      </c>
      <c r="G10">
        <v>69.900000000000006</v>
      </c>
      <c r="H10">
        <v>5</v>
      </c>
    </row>
    <row r="11" spans="1:8">
      <c r="A11" s="1" t="s">
        <v>8</v>
      </c>
      <c r="B11" t="s">
        <v>28</v>
      </c>
      <c r="C11" t="s">
        <v>29</v>
      </c>
      <c r="D11">
        <v>108</v>
      </c>
      <c r="E11" t="s">
        <v>21</v>
      </c>
      <c r="F11">
        <v>278</v>
      </c>
      <c r="G11">
        <v>40.51</v>
      </c>
      <c r="H11">
        <v>3</v>
      </c>
    </row>
    <row r="12" spans="1:8">
      <c r="A12" s="1" t="s">
        <v>8</v>
      </c>
      <c r="B12" t="s">
        <v>30</v>
      </c>
      <c r="C12" t="s">
        <v>31</v>
      </c>
      <c r="D12">
        <v>86</v>
      </c>
      <c r="E12" t="s">
        <v>32</v>
      </c>
      <c r="F12">
        <v>471</v>
      </c>
      <c r="G12">
        <v>33.380000000000003</v>
      </c>
      <c r="H12">
        <v>4</v>
      </c>
    </row>
    <row r="13" spans="1:8">
      <c r="A13" s="1" t="s">
        <v>8</v>
      </c>
      <c r="B13" t="s">
        <v>33</v>
      </c>
      <c r="C13" t="s">
        <v>18</v>
      </c>
      <c r="D13">
        <v>47</v>
      </c>
      <c r="E13" t="s">
        <v>14</v>
      </c>
      <c r="F13">
        <v>199</v>
      </c>
      <c r="G13">
        <v>23.19</v>
      </c>
      <c r="H13">
        <v>2</v>
      </c>
    </row>
    <row r="14" spans="1:8">
      <c r="A14" s="1" t="s">
        <v>8</v>
      </c>
      <c r="B14" t="s">
        <v>34</v>
      </c>
      <c r="C14" t="s">
        <v>10</v>
      </c>
      <c r="D14">
        <v>27</v>
      </c>
      <c r="E14" t="s">
        <v>14</v>
      </c>
      <c r="F14">
        <v>275</v>
      </c>
      <c r="G14">
        <v>80.069999999999993</v>
      </c>
      <c r="H14">
        <v>1</v>
      </c>
    </row>
    <row r="15" spans="1:8">
      <c r="A15" s="1" t="s">
        <v>8</v>
      </c>
      <c r="B15" t="s">
        <v>35</v>
      </c>
      <c r="C15" t="s">
        <v>36</v>
      </c>
      <c r="D15">
        <v>20</v>
      </c>
      <c r="E15" t="s">
        <v>21</v>
      </c>
      <c r="F15">
        <v>4</v>
      </c>
      <c r="G15">
        <v>84.9</v>
      </c>
      <c r="H15">
        <v>3</v>
      </c>
    </row>
    <row r="16" spans="1:8">
      <c r="A16" s="1" t="s">
        <v>8</v>
      </c>
      <c r="B16" t="s">
        <v>37</v>
      </c>
      <c r="C16" t="s">
        <v>38</v>
      </c>
      <c r="D16">
        <v>115</v>
      </c>
      <c r="E16" t="s">
        <v>14</v>
      </c>
      <c r="F16">
        <v>176</v>
      </c>
      <c r="G16">
        <v>33.28</v>
      </c>
      <c r="H16">
        <v>4</v>
      </c>
    </row>
    <row r="17" spans="1:8">
      <c r="A17" s="1" t="s">
        <v>8</v>
      </c>
      <c r="B17" t="s">
        <v>39</v>
      </c>
      <c r="C17" t="s">
        <v>40</v>
      </c>
      <c r="D17">
        <v>57</v>
      </c>
      <c r="E17" t="s">
        <v>21</v>
      </c>
      <c r="F17">
        <v>329</v>
      </c>
      <c r="G17">
        <v>50.39</v>
      </c>
      <c r="H17">
        <v>5</v>
      </c>
    </row>
    <row r="18" spans="1:8">
      <c r="A18" s="1" t="s">
        <v>8</v>
      </c>
      <c r="B18" t="s">
        <v>41</v>
      </c>
      <c r="C18" t="s">
        <v>24</v>
      </c>
      <c r="D18">
        <v>117</v>
      </c>
      <c r="E18" t="s">
        <v>21</v>
      </c>
      <c r="F18">
        <v>171</v>
      </c>
      <c r="G18">
        <v>50.89</v>
      </c>
      <c r="H18">
        <v>4</v>
      </c>
    </row>
    <row r="19" spans="1:8">
      <c r="A19" s="1" t="s">
        <v>8</v>
      </c>
      <c r="B19" t="s">
        <v>42</v>
      </c>
      <c r="C19" t="s">
        <v>43</v>
      </c>
      <c r="D19">
        <v>7</v>
      </c>
      <c r="E19" t="s">
        <v>32</v>
      </c>
      <c r="F19">
        <v>206</v>
      </c>
      <c r="G19">
        <v>78.09</v>
      </c>
      <c r="H19">
        <v>3</v>
      </c>
    </row>
    <row r="20" spans="1:8">
      <c r="A20" s="1" t="s">
        <v>8</v>
      </c>
      <c r="B20" t="s">
        <v>44</v>
      </c>
      <c r="C20" t="s">
        <v>45</v>
      </c>
      <c r="D20">
        <v>65</v>
      </c>
      <c r="E20" t="s">
        <v>32</v>
      </c>
      <c r="F20">
        <v>397</v>
      </c>
      <c r="G20">
        <v>22.6</v>
      </c>
      <c r="H20">
        <v>5</v>
      </c>
    </row>
    <row r="21" spans="1:8">
      <c r="A21" s="1" t="s">
        <v>8</v>
      </c>
      <c r="B21" t="s">
        <v>46</v>
      </c>
      <c r="C21" t="s">
        <v>16</v>
      </c>
      <c r="D21">
        <v>89</v>
      </c>
      <c r="E21" t="s">
        <v>32</v>
      </c>
      <c r="F21">
        <v>143</v>
      </c>
      <c r="G21">
        <v>48.05</v>
      </c>
      <c r="H21">
        <v>4</v>
      </c>
    </row>
    <row r="22" spans="1:8">
      <c r="A22" s="1" t="s">
        <v>8</v>
      </c>
      <c r="B22" t="s">
        <v>47</v>
      </c>
      <c r="C22" t="s">
        <v>40</v>
      </c>
      <c r="D22">
        <v>14</v>
      </c>
      <c r="E22" t="s">
        <v>11</v>
      </c>
      <c r="F22">
        <v>101</v>
      </c>
      <c r="G22">
        <v>43.99</v>
      </c>
      <c r="H22">
        <v>1</v>
      </c>
    </row>
    <row r="23" spans="1:8">
      <c r="A23" s="1" t="s">
        <v>8</v>
      </c>
      <c r="B23" t="s">
        <v>48</v>
      </c>
      <c r="C23" t="s">
        <v>36</v>
      </c>
      <c r="D23">
        <v>44</v>
      </c>
      <c r="E23" t="s">
        <v>14</v>
      </c>
      <c r="F23">
        <v>348</v>
      </c>
      <c r="G23">
        <v>58.67</v>
      </c>
      <c r="H23">
        <v>0</v>
      </c>
    </row>
    <row r="24" spans="1:8">
      <c r="A24" s="1" t="s">
        <v>8</v>
      </c>
      <c r="B24" t="s">
        <v>49</v>
      </c>
      <c r="C24" t="s">
        <v>13</v>
      </c>
      <c r="D24">
        <v>78</v>
      </c>
      <c r="E24" t="s">
        <v>14</v>
      </c>
      <c r="F24">
        <v>312</v>
      </c>
      <c r="G24">
        <v>85.74</v>
      </c>
      <c r="H24">
        <v>2</v>
      </c>
    </row>
    <row r="25" spans="1:8">
      <c r="A25" s="1" t="s">
        <v>8</v>
      </c>
      <c r="B25" t="s">
        <v>50</v>
      </c>
      <c r="C25" t="s">
        <v>45</v>
      </c>
      <c r="D25">
        <v>101</v>
      </c>
      <c r="E25" t="s">
        <v>11</v>
      </c>
      <c r="F25">
        <v>333</v>
      </c>
      <c r="G25">
        <v>74.319999999999993</v>
      </c>
      <c r="H25">
        <v>1</v>
      </c>
    </row>
    <row r="26" spans="1:8">
      <c r="A26" s="1" t="s">
        <v>8</v>
      </c>
      <c r="B26" t="s">
        <v>51</v>
      </c>
      <c r="C26" t="s">
        <v>52</v>
      </c>
      <c r="D26">
        <v>29</v>
      </c>
      <c r="E26" t="s">
        <v>32</v>
      </c>
      <c r="F26">
        <v>214</v>
      </c>
      <c r="G26">
        <v>74.7</v>
      </c>
      <c r="H26">
        <v>3</v>
      </c>
    </row>
    <row r="27" spans="1:8">
      <c r="A27" s="1" t="s">
        <v>8</v>
      </c>
      <c r="B27" t="s">
        <v>53</v>
      </c>
      <c r="C27" t="s">
        <v>43</v>
      </c>
      <c r="D27">
        <v>112</v>
      </c>
      <c r="E27" t="s">
        <v>32</v>
      </c>
      <c r="F27">
        <v>460</v>
      </c>
      <c r="G27">
        <v>55.47</v>
      </c>
      <c r="H27">
        <v>4</v>
      </c>
    </row>
    <row r="28" spans="1:8">
      <c r="A28" s="1" t="s">
        <v>8</v>
      </c>
      <c r="B28" t="s">
        <v>54</v>
      </c>
      <c r="C28" t="s">
        <v>18</v>
      </c>
      <c r="D28">
        <v>119</v>
      </c>
      <c r="E28" t="s">
        <v>21</v>
      </c>
      <c r="F28">
        <v>228</v>
      </c>
      <c r="G28">
        <v>94.72</v>
      </c>
      <c r="H28">
        <v>3</v>
      </c>
    </row>
    <row r="29" spans="1:8">
      <c r="A29" s="1" t="s">
        <v>8</v>
      </c>
      <c r="B29" t="s">
        <v>55</v>
      </c>
      <c r="C29" t="s">
        <v>16</v>
      </c>
      <c r="D29">
        <v>63</v>
      </c>
      <c r="E29" t="s">
        <v>11</v>
      </c>
      <c r="F29">
        <v>205</v>
      </c>
      <c r="G29">
        <v>89.19</v>
      </c>
      <c r="H29">
        <v>0</v>
      </c>
    </row>
    <row r="30" spans="1:8">
      <c r="A30" s="1" t="s">
        <v>8</v>
      </c>
      <c r="B30" t="s">
        <v>56</v>
      </c>
      <c r="C30" t="s">
        <v>57</v>
      </c>
      <c r="D30">
        <v>34</v>
      </c>
      <c r="E30" t="s">
        <v>11</v>
      </c>
      <c r="F30">
        <v>453</v>
      </c>
      <c r="G30">
        <v>56.84</v>
      </c>
      <c r="H30">
        <v>0</v>
      </c>
    </row>
    <row r="31" spans="1:8">
      <c r="A31" s="1" t="s">
        <v>8</v>
      </c>
      <c r="B31" t="s">
        <v>58</v>
      </c>
      <c r="C31" t="s">
        <v>13</v>
      </c>
      <c r="D31">
        <v>106</v>
      </c>
      <c r="E31" t="s">
        <v>14</v>
      </c>
      <c r="F31">
        <v>400</v>
      </c>
      <c r="G31">
        <v>70.02</v>
      </c>
      <c r="H31">
        <v>4</v>
      </c>
    </row>
    <row r="32" spans="1:8">
      <c r="A32" s="1" t="s">
        <v>8</v>
      </c>
      <c r="B32" t="s">
        <v>59</v>
      </c>
      <c r="C32" t="s">
        <v>52</v>
      </c>
      <c r="D32">
        <v>16</v>
      </c>
      <c r="E32" t="s">
        <v>14</v>
      </c>
      <c r="F32">
        <v>43</v>
      </c>
      <c r="G32">
        <v>56.48</v>
      </c>
      <c r="H32">
        <v>0</v>
      </c>
    </row>
    <row r="33" spans="1:8">
      <c r="A33" s="1" t="s">
        <v>8</v>
      </c>
      <c r="B33" t="s">
        <v>60</v>
      </c>
      <c r="C33" t="s">
        <v>61</v>
      </c>
      <c r="D33">
        <v>6</v>
      </c>
      <c r="E33" t="s">
        <v>32</v>
      </c>
      <c r="F33">
        <v>207</v>
      </c>
      <c r="G33">
        <v>61.55</v>
      </c>
      <c r="H33">
        <v>0</v>
      </c>
    </row>
    <row r="34" spans="1:8">
      <c r="A34" s="1" t="s">
        <v>8</v>
      </c>
      <c r="B34" t="s">
        <v>62</v>
      </c>
      <c r="C34" t="s">
        <v>63</v>
      </c>
      <c r="D34">
        <v>14</v>
      </c>
      <c r="E34" t="s">
        <v>11</v>
      </c>
      <c r="F34">
        <v>316</v>
      </c>
      <c r="G34">
        <v>62.34</v>
      </c>
      <c r="H34">
        <v>4</v>
      </c>
    </row>
    <row r="35" spans="1:8">
      <c r="A35" s="1" t="s">
        <v>8</v>
      </c>
      <c r="B35" t="s">
        <v>64</v>
      </c>
      <c r="C35" t="s">
        <v>65</v>
      </c>
      <c r="D35">
        <v>79</v>
      </c>
      <c r="E35" t="s">
        <v>32</v>
      </c>
      <c r="F35">
        <v>226</v>
      </c>
      <c r="G35">
        <v>94.38</v>
      </c>
      <c r="H35">
        <v>3</v>
      </c>
    </row>
    <row r="36" spans="1:8">
      <c r="A36" s="1" t="s">
        <v>8</v>
      </c>
      <c r="B36" t="s">
        <v>66</v>
      </c>
      <c r="C36" t="s">
        <v>26</v>
      </c>
      <c r="D36">
        <v>110</v>
      </c>
      <c r="E36" t="s">
        <v>11</v>
      </c>
      <c r="F36">
        <v>423</v>
      </c>
      <c r="G36">
        <v>37.35</v>
      </c>
      <c r="H36">
        <v>4</v>
      </c>
    </row>
    <row r="37" spans="1:8">
      <c r="A37" s="1" t="s">
        <v>8</v>
      </c>
      <c r="B37" t="s">
        <v>67</v>
      </c>
      <c r="C37" t="s">
        <v>13</v>
      </c>
      <c r="D37">
        <v>99</v>
      </c>
      <c r="E37" t="s">
        <v>14</v>
      </c>
      <c r="F37">
        <v>369</v>
      </c>
      <c r="G37">
        <v>67.209999999999994</v>
      </c>
      <c r="H37">
        <v>3</v>
      </c>
    </row>
    <row r="38" spans="1:8">
      <c r="A38" s="1" t="s">
        <v>8</v>
      </c>
      <c r="B38" t="s">
        <v>68</v>
      </c>
      <c r="C38" t="s">
        <v>29</v>
      </c>
      <c r="D38">
        <v>35</v>
      </c>
      <c r="E38" t="s">
        <v>11</v>
      </c>
      <c r="F38">
        <v>465</v>
      </c>
      <c r="G38">
        <v>58.59</v>
      </c>
      <c r="H38">
        <v>5</v>
      </c>
    </row>
    <row r="39" spans="1:8">
      <c r="A39" s="1" t="s">
        <v>8</v>
      </c>
      <c r="B39" t="s">
        <v>69</v>
      </c>
      <c r="C39" t="s">
        <v>43</v>
      </c>
      <c r="D39">
        <v>99</v>
      </c>
      <c r="E39" t="s">
        <v>32</v>
      </c>
      <c r="F39">
        <v>447</v>
      </c>
      <c r="G39">
        <v>38.1</v>
      </c>
      <c r="H39">
        <v>3</v>
      </c>
    </row>
    <row r="40" spans="1:8">
      <c r="A40" s="1" t="s">
        <v>8</v>
      </c>
      <c r="B40" t="s">
        <v>70</v>
      </c>
      <c r="C40" t="s">
        <v>71</v>
      </c>
      <c r="D40">
        <v>66</v>
      </c>
      <c r="E40" t="s">
        <v>21</v>
      </c>
      <c r="F40">
        <v>270</v>
      </c>
      <c r="G40">
        <v>75.88</v>
      </c>
      <c r="H40">
        <v>3</v>
      </c>
    </row>
    <row r="41" spans="1:8">
      <c r="A41" s="1" t="s">
        <v>8</v>
      </c>
      <c r="B41" t="s">
        <v>72</v>
      </c>
      <c r="C41" t="s">
        <v>40</v>
      </c>
      <c r="D41">
        <v>6</v>
      </c>
      <c r="E41" t="s">
        <v>21</v>
      </c>
      <c r="F41">
        <v>155</v>
      </c>
      <c r="G41">
        <v>40.659999999999997</v>
      </c>
      <c r="H41">
        <v>1</v>
      </c>
    </row>
    <row r="42" spans="1:8">
      <c r="A42" s="1" t="s">
        <v>8</v>
      </c>
      <c r="B42" t="s">
        <v>73</v>
      </c>
      <c r="C42" t="s">
        <v>63</v>
      </c>
      <c r="D42">
        <v>21</v>
      </c>
      <c r="E42" t="s">
        <v>32</v>
      </c>
      <c r="F42">
        <v>371</v>
      </c>
      <c r="G42">
        <v>48.31</v>
      </c>
      <c r="H42">
        <v>0</v>
      </c>
    </row>
    <row r="43" spans="1:8">
      <c r="A43" s="1" t="s">
        <v>8</v>
      </c>
      <c r="B43" t="s">
        <v>74</v>
      </c>
      <c r="C43" t="s">
        <v>10</v>
      </c>
      <c r="D43">
        <v>113</v>
      </c>
      <c r="E43" t="s">
        <v>21</v>
      </c>
      <c r="F43">
        <v>380</v>
      </c>
      <c r="G43">
        <v>12.11</v>
      </c>
      <c r="H43">
        <v>0</v>
      </c>
    </row>
    <row r="44" spans="1:8">
      <c r="A44" s="1" t="s">
        <v>8</v>
      </c>
      <c r="B44" t="s">
        <v>75</v>
      </c>
      <c r="C44" t="s">
        <v>76</v>
      </c>
      <c r="D44">
        <v>81</v>
      </c>
      <c r="E44" t="s">
        <v>11</v>
      </c>
      <c r="F44">
        <v>154</v>
      </c>
      <c r="G44">
        <v>19.47</v>
      </c>
      <c r="H44">
        <v>3</v>
      </c>
    </row>
    <row r="45" spans="1:8">
      <c r="A45" s="1" t="s">
        <v>8</v>
      </c>
      <c r="B45" t="s">
        <v>77</v>
      </c>
      <c r="C45" t="s">
        <v>31</v>
      </c>
      <c r="D45">
        <v>15</v>
      </c>
      <c r="E45" t="s">
        <v>11</v>
      </c>
      <c r="F45">
        <v>403</v>
      </c>
      <c r="G45">
        <v>77.12</v>
      </c>
      <c r="H45">
        <v>1</v>
      </c>
    </row>
    <row r="46" spans="1:8">
      <c r="A46" s="1" t="s">
        <v>8</v>
      </c>
      <c r="B46" t="s">
        <v>78</v>
      </c>
      <c r="C46" t="s">
        <v>79</v>
      </c>
      <c r="D46">
        <v>101</v>
      </c>
      <c r="E46" t="s">
        <v>11</v>
      </c>
      <c r="F46">
        <v>176</v>
      </c>
      <c r="G46">
        <v>86</v>
      </c>
      <c r="H46">
        <v>3</v>
      </c>
    </row>
    <row r="47" spans="1:8">
      <c r="A47" s="1" t="s">
        <v>8</v>
      </c>
      <c r="B47" t="s">
        <v>80</v>
      </c>
      <c r="C47" t="s">
        <v>43</v>
      </c>
      <c r="D47">
        <v>59</v>
      </c>
      <c r="E47" t="s">
        <v>21</v>
      </c>
      <c r="F47">
        <v>454</v>
      </c>
      <c r="G47">
        <v>10.47</v>
      </c>
      <c r="H47">
        <v>5</v>
      </c>
    </row>
    <row r="48" spans="1:8">
      <c r="A48" s="1" t="s">
        <v>8</v>
      </c>
      <c r="B48" t="s">
        <v>81</v>
      </c>
      <c r="C48" t="s">
        <v>13</v>
      </c>
      <c r="D48">
        <v>14</v>
      </c>
      <c r="E48" t="s">
        <v>32</v>
      </c>
      <c r="F48">
        <v>75</v>
      </c>
      <c r="G48">
        <v>55.67</v>
      </c>
      <c r="H48">
        <v>3</v>
      </c>
    </row>
    <row r="49" spans="1:8">
      <c r="A49" s="1" t="s">
        <v>8</v>
      </c>
      <c r="B49" t="s">
        <v>82</v>
      </c>
      <c r="C49" t="s">
        <v>40</v>
      </c>
      <c r="D49">
        <v>46</v>
      </c>
      <c r="E49" t="s">
        <v>32</v>
      </c>
      <c r="F49">
        <v>283</v>
      </c>
      <c r="G49">
        <v>56.05</v>
      </c>
      <c r="H49">
        <v>1</v>
      </c>
    </row>
    <row r="50" spans="1:8">
      <c r="A50" s="1" t="s">
        <v>8</v>
      </c>
      <c r="B50" t="s">
        <v>83</v>
      </c>
      <c r="C50" t="s">
        <v>31</v>
      </c>
      <c r="D50">
        <v>72</v>
      </c>
      <c r="E50" t="s">
        <v>11</v>
      </c>
      <c r="F50">
        <v>160</v>
      </c>
      <c r="G50">
        <v>90.13</v>
      </c>
      <c r="H50">
        <v>2</v>
      </c>
    </row>
    <row r="51" spans="1:8">
      <c r="A51" s="1" t="s">
        <v>8</v>
      </c>
      <c r="B51" t="s">
        <v>84</v>
      </c>
      <c r="C51" t="s">
        <v>52</v>
      </c>
      <c r="D51">
        <v>103</v>
      </c>
      <c r="E51" t="s">
        <v>11</v>
      </c>
      <c r="F51">
        <v>105</v>
      </c>
      <c r="G51">
        <v>61.52</v>
      </c>
      <c r="H51">
        <v>3</v>
      </c>
    </row>
    <row r="52" spans="1:8">
      <c r="A52" s="1" t="s">
        <v>85</v>
      </c>
      <c r="B52" t="s">
        <v>86</v>
      </c>
      <c r="C52" t="s">
        <v>71</v>
      </c>
      <c r="D52">
        <v>25</v>
      </c>
      <c r="E52" t="s">
        <v>32</v>
      </c>
      <c r="F52">
        <v>64</v>
      </c>
      <c r="G52">
        <v>38.950000000000003</v>
      </c>
      <c r="H52">
        <v>5</v>
      </c>
    </row>
    <row r="53" spans="1:8">
      <c r="A53" s="1" t="s">
        <v>85</v>
      </c>
      <c r="B53" t="s">
        <v>87</v>
      </c>
      <c r="C53" t="s">
        <v>29</v>
      </c>
      <c r="D53">
        <v>99</v>
      </c>
      <c r="E53" t="s">
        <v>21</v>
      </c>
      <c r="F53">
        <v>493</v>
      </c>
      <c r="G53">
        <v>55.43</v>
      </c>
      <c r="H53">
        <v>2</v>
      </c>
    </row>
    <row r="54" spans="1:8">
      <c r="A54" s="1" t="s">
        <v>85</v>
      </c>
      <c r="B54" t="s">
        <v>88</v>
      </c>
      <c r="C54" t="s">
        <v>20</v>
      </c>
      <c r="D54">
        <v>59</v>
      </c>
      <c r="E54" t="s">
        <v>21</v>
      </c>
      <c r="F54">
        <v>192</v>
      </c>
      <c r="G54">
        <v>86.17</v>
      </c>
      <c r="H54">
        <v>1</v>
      </c>
    </row>
    <row r="55" spans="1:8">
      <c r="A55" s="1" t="s">
        <v>85</v>
      </c>
      <c r="B55" t="s">
        <v>89</v>
      </c>
      <c r="C55" t="s">
        <v>71</v>
      </c>
      <c r="D55">
        <v>20</v>
      </c>
      <c r="E55" t="s">
        <v>14</v>
      </c>
      <c r="F55">
        <v>26</v>
      </c>
      <c r="G55">
        <v>25.14</v>
      </c>
      <c r="H55">
        <v>0</v>
      </c>
    </row>
    <row r="56" spans="1:8">
      <c r="A56" s="1" t="s">
        <v>85</v>
      </c>
      <c r="B56" t="s">
        <v>90</v>
      </c>
      <c r="C56" t="s">
        <v>52</v>
      </c>
      <c r="D56">
        <v>44</v>
      </c>
      <c r="E56" t="s">
        <v>11</v>
      </c>
      <c r="F56">
        <v>137</v>
      </c>
      <c r="G56">
        <v>32.58</v>
      </c>
      <c r="H56">
        <v>0</v>
      </c>
    </row>
    <row r="57" spans="1:8">
      <c r="A57" s="1" t="s">
        <v>85</v>
      </c>
      <c r="B57" t="s">
        <v>91</v>
      </c>
      <c r="C57" t="s">
        <v>92</v>
      </c>
      <c r="D57">
        <v>102</v>
      </c>
      <c r="E57" t="s">
        <v>11</v>
      </c>
      <c r="F57">
        <v>283</v>
      </c>
      <c r="G57">
        <v>28.98</v>
      </c>
      <c r="H57">
        <v>3</v>
      </c>
    </row>
    <row r="58" spans="1:8">
      <c r="A58" s="1" t="s">
        <v>85</v>
      </c>
      <c r="B58" t="s">
        <v>93</v>
      </c>
      <c r="C58" t="s">
        <v>92</v>
      </c>
      <c r="D58">
        <v>91</v>
      </c>
      <c r="E58" t="s">
        <v>14</v>
      </c>
      <c r="F58">
        <v>300</v>
      </c>
      <c r="G58">
        <v>82.19</v>
      </c>
      <c r="H58">
        <v>1</v>
      </c>
    </row>
    <row r="59" spans="1:8">
      <c r="A59" s="1" t="s">
        <v>85</v>
      </c>
      <c r="B59" t="s">
        <v>94</v>
      </c>
      <c r="C59" t="s">
        <v>95</v>
      </c>
      <c r="D59">
        <v>40</v>
      </c>
      <c r="E59" t="s">
        <v>32</v>
      </c>
      <c r="F59">
        <v>345</v>
      </c>
      <c r="G59">
        <v>89.55</v>
      </c>
      <c r="H59">
        <v>3</v>
      </c>
    </row>
    <row r="60" spans="1:8">
      <c r="A60" s="1" t="s">
        <v>85</v>
      </c>
      <c r="B60" t="s">
        <v>96</v>
      </c>
      <c r="C60" t="s">
        <v>43</v>
      </c>
      <c r="D60">
        <v>81</v>
      </c>
      <c r="E60" t="s">
        <v>32</v>
      </c>
      <c r="F60">
        <v>137</v>
      </c>
      <c r="G60">
        <v>89.05</v>
      </c>
      <c r="H60">
        <v>0</v>
      </c>
    </row>
    <row r="61" spans="1:8">
      <c r="A61" s="1" t="s">
        <v>85</v>
      </c>
      <c r="B61" t="s">
        <v>97</v>
      </c>
      <c r="C61" t="s">
        <v>18</v>
      </c>
      <c r="D61">
        <v>82</v>
      </c>
      <c r="E61" t="s">
        <v>14</v>
      </c>
      <c r="F61">
        <v>132</v>
      </c>
      <c r="G61">
        <v>50.14</v>
      </c>
      <c r="H61">
        <v>5</v>
      </c>
    </row>
    <row r="62" spans="1:8">
      <c r="A62" s="1" t="s">
        <v>85</v>
      </c>
      <c r="B62" t="s">
        <v>98</v>
      </c>
      <c r="C62" t="s">
        <v>40</v>
      </c>
      <c r="D62">
        <v>116</v>
      </c>
      <c r="E62" t="s">
        <v>11</v>
      </c>
      <c r="F62">
        <v>486</v>
      </c>
      <c r="G62">
        <v>92.96</v>
      </c>
      <c r="H62">
        <v>5</v>
      </c>
    </row>
    <row r="63" spans="1:8">
      <c r="A63" s="1" t="s">
        <v>85</v>
      </c>
      <c r="B63" t="s">
        <v>99</v>
      </c>
      <c r="C63" t="s">
        <v>65</v>
      </c>
      <c r="D63">
        <v>80</v>
      </c>
      <c r="E63" t="s">
        <v>14</v>
      </c>
      <c r="F63">
        <v>260</v>
      </c>
      <c r="G63">
        <v>65.87</v>
      </c>
      <c r="H63">
        <v>3</v>
      </c>
    </row>
    <row r="64" spans="1:8">
      <c r="A64" s="1" t="s">
        <v>85</v>
      </c>
      <c r="B64" t="s">
        <v>100</v>
      </c>
      <c r="C64" t="s">
        <v>43</v>
      </c>
      <c r="D64">
        <v>83</v>
      </c>
      <c r="E64" t="s">
        <v>32</v>
      </c>
      <c r="F64">
        <v>284</v>
      </c>
      <c r="G64">
        <v>73.7</v>
      </c>
      <c r="H64">
        <v>0</v>
      </c>
    </row>
    <row r="65" spans="1:8">
      <c r="A65" s="1" t="s">
        <v>85</v>
      </c>
      <c r="B65" t="s">
        <v>101</v>
      </c>
      <c r="C65" t="s">
        <v>76</v>
      </c>
      <c r="D65">
        <v>72</v>
      </c>
      <c r="E65" t="s">
        <v>21</v>
      </c>
      <c r="F65">
        <v>51</v>
      </c>
      <c r="G65">
        <v>95.09</v>
      </c>
      <c r="H65">
        <v>0</v>
      </c>
    </row>
    <row r="66" spans="1:8">
      <c r="A66" s="1" t="s">
        <v>85</v>
      </c>
      <c r="B66" t="s">
        <v>102</v>
      </c>
      <c r="C66" t="s">
        <v>29</v>
      </c>
      <c r="D66">
        <v>86</v>
      </c>
      <c r="E66" t="s">
        <v>11</v>
      </c>
      <c r="F66">
        <v>237</v>
      </c>
      <c r="G66">
        <v>85.82</v>
      </c>
      <c r="H66">
        <v>5</v>
      </c>
    </row>
    <row r="67" spans="1:8">
      <c r="A67" s="1" t="s">
        <v>85</v>
      </c>
      <c r="B67" t="s">
        <v>103</v>
      </c>
      <c r="C67" t="s">
        <v>31</v>
      </c>
      <c r="D67">
        <v>114</v>
      </c>
      <c r="E67" t="s">
        <v>32</v>
      </c>
      <c r="F67">
        <v>283</v>
      </c>
      <c r="G67">
        <v>29.15</v>
      </c>
      <c r="H67">
        <v>3</v>
      </c>
    </row>
    <row r="68" spans="1:8">
      <c r="A68" s="1" t="s">
        <v>85</v>
      </c>
      <c r="B68" t="s">
        <v>104</v>
      </c>
      <c r="C68" t="s">
        <v>61</v>
      </c>
      <c r="D68">
        <v>74</v>
      </c>
      <c r="E68" t="s">
        <v>32</v>
      </c>
      <c r="F68">
        <v>208</v>
      </c>
      <c r="G68">
        <v>39.56</v>
      </c>
      <c r="H68">
        <v>0</v>
      </c>
    </row>
    <row r="69" spans="1:8">
      <c r="A69" s="1" t="s">
        <v>85</v>
      </c>
      <c r="B69" t="s">
        <v>105</v>
      </c>
      <c r="C69" t="s">
        <v>65</v>
      </c>
      <c r="D69">
        <v>83</v>
      </c>
      <c r="E69" t="s">
        <v>21</v>
      </c>
      <c r="F69">
        <v>14</v>
      </c>
      <c r="G69">
        <v>58.07</v>
      </c>
      <c r="H69">
        <v>3</v>
      </c>
    </row>
    <row r="70" spans="1:8">
      <c r="A70" s="1" t="s">
        <v>85</v>
      </c>
      <c r="B70" t="s">
        <v>106</v>
      </c>
      <c r="C70" t="s">
        <v>107</v>
      </c>
      <c r="D70">
        <v>16</v>
      </c>
      <c r="E70" t="s">
        <v>14</v>
      </c>
      <c r="F70">
        <v>390</v>
      </c>
      <c r="G70">
        <v>98.17</v>
      </c>
      <c r="H70">
        <v>5</v>
      </c>
    </row>
    <row r="71" spans="1:8">
      <c r="A71" s="1" t="s">
        <v>85</v>
      </c>
      <c r="B71" t="s">
        <v>108</v>
      </c>
      <c r="C71" t="s">
        <v>52</v>
      </c>
      <c r="D71">
        <v>74</v>
      </c>
      <c r="E71" t="s">
        <v>21</v>
      </c>
      <c r="F71">
        <v>9</v>
      </c>
      <c r="G71">
        <v>99.89</v>
      </c>
      <c r="H71">
        <v>0</v>
      </c>
    </row>
    <row r="72" spans="1:8">
      <c r="A72" s="1" t="s">
        <v>85</v>
      </c>
      <c r="B72" t="s">
        <v>109</v>
      </c>
      <c r="C72" t="s">
        <v>40</v>
      </c>
      <c r="D72">
        <v>83</v>
      </c>
      <c r="E72" t="s">
        <v>14</v>
      </c>
      <c r="F72">
        <v>126</v>
      </c>
      <c r="G72">
        <v>67.17</v>
      </c>
      <c r="H72">
        <v>1</v>
      </c>
    </row>
    <row r="73" spans="1:8">
      <c r="A73" s="1" t="s">
        <v>85</v>
      </c>
      <c r="B73" t="s">
        <v>110</v>
      </c>
      <c r="C73" t="s">
        <v>111</v>
      </c>
      <c r="D73">
        <v>80</v>
      </c>
      <c r="E73" t="s">
        <v>21</v>
      </c>
      <c r="F73">
        <v>155</v>
      </c>
      <c r="G73">
        <v>28.96</v>
      </c>
      <c r="H73">
        <v>2</v>
      </c>
    </row>
    <row r="74" spans="1:8">
      <c r="A74" s="1" t="s">
        <v>85</v>
      </c>
      <c r="B74" t="s">
        <v>112</v>
      </c>
      <c r="C74" t="s">
        <v>40</v>
      </c>
      <c r="D74">
        <v>53</v>
      </c>
      <c r="E74" t="s">
        <v>11</v>
      </c>
      <c r="F74">
        <v>385</v>
      </c>
      <c r="G74">
        <v>68.78</v>
      </c>
      <c r="H74">
        <v>3</v>
      </c>
    </row>
    <row r="75" spans="1:8">
      <c r="A75" s="1" t="s">
        <v>85</v>
      </c>
      <c r="B75" t="s">
        <v>113</v>
      </c>
      <c r="C75" t="s">
        <v>45</v>
      </c>
      <c r="D75">
        <v>86</v>
      </c>
      <c r="E75" t="s">
        <v>14</v>
      </c>
      <c r="F75">
        <v>460</v>
      </c>
      <c r="G75">
        <v>22.81</v>
      </c>
      <c r="H75">
        <v>4</v>
      </c>
    </row>
    <row r="76" spans="1:8">
      <c r="A76" s="1" t="s">
        <v>85</v>
      </c>
      <c r="B76" t="s">
        <v>114</v>
      </c>
      <c r="C76" t="s">
        <v>18</v>
      </c>
      <c r="D76">
        <v>111</v>
      </c>
      <c r="E76" t="s">
        <v>32</v>
      </c>
      <c r="F76">
        <v>103</v>
      </c>
      <c r="G76">
        <v>32.06</v>
      </c>
      <c r="H76">
        <v>0</v>
      </c>
    </row>
    <row r="77" spans="1:8">
      <c r="A77" s="1" t="s">
        <v>85</v>
      </c>
      <c r="B77" t="s">
        <v>115</v>
      </c>
      <c r="C77" t="s">
        <v>43</v>
      </c>
      <c r="D77">
        <v>86</v>
      </c>
      <c r="E77" t="s">
        <v>11</v>
      </c>
      <c r="F77">
        <v>252</v>
      </c>
      <c r="G77">
        <v>96.5</v>
      </c>
      <c r="H77">
        <v>5</v>
      </c>
    </row>
    <row r="78" spans="1:8">
      <c r="A78" s="1" t="s">
        <v>85</v>
      </c>
      <c r="B78" t="s">
        <v>116</v>
      </c>
      <c r="C78" t="s">
        <v>71</v>
      </c>
      <c r="D78">
        <v>70</v>
      </c>
      <c r="E78" t="s">
        <v>11</v>
      </c>
      <c r="F78">
        <v>290</v>
      </c>
      <c r="G78">
        <v>96.31</v>
      </c>
      <c r="H78">
        <v>1</v>
      </c>
    </row>
    <row r="79" spans="1:8">
      <c r="A79" s="1" t="s">
        <v>85</v>
      </c>
      <c r="B79" t="s">
        <v>117</v>
      </c>
      <c r="C79" t="s">
        <v>92</v>
      </c>
      <c r="D79">
        <v>98</v>
      </c>
      <c r="E79" t="s">
        <v>11</v>
      </c>
      <c r="F79">
        <v>482</v>
      </c>
      <c r="G79">
        <v>55.04</v>
      </c>
      <c r="H79">
        <v>5</v>
      </c>
    </row>
    <row r="80" spans="1:8">
      <c r="A80" s="1" t="s">
        <v>85</v>
      </c>
      <c r="B80" t="s">
        <v>118</v>
      </c>
      <c r="C80" t="s">
        <v>20</v>
      </c>
      <c r="D80">
        <v>12</v>
      </c>
      <c r="E80" t="s">
        <v>11</v>
      </c>
      <c r="F80">
        <v>305</v>
      </c>
      <c r="G80">
        <v>59.96</v>
      </c>
      <c r="H80">
        <v>3</v>
      </c>
    </row>
    <row r="81" spans="1:8">
      <c r="A81" s="1" t="s">
        <v>85</v>
      </c>
      <c r="B81" t="s">
        <v>119</v>
      </c>
      <c r="C81" t="s">
        <v>36</v>
      </c>
      <c r="D81">
        <v>95</v>
      </c>
      <c r="E81" t="s">
        <v>14</v>
      </c>
      <c r="F81">
        <v>33</v>
      </c>
      <c r="G81">
        <v>35.32</v>
      </c>
      <c r="H81">
        <v>0</v>
      </c>
    </row>
    <row r="82" spans="1:8">
      <c r="A82" s="1" t="s">
        <v>85</v>
      </c>
      <c r="B82" t="s">
        <v>120</v>
      </c>
      <c r="C82" t="s">
        <v>10</v>
      </c>
      <c r="D82">
        <v>11</v>
      </c>
      <c r="E82" t="s">
        <v>14</v>
      </c>
      <c r="F82">
        <v>402</v>
      </c>
      <c r="G82">
        <v>69.599999999999994</v>
      </c>
      <c r="H82">
        <v>5</v>
      </c>
    </row>
    <row r="83" spans="1:8">
      <c r="A83" s="1" t="s">
        <v>85</v>
      </c>
      <c r="B83" t="s">
        <v>121</v>
      </c>
      <c r="C83" t="s">
        <v>92</v>
      </c>
      <c r="D83">
        <v>51</v>
      </c>
      <c r="E83" t="s">
        <v>21</v>
      </c>
      <c r="F83">
        <v>58</v>
      </c>
      <c r="G83">
        <v>34.6</v>
      </c>
      <c r="H83">
        <v>5</v>
      </c>
    </row>
    <row r="84" spans="1:8">
      <c r="A84" s="1" t="s">
        <v>85</v>
      </c>
      <c r="B84" t="s">
        <v>122</v>
      </c>
      <c r="C84" t="s">
        <v>20</v>
      </c>
      <c r="D84">
        <v>94</v>
      </c>
      <c r="E84" t="s">
        <v>21</v>
      </c>
      <c r="F84">
        <v>122</v>
      </c>
      <c r="G84">
        <v>95.74</v>
      </c>
      <c r="H84">
        <v>5</v>
      </c>
    </row>
    <row r="85" spans="1:8">
      <c r="A85" s="1" t="s">
        <v>85</v>
      </c>
      <c r="B85" t="s">
        <v>123</v>
      </c>
      <c r="C85" t="s">
        <v>29</v>
      </c>
      <c r="D85">
        <v>58</v>
      </c>
      <c r="E85" t="s">
        <v>14</v>
      </c>
      <c r="F85">
        <v>423</v>
      </c>
      <c r="G85">
        <v>80.459999999999994</v>
      </c>
      <c r="H85">
        <v>0</v>
      </c>
    </row>
    <row r="86" spans="1:8">
      <c r="A86" s="1" t="s">
        <v>85</v>
      </c>
      <c r="B86" t="s">
        <v>124</v>
      </c>
      <c r="C86" t="s">
        <v>43</v>
      </c>
      <c r="D86">
        <v>36</v>
      </c>
      <c r="E86" t="s">
        <v>14</v>
      </c>
      <c r="F86">
        <v>247</v>
      </c>
      <c r="G86">
        <v>24.53</v>
      </c>
      <c r="H86">
        <v>2</v>
      </c>
    </row>
    <row r="87" spans="1:8">
      <c r="A87" s="1" t="s">
        <v>85</v>
      </c>
      <c r="B87" t="s">
        <v>125</v>
      </c>
      <c r="C87" t="s">
        <v>20</v>
      </c>
      <c r="D87">
        <v>22</v>
      </c>
      <c r="E87" t="s">
        <v>21</v>
      </c>
      <c r="F87">
        <v>119</v>
      </c>
      <c r="G87">
        <v>72.86</v>
      </c>
      <c r="H87">
        <v>3</v>
      </c>
    </row>
    <row r="88" spans="1:8">
      <c r="A88" s="1" t="s">
        <v>85</v>
      </c>
      <c r="B88" t="s">
        <v>126</v>
      </c>
      <c r="C88" t="s">
        <v>63</v>
      </c>
      <c r="D88">
        <v>111</v>
      </c>
      <c r="E88" t="s">
        <v>21</v>
      </c>
      <c r="F88">
        <v>324</v>
      </c>
      <c r="G88">
        <v>18.07</v>
      </c>
      <c r="H88">
        <v>2</v>
      </c>
    </row>
    <row r="89" spans="1:8">
      <c r="A89" s="1" t="s">
        <v>85</v>
      </c>
      <c r="B89" t="s">
        <v>127</v>
      </c>
      <c r="C89" t="s">
        <v>45</v>
      </c>
      <c r="D89">
        <v>70</v>
      </c>
      <c r="E89" t="s">
        <v>14</v>
      </c>
      <c r="F89">
        <v>31</v>
      </c>
      <c r="G89">
        <v>71.2</v>
      </c>
      <c r="H89">
        <v>4</v>
      </c>
    </row>
    <row r="90" spans="1:8">
      <c r="A90" s="1" t="s">
        <v>85</v>
      </c>
      <c r="B90" t="s">
        <v>128</v>
      </c>
      <c r="C90" t="s">
        <v>29</v>
      </c>
      <c r="D90">
        <v>103</v>
      </c>
      <c r="E90" t="s">
        <v>14</v>
      </c>
      <c r="F90">
        <v>300</v>
      </c>
      <c r="G90">
        <v>13.76</v>
      </c>
      <c r="H90">
        <v>4</v>
      </c>
    </row>
    <row r="91" spans="1:8">
      <c r="A91" s="1" t="s">
        <v>85</v>
      </c>
      <c r="B91" t="s">
        <v>129</v>
      </c>
      <c r="C91" t="s">
        <v>18</v>
      </c>
      <c r="D91">
        <v>12</v>
      </c>
      <c r="E91" t="s">
        <v>32</v>
      </c>
      <c r="F91">
        <v>208</v>
      </c>
      <c r="G91">
        <v>16.29</v>
      </c>
      <c r="H91">
        <v>4</v>
      </c>
    </row>
    <row r="92" spans="1:8">
      <c r="A92" s="1" t="s">
        <v>85</v>
      </c>
      <c r="B92" t="s">
        <v>130</v>
      </c>
      <c r="C92" t="s">
        <v>29</v>
      </c>
      <c r="D92">
        <v>6</v>
      </c>
      <c r="E92" t="s">
        <v>32</v>
      </c>
      <c r="F92">
        <v>162</v>
      </c>
      <c r="G92">
        <v>99.93</v>
      </c>
      <c r="H92">
        <v>0</v>
      </c>
    </row>
    <row r="93" spans="1:8">
      <c r="A93" s="1" t="s">
        <v>85</v>
      </c>
      <c r="B93" t="s">
        <v>131</v>
      </c>
      <c r="C93" t="s">
        <v>29</v>
      </c>
      <c r="D93">
        <v>42</v>
      </c>
      <c r="E93" t="s">
        <v>21</v>
      </c>
      <c r="F93">
        <v>385</v>
      </c>
      <c r="G93">
        <v>96.52</v>
      </c>
      <c r="H93">
        <v>1</v>
      </c>
    </row>
    <row r="94" spans="1:8">
      <c r="A94" s="1" t="s">
        <v>85</v>
      </c>
      <c r="B94" t="s">
        <v>132</v>
      </c>
      <c r="C94" t="s">
        <v>13</v>
      </c>
      <c r="D94">
        <v>57</v>
      </c>
      <c r="E94" t="s">
        <v>14</v>
      </c>
      <c r="F94">
        <v>208</v>
      </c>
      <c r="G94">
        <v>85.66</v>
      </c>
      <c r="H94">
        <v>5</v>
      </c>
    </row>
    <row r="95" spans="1:8">
      <c r="A95" s="1" t="s">
        <v>85</v>
      </c>
      <c r="B95" t="s">
        <v>133</v>
      </c>
      <c r="C95" t="s">
        <v>36</v>
      </c>
      <c r="D95">
        <v>72</v>
      </c>
      <c r="E95" t="s">
        <v>11</v>
      </c>
      <c r="F95">
        <v>333</v>
      </c>
      <c r="G95">
        <v>34.57</v>
      </c>
      <c r="H95">
        <v>2</v>
      </c>
    </row>
    <row r="96" spans="1:8">
      <c r="A96" s="1" t="s">
        <v>85</v>
      </c>
      <c r="B96" t="s">
        <v>134</v>
      </c>
      <c r="C96" t="s">
        <v>71</v>
      </c>
      <c r="D96">
        <v>50</v>
      </c>
      <c r="E96" t="s">
        <v>14</v>
      </c>
      <c r="F96">
        <v>258</v>
      </c>
      <c r="G96">
        <v>25.06</v>
      </c>
      <c r="H96">
        <v>4</v>
      </c>
    </row>
    <row r="97" spans="1:8">
      <c r="A97" s="1" t="s">
        <v>85</v>
      </c>
      <c r="B97" t="s">
        <v>135</v>
      </c>
      <c r="C97" t="s">
        <v>29</v>
      </c>
      <c r="D97">
        <v>80</v>
      </c>
      <c r="E97" t="s">
        <v>32</v>
      </c>
      <c r="F97">
        <v>121</v>
      </c>
      <c r="G97">
        <v>83.14</v>
      </c>
      <c r="H97">
        <v>5</v>
      </c>
    </row>
    <row r="98" spans="1:8">
      <c r="A98" s="1" t="s">
        <v>85</v>
      </c>
      <c r="B98" t="s">
        <v>136</v>
      </c>
      <c r="C98" t="s">
        <v>61</v>
      </c>
      <c r="D98">
        <v>58</v>
      </c>
      <c r="E98" t="s">
        <v>21</v>
      </c>
      <c r="F98">
        <v>61</v>
      </c>
      <c r="G98">
        <v>58.64</v>
      </c>
      <c r="H98">
        <v>3</v>
      </c>
    </row>
    <row r="99" spans="1:8">
      <c r="A99" s="1" t="s">
        <v>85</v>
      </c>
      <c r="B99" t="s">
        <v>137</v>
      </c>
      <c r="C99" t="s">
        <v>45</v>
      </c>
      <c r="D99">
        <v>4</v>
      </c>
      <c r="E99" t="s">
        <v>14</v>
      </c>
      <c r="F99">
        <v>453</v>
      </c>
      <c r="G99">
        <v>75.260000000000005</v>
      </c>
      <c r="H99">
        <v>5</v>
      </c>
    </row>
    <row r="100" spans="1:8">
      <c r="A100" s="1" t="s">
        <v>85</v>
      </c>
      <c r="B100" t="s">
        <v>138</v>
      </c>
      <c r="C100" t="s">
        <v>26</v>
      </c>
      <c r="D100">
        <v>91</v>
      </c>
      <c r="E100" t="s">
        <v>32</v>
      </c>
      <c r="F100">
        <v>467</v>
      </c>
      <c r="G100">
        <v>84.74</v>
      </c>
      <c r="H100">
        <v>1</v>
      </c>
    </row>
    <row r="101" spans="1:8">
      <c r="A101" s="1" t="s">
        <v>85</v>
      </c>
      <c r="B101" t="s">
        <v>139</v>
      </c>
      <c r="C101" t="s">
        <v>71</v>
      </c>
      <c r="D101">
        <v>30</v>
      </c>
      <c r="E101" t="s">
        <v>32</v>
      </c>
      <c r="F101">
        <v>197</v>
      </c>
      <c r="G101">
        <v>15.42</v>
      </c>
      <c r="H101">
        <v>0</v>
      </c>
    </row>
    <row r="102" spans="1:8">
      <c r="A102" s="1" t="s">
        <v>140</v>
      </c>
      <c r="B102" t="s">
        <v>141</v>
      </c>
      <c r="C102" t="s">
        <v>38</v>
      </c>
      <c r="D102">
        <v>29</v>
      </c>
      <c r="E102" t="s">
        <v>21</v>
      </c>
      <c r="F102">
        <v>124</v>
      </c>
      <c r="G102">
        <v>43.83</v>
      </c>
      <c r="H102">
        <v>5</v>
      </c>
    </row>
    <row r="103" spans="1:8">
      <c r="A103" s="1" t="s">
        <v>140</v>
      </c>
      <c r="B103" t="s">
        <v>142</v>
      </c>
      <c r="C103" t="s">
        <v>79</v>
      </c>
      <c r="D103">
        <v>53</v>
      </c>
      <c r="E103" t="s">
        <v>21</v>
      </c>
      <c r="F103">
        <v>345</v>
      </c>
      <c r="G103">
        <v>83.73</v>
      </c>
      <c r="H103">
        <v>0</v>
      </c>
    </row>
    <row r="104" spans="1:8">
      <c r="A104" s="1" t="s">
        <v>140</v>
      </c>
      <c r="B104" t="s">
        <v>143</v>
      </c>
      <c r="C104" t="s">
        <v>13</v>
      </c>
      <c r="D104">
        <v>67</v>
      </c>
      <c r="E104" t="s">
        <v>21</v>
      </c>
      <c r="F104">
        <v>264</v>
      </c>
      <c r="G104">
        <v>97.89</v>
      </c>
      <c r="H104">
        <v>1</v>
      </c>
    </row>
    <row r="105" spans="1:8">
      <c r="A105" s="1" t="s">
        <v>140</v>
      </c>
      <c r="B105" t="s">
        <v>144</v>
      </c>
      <c r="C105" t="s">
        <v>92</v>
      </c>
      <c r="D105">
        <v>98</v>
      </c>
      <c r="E105" t="s">
        <v>14</v>
      </c>
      <c r="F105">
        <v>52</v>
      </c>
      <c r="G105">
        <v>52.82</v>
      </c>
      <c r="H105">
        <v>2</v>
      </c>
    </row>
    <row r="106" spans="1:8">
      <c r="A106" s="1" t="s">
        <v>140</v>
      </c>
      <c r="B106" t="s">
        <v>145</v>
      </c>
      <c r="C106" t="s">
        <v>38</v>
      </c>
      <c r="D106">
        <v>69</v>
      </c>
      <c r="E106" t="s">
        <v>14</v>
      </c>
      <c r="F106">
        <v>306</v>
      </c>
      <c r="G106">
        <v>13.97</v>
      </c>
      <c r="H106">
        <v>1</v>
      </c>
    </row>
    <row r="107" spans="1:8">
      <c r="A107" s="1" t="s">
        <v>140</v>
      </c>
      <c r="B107" t="s">
        <v>146</v>
      </c>
      <c r="C107" t="s">
        <v>61</v>
      </c>
      <c r="D107">
        <v>43</v>
      </c>
      <c r="E107" t="s">
        <v>14</v>
      </c>
      <c r="F107">
        <v>181</v>
      </c>
      <c r="G107">
        <v>72.39</v>
      </c>
      <c r="H107">
        <v>2</v>
      </c>
    </row>
    <row r="108" spans="1:8">
      <c r="A108" s="1" t="s">
        <v>140</v>
      </c>
      <c r="B108" t="s">
        <v>147</v>
      </c>
      <c r="C108" t="s">
        <v>10</v>
      </c>
      <c r="D108">
        <v>87</v>
      </c>
      <c r="E108" t="s">
        <v>11</v>
      </c>
      <c r="F108">
        <v>450</v>
      </c>
      <c r="G108">
        <v>64.3</v>
      </c>
      <c r="H108">
        <v>2</v>
      </c>
    </row>
    <row r="109" spans="1:8">
      <c r="A109" s="1" t="s">
        <v>140</v>
      </c>
      <c r="B109" t="s">
        <v>148</v>
      </c>
      <c r="C109" t="s">
        <v>79</v>
      </c>
      <c r="D109">
        <v>74</v>
      </c>
      <c r="E109" t="s">
        <v>11</v>
      </c>
      <c r="F109">
        <v>371</v>
      </c>
      <c r="G109">
        <v>53.27</v>
      </c>
      <c r="H109">
        <v>3</v>
      </c>
    </row>
    <row r="110" spans="1:8">
      <c r="A110" s="1" t="s">
        <v>140</v>
      </c>
      <c r="B110" t="s">
        <v>149</v>
      </c>
      <c r="C110" t="s">
        <v>92</v>
      </c>
      <c r="D110">
        <v>29</v>
      </c>
      <c r="E110" t="s">
        <v>11</v>
      </c>
      <c r="F110">
        <v>34</v>
      </c>
      <c r="G110">
        <v>86.68</v>
      </c>
      <c r="H110">
        <v>1</v>
      </c>
    </row>
    <row r="111" spans="1:8">
      <c r="A111" s="1" t="s">
        <v>140</v>
      </c>
      <c r="B111" t="s">
        <v>150</v>
      </c>
      <c r="C111" t="s">
        <v>79</v>
      </c>
      <c r="D111">
        <v>59</v>
      </c>
      <c r="E111" t="s">
        <v>14</v>
      </c>
      <c r="F111">
        <v>196</v>
      </c>
      <c r="G111">
        <v>62.53</v>
      </c>
      <c r="H111">
        <v>0</v>
      </c>
    </row>
    <row r="112" spans="1:8">
      <c r="A112" s="1" t="s">
        <v>140</v>
      </c>
      <c r="B112" t="s">
        <v>151</v>
      </c>
      <c r="C112" t="s">
        <v>13</v>
      </c>
      <c r="D112">
        <v>7</v>
      </c>
      <c r="E112" t="s">
        <v>32</v>
      </c>
      <c r="F112">
        <v>303</v>
      </c>
      <c r="G112">
        <v>60.95</v>
      </c>
      <c r="H112">
        <v>0</v>
      </c>
    </row>
    <row r="113" spans="1:8">
      <c r="A113" s="1" t="s">
        <v>140</v>
      </c>
      <c r="B113" t="s">
        <v>152</v>
      </c>
      <c r="C113" t="s">
        <v>18</v>
      </c>
      <c r="D113">
        <v>109</v>
      </c>
      <c r="E113" t="s">
        <v>11</v>
      </c>
      <c r="F113">
        <v>480</v>
      </c>
      <c r="G113">
        <v>31.36</v>
      </c>
      <c r="H113">
        <v>0</v>
      </c>
    </row>
    <row r="114" spans="1:8">
      <c r="A114" s="1" t="s">
        <v>140</v>
      </c>
      <c r="B114" t="s">
        <v>153</v>
      </c>
      <c r="C114" t="s">
        <v>71</v>
      </c>
      <c r="D114">
        <v>54</v>
      </c>
      <c r="E114" t="s">
        <v>14</v>
      </c>
      <c r="F114">
        <v>99</v>
      </c>
      <c r="G114">
        <v>39.58</v>
      </c>
      <c r="H114">
        <v>0</v>
      </c>
    </row>
    <row r="115" spans="1:8">
      <c r="A115" s="1" t="s">
        <v>140</v>
      </c>
      <c r="B115" t="s">
        <v>154</v>
      </c>
      <c r="C115" t="s">
        <v>24</v>
      </c>
      <c r="D115">
        <v>79</v>
      </c>
      <c r="E115" t="s">
        <v>21</v>
      </c>
      <c r="F115">
        <v>403</v>
      </c>
      <c r="G115">
        <v>21.49</v>
      </c>
      <c r="H115">
        <v>0</v>
      </c>
    </row>
    <row r="116" spans="1:8">
      <c r="A116" s="1" t="s">
        <v>140</v>
      </c>
      <c r="B116" t="s">
        <v>155</v>
      </c>
      <c r="C116" t="s">
        <v>31</v>
      </c>
      <c r="D116">
        <v>84</v>
      </c>
      <c r="E116" t="s">
        <v>14</v>
      </c>
      <c r="F116">
        <v>317</v>
      </c>
      <c r="G116">
        <v>36.200000000000003</v>
      </c>
      <c r="H116">
        <v>3</v>
      </c>
    </row>
    <row r="117" spans="1:8">
      <c r="A117" s="1" t="s">
        <v>140</v>
      </c>
      <c r="B117" t="s">
        <v>156</v>
      </c>
      <c r="C117" t="s">
        <v>57</v>
      </c>
      <c r="D117">
        <v>42</v>
      </c>
      <c r="E117" t="s">
        <v>21</v>
      </c>
      <c r="F117">
        <v>173</v>
      </c>
      <c r="G117">
        <v>69.19</v>
      </c>
      <c r="H117">
        <v>4</v>
      </c>
    </row>
    <row r="118" spans="1:8">
      <c r="A118" s="1" t="s">
        <v>140</v>
      </c>
      <c r="B118" t="s">
        <v>157</v>
      </c>
      <c r="C118" t="s">
        <v>92</v>
      </c>
      <c r="D118">
        <v>118</v>
      </c>
      <c r="E118" t="s">
        <v>21</v>
      </c>
      <c r="F118">
        <v>430</v>
      </c>
      <c r="G118">
        <v>36.97</v>
      </c>
      <c r="H118">
        <v>2</v>
      </c>
    </row>
    <row r="119" spans="1:8">
      <c r="A119" s="1" t="s">
        <v>140</v>
      </c>
      <c r="B119" t="s">
        <v>158</v>
      </c>
      <c r="C119" t="s">
        <v>65</v>
      </c>
      <c r="D119">
        <v>95</v>
      </c>
      <c r="E119" t="s">
        <v>11</v>
      </c>
      <c r="F119">
        <v>95</v>
      </c>
      <c r="G119">
        <v>82.65</v>
      </c>
      <c r="H119">
        <v>2</v>
      </c>
    </row>
    <row r="120" spans="1:8">
      <c r="A120" s="1" t="s">
        <v>140</v>
      </c>
      <c r="B120" t="s">
        <v>159</v>
      </c>
      <c r="C120" t="s">
        <v>43</v>
      </c>
      <c r="D120">
        <v>88</v>
      </c>
      <c r="E120" t="s">
        <v>21</v>
      </c>
      <c r="F120">
        <v>319</v>
      </c>
      <c r="G120">
        <v>56.18</v>
      </c>
      <c r="H120">
        <v>0</v>
      </c>
    </row>
    <row r="121" spans="1:8">
      <c r="A121" s="1" t="s">
        <v>140</v>
      </c>
      <c r="B121" t="s">
        <v>160</v>
      </c>
      <c r="C121" t="s">
        <v>16</v>
      </c>
      <c r="D121">
        <v>4</v>
      </c>
      <c r="E121" t="s">
        <v>14</v>
      </c>
      <c r="F121">
        <v>227</v>
      </c>
      <c r="G121">
        <v>83.32</v>
      </c>
      <c r="H121">
        <v>2</v>
      </c>
    </row>
    <row r="122" spans="1:8">
      <c r="A122" s="1" t="s">
        <v>140</v>
      </c>
      <c r="B122" t="s">
        <v>161</v>
      </c>
      <c r="C122" t="s">
        <v>20</v>
      </c>
      <c r="D122">
        <v>72</v>
      </c>
      <c r="E122" t="s">
        <v>32</v>
      </c>
      <c r="F122">
        <v>5</v>
      </c>
      <c r="G122">
        <v>68.650000000000006</v>
      </c>
      <c r="H122">
        <v>0</v>
      </c>
    </row>
    <row r="123" spans="1:8">
      <c r="A123" s="1" t="s">
        <v>140</v>
      </c>
      <c r="B123" t="s">
        <v>162</v>
      </c>
      <c r="C123" t="s">
        <v>65</v>
      </c>
      <c r="D123">
        <v>7</v>
      </c>
      <c r="E123" t="s">
        <v>32</v>
      </c>
      <c r="F123">
        <v>317</v>
      </c>
      <c r="G123">
        <v>97.32</v>
      </c>
      <c r="H123">
        <v>1</v>
      </c>
    </row>
    <row r="124" spans="1:8">
      <c r="A124" s="1" t="s">
        <v>140</v>
      </c>
      <c r="B124" t="s">
        <v>163</v>
      </c>
      <c r="C124" t="s">
        <v>36</v>
      </c>
      <c r="D124">
        <v>11</v>
      </c>
      <c r="E124" t="s">
        <v>14</v>
      </c>
      <c r="F124">
        <v>215</v>
      </c>
      <c r="G124">
        <v>51.99</v>
      </c>
      <c r="H124">
        <v>1</v>
      </c>
    </row>
    <row r="125" spans="1:8">
      <c r="A125" s="1" t="s">
        <v>140</v>
      </c>
      <c r="B125" t="s">
        <v>164</v>
      </c>
      <c r="C125" t="s">
        <v>24</v>
      </c>
      <c r="D125">
        <v>33</v>
      </c>
      <c r="E125" t="s">
        <v>21</v>
      </c>
      <c r="F125">
        <v>337</v>
      </c>
      <c r="G125">
        <v>62.61</v>
      </c>
      <c r="H125">
        <v>2</v>
      </c>
    </row>
    <row r="126" spans="1:8">
      <c r="A126" s="1" t="s">
        <v>140</v>
      </c>
      <c r="B126" t="s">
        <v>165</v>
      </c>
      <c r="C126" t="s">
        <v>26</v>
      </c>
      <c r="D126">
        <v>-36</v>
      </c>
      <c r="E126" t="s">
        <v>14</v>
      </c>
      <c r="F126">
        <v>404</v>
      </c>
      <c r="G126">
        <v>40.21</v>
      </c>
      <c r="H126">
        <v>1</v>
      </c>
    </row>
    <row r="127" spans="1:8">
      <c r="A127" s="1" t="s">
        <v>140</v>
      </c>
      <c r="B127" t="s">
        <v>166</v>
      </c>
      <c r="C127" t="s">
        <v>43</v>
      </c>
      <c r="D127">
        <v>88</v>
      </c>
      <c r="E127" t="s">
        <v>32</v>
      </c>
      <c r="F127">
        <v>232</v>
      </c>
      <c r="G127">
        <v>40.94</v>
      </c>
      <c r="H127">
        <v>2</v>
      </c>
    </row>
    <row r="128" spans="1:8">
      <c r="A128" s="1" t="s">
        <v>140</v>
      </c>
      <c r="B128" t="s">
        <v>167</v>
      </c>
      <c r="C128" t="s">
        <v>36</v>
      </c>
      <c r="D128">
        <v>69</v>
      </c>
      <c r="E128" t="s">
        <v>11</v>
      </c>
      <c r="F128">
        <v>463</v>
      </c>
      <c r="G128">
        <v>19.440000000000001</v>
      </c>
      <c r="H128">
        <v>0</v>
      </c>
    </row>
    <row r="129" spans="1:8">
      <c r="A129" s="1" t="s">
        <v>140</v>
      </c>
      <c r="B129" t="s">
        <v>168</v>
      </c>
      <c r="C129" t="s">
        <v>92</v>
      </c>
      <c r="D129">
        <v>36</v>
      </c>
      <c r="E129" t="s">
        <v>32</v>
      </c>
      <c r="F129">
        <v>400</v>
      </c>
      <c r="G129">
        <v>60.35</v>
      </c>
      <c r="H129">
        <v>1</v>
      </c>
    </row>
    <row r="130" spans="1:8">
      <c r="A130" s="1" t="s">
        <v>140</v>
      </c>
      <c r="B130" t="s">
        <v>169</v>
      </c>
      <c r="C130" t="s">
        <v>16</v>
      </c>
      <c r="D130">
        <v>47</v>
      </c>
      <c r="E130" t="s">
        <v>14</v>
      </c>
      <c r="F130">
        <v>98</v>
      </c>
      <c r="G130">
        <v>16.16</v>
      </c>
      <c r="H130">
        <v>5</v>
      </c>
    </row>
    <row r="131" spans="1:8">
      <c r="A131" s="1" t="s">
        <v>140</v>
      </c>
      <c r="B131" t="s">
        <v>170</v>
      </c>
      <c r="C131" t="s">
        <v>45</v>
      </c>
      <c r="D131">
        <v>114</v>
      </c>
      <c r="E131" t="s">
        <v>32</v>
      </c>
      <c r="F131">
        <v>232</v>
      </c>
      <c r="G131">
        <v>42.2</v>
      </c>
      <c r="H131">
        <v>2</v>
      </c>
    </row>
    <row r="132" spans="1:8">
      <c r="A132" s="1" t="s">
        <v>140</v>
      </c>
      <c r="B132" t="s">
        <v>171</v>
      </c>
      <c r="C132" t="s">
        <v>24</v>
      </c>
      <c r="D132">
        <v>25</v>
      </c>
      <c r="E132" t="s">
        <v>14</v>
      </c>
      <c r="F132">
        <v>131</v>
      </c>
      <c r="G132">
        <v>67.489999999999995</v>
      </c>
      <c r="H132">
        <v>0</v>
      </c>
    </row>
    <row r="133" spans="1:8">
      <c r="A133" s="1" t="s">
        <v>140</v>
      </c>
      <c r="B133" t="s">
        <v>172</v>
      </c>
      <c r="C133" t="s">
        <v>16</v>
      </c>
      <c r="D133">
        <v>6</v>
      </c>
      <c r="E133" t="s">
        <v>14</v>
      </c>
      <c r="F133">
        <v>6</v>
      </c>
      <c r="G133">
        <v>72.27</v>
      </c>
      <c r="H133">
        <v>4</v>
      </c>
    </row>
    <row r="134" spans="1:8">
      <c r="A134" s="1" t="s">
        <v>140</v>
      </c>
      <c r="B134" t="s">
        <v>173</v>
      </c>
      <c r="C134" t="s">
        <v>40</v>
      </c>
      <c r="D134">
        <v>87</v>
      </c>
      <c r="E134" t="s">
        <v>11</v>
      </c>
      <c r="F134">
        <v>442</v>
      </c>
      <c r="G134">
        <v>22.39</v>
      </c>
      <c r="H134">
        <v>3</v>
      </c>
    </row>
    <row r="135" spans="1:8">
      <c r="A135" s="1" t="s">
        <v>140</v>
      </c>
      <c r="B135" t="s">
        <v>174</v>
      </c>
      <c r="C135" t="s">
        <v>26</v>
      </c>
      <c r="D135">
        <v>58</v>
      </c>
      <c r="E135" t="s">
        <v>14</v>
      </c>
      <c r="F135">
        <v>293</v>
      </c>
      <c r="G135">
        <v>88.85</v>
      </c>
      <c r="H135">
        <v>5</v>
      </c>
    </row>
    <row r="136" spans="1:8">
      <c r="A136" s="1" t="s">
        <v>140</v>
      </c>
      <c r="B136" t="s">
        <v>175</v>
      </c>
      <c r="C136" t="s">
        <v>31</v>
      </c>
      <c r="D136">
        <v>110</v>
      </c>
      <c r="E136" t="s">
        <v>32</v>
      </c>
      <c r="F136">
        <v>51</v>
      </c>
      <c r="G136">
        <v>56.59</v>
      </c>
      <c r="H136">
        <v>5</v>
      </c>
    </row>
    <row r="137" spans="1:8">
      <c r="A137" s="1" t="s">
        <v>140</v>
      </c>
      <c r="B137" t="s">
        <v>176</v>
      </c>
      <c r="C137" t="s">
        <v>31</v>
      </c>
      <c r="D137">
        <v>64</v>
      </c>
      <c r="E137" t="s">
        <v>11</v>
      </c>
      <c r="F137">
        <v>300</v>
      </c>
      <c r="G137">
        <v>28.11</v>
      </c>
      <c r="H137">
        <v>2</v>
      </c>
    </row>
    <row r="138" spans="1:8">
      <c r="A138" s="1" t="s">
        <v>140</v>
      </c>
      <c r="B138" t="s">
        <v>177</v>
      </c>
      <c r="C138" t="s">
        <v>38</v>
      </c>
      <c r="D138">
        <v>83</v>
      </c>
      <c r="E138" t="s">
        <v>11</v>
      </c>
      <c r="F138">
        <v>219</v>
      </c>
      <c r="G138">
        <v>52.26</v>
      </c>
      <c r="H138">
        <v>1</v>
      </c>
    </row>
    <row r="139" spans="1:8">
      <c r="A139" s="1" t="s">
        <v>140</v>
      </c>
      <c r="B139" t="s">
        <v>178</v>
      </c>
      <c r="C139" t="s">
        <v>16</v>
      </c>
      <c r="D139">
        <v>114</v>
      </c>
      <c r="E139" t="s">
        <v>14</v>
      </c>
      <c r="F139">
        <v>304</v>
      </c>
      <c r="G139">
        <v>52.07</v>
      </c>
      <c r="H139">
        <v>1</v>
      </c>
    </row>
    <row r="140" spans="1:8">
      <c r="A140" s="1" t="s">
        <v>140</v>
      </c>
      <c r="B140" t="s">
        <v>179</v>
      </c>
      <c r="C140" t="s">
        <v>36</v>
      </c>
      <c r="D140">
        <v>67</v>
      </c>
      <c r="E140" t="s">
        <v>11</v>
      </c>
      <c r="F140">
        <v>55</v>
      </c>
      <c r="G140">
        <v>27.04</v>
      </c>
      <c r="H140">
        <v>1</v>
      </c>
    </row>
    <row r="141" spans="1:8">
      <c r="A141" s="1" t="s">
        <v>140</v>
      </c>
      <c r="B141" t="s">
        <v>180</v>
      </c>
      <c r="C141" t="s">
        <v>92</v>
      </c>
      <c r="D141">
        <v>51</v>
      </c>
      <c r="E141" t="s">
        <v>14</v>
      </c>
      <c r="F141">
        <v>260</v>
      </c>
      <c r="G141">
        <v>92.8</v>
      </c>
      <c r="H141">
        <v>5</v>
      </c>
    </row>
    <row r="142" spans="1:8">
      <c r="A142" s="1" t="s">
        <v>140</v>
      </c>
      <c r="B142" t="s">
        <v>181</v>
      </c>
      <c r="C142" t="s">
        <v>107</v>
      </c>
      <c r="D142">
        <v>56</v>
      </c>
      <c r="E142" t="s">
        <v>14</v>
      </c>
      <c r="F142">
        <v>333</v>
      </c>
      <c r="G142">
        <v>23.01</v>
      </c>
      <c r="H142">
        <v>2</v>
      </c>
    </row>
    <row r="143" spans="1:8">
      <c r="A143" s="1" t="s">
        <v>140</v>
      </c>
      <c r="B143" t="s">
        <v>182</v>
      </c>
      <c r="C143" t="s">
        <v>63</v>
      </c>
      <c r="D143">
        <v>60</v>
      </c>
      <c r="E143" t="s">
        <v>14</v>
      </c>
      <c r="F143">
        <v>168</v>
      </c>
      <c r="G143">
        <v>67.650000000000006</v>
      </c>
      <c r="H143">
        <v>1</v>
      </c>
    </row>
    <row r="144" spans="1:8">
      <c r="A144" s="1" t="s">
        <v>140</v>
      </c>
      <c r="B144" t="s">
        <v>183</v>
      </c>
      <c r="C144" t="s">
        <v>31</v>
      </c>
      <c r="D144">
        <v>104</v>
      </c>
      <c r="E144" t="s">
        <v>11</v>
      </c>
      <c r="F144">
        <v>317</v>
      </c>
      <c r="G144">
        <v>79.150000000000006</v>
      </c>
      <c r="H144">
        <v>1</v>
      </c>
    </row>
    <row r="145" spans="1:8">
      <c r="A145" s="1" t="s">
        <v>140</v>
      </c>
      <c r="B145" t="s">
        <v>184</v>
      </c>
      <c r="C145" t="s">
        <v>38</v>
      </c>
      <c r="D145">
        <v>55</v>
      </c>
      <c r="E145" t="s">
        <v>14</v>
      </c>
      <c r="F145">
        <v>407</v>
      </c>
      <c r="G145">
        <v>23.11</v>
      </c>
      <c r="H145">
        <v>0</v>
      </c>
    </row>
    <row r="146" spans="1:8">
      <c r="A146" s="1" t="s">
        <v>140</v>
      </c>
      <c r="B146" t="s">
        <v>185</v>
      </c>
      <c r="C146" t="s">
        <v>79</v>
      </c>
      <c r="D146">
        <v>1</v>
      </c>
      <c r="E146" t="s">
        <v>11</v>
      </c>
      <c r="F146">
        <v>326</v>
      </c>
      <c r="G146">
        <v>54.63</v>
      </c>
      <c r="H146">
        <v>3</v>
      </c>
    </row>
    <row r="147" spans="1:8">
      <c r="A147" s="1" t="s">
        <v>140</v>
      </c>
      <c r="B147" t="s">
        <v>186</v>
      </c>
      <c r="C147" t="s">
        <v>61</v>
      </c>
      <c r="D147">
        <v>16</v>
      </c>
      <c r="E147" t="s">
        <v>14</v>
      </c>
      <c r="F147">
        <v>13</v>
      </c>
      <c r="G147">
        <v>14.91</v>
      </c>
      <c r="H147">
        <v>1</v>
      </c>
    </row>
    <row r="148" spans="1:8">
      <c r="A148" s="1" t="s">
        <v>140</v>
      </c>
      <c r="B148" t="s">
        <v>187</v>
      </c>
      <c r="C148" t="s">
        <v>71</v>
      </c>
      <c r="D148">
        <v>41</v>
      </c>
      <c r="E148" t="s">
        <v>32</v>
      </c>
      <c r="F148">
        <v>64</v>
      </c>
      <c r="G148">
        <v>91.95</v>
      </c>
      <c r="H148">
        <v>1</v>
      </c>
    </row>
    <row r="149" spans="1:8">
      <c r="A149" s="1" t="s">
        <v>140</v>
      </c>
      <c r="B149" t="s">
        <v>188</v>
      </c>
      <c r="C149" t="s">
        <v>10</v>
      </c>
      <c r="D149">
        <v>93</v>
      </c>
      <c r="E149" t="s">
        <v>14</v>
      </c>
      <c r="F149">
        <v>365</v>
      </c>
      <c r="G149">
        <v>72.319999999999993</v>
      </c>
      <c r="H149">
        <v>1</v>
      </c>
    </row>
    <row r="150" spans="1:8">
      <c r="A150" s="1" t="s">
        <v>140</v>
      </c>
      <c r="B150" t="s">
        <v>189</v>
      </c>
      <c r="C150" t="s">
        <v>40</v>
      </c>
      <c r="D150">
        <v>113</v>
      </c>
      <c r="E150" t="s">
        <v>32</v>
      </c>
      <c r="F150">
        <v>246</v>
      </c>
      <c r="G150">
        <v>29.18</v>
      </c>
      <c r="H150">
        <v>2</v>
      </c>
    </row>
    <row r="151" spans="1:8">
      <c r="A151" s="1" t="s">
        <v>140</v>
      </c>
      <c r="B151" t="s">
        <v>190</v>
      </c>
      <c r="C151" t="s">
        <v>43</v>
      </c>
      <c r="D151">
        <v>1</v>
      </c>
      <c r="E151" t="s">
        <v>14</v>
      </c>
      <c r="F151">
        <v>237</v>
      </c>
      <c r="G151">
        <v>58.7</v>
      </c>
      <c r="H151">
        <v>4</v>
      </c>
    </row>
    <row r="152" spans="1:8">
      <c r="A152" s="1" t="s">
        <v>191</v>
      </c>
      <c r="B152" t="s">
        <v>192</v>
      </c>
      <c r="C152" t="s">
        <v>10</v>
      </c>
      <c r="D152">
        <v>52</v>
      </c>
      <c r="E152" t="s">
        <v>21</v>
      </c>
      <c r="F152">
        <v>119</v>
      </c>
      <c r="G152">
        <v>64.709999999999994</v>
      </c>
      <c r="H152">
        <v>4</v>
      </c>
    </row>
    <row r="153" spans="1:8">
      <c r="A153" s="1" t="s">
        <v>191</v>
      </c>
      <c r="B153" t="s">
        <v>193</v>
      </c>
      <c r="C153" t="s">
        <v>40</v>
      </c>
      <c r="D153">
        <v>120</v>
      </c>
      <c r="E153" t="s">
        <v>21</v>
      </c>
      <c r="F153">
        <v>224</v>
      </c>
      <c r="G153">
        <v>69.36</v>
      </c>
      <c r="H153">
        <v>0</v>
      </c>
    </row>
    <row r="154" spans="1:8">
      <c r="A154" s="1" t="s">
        <v>191</v>
      </c>
      <c r="B154" t="s">
        <v>194</v>
      </c>
      <c r="C154" t="s">
        <v>63</v>
      </c>
      <c r="D154">
        <v>102</v>
      </c>
      <c r="E154" t="s">
        <v>32</v>
      </c>
      <c r="F154">
        <v>402</v>
      </c>
      <c r="G154">
        <v>28.38</v>
      </c>
      <c r="H154">
        <v>5</v>
      </c>
    </row>
    <row r="155" spans="1:8">
      <c r="A155" s="1" t="s">
        <v>191</v>
      </c>
      <c r="B155" t="s">
        <v>195</v>
      </c>
      <c r="C155" t="s">
        <v>43</v>
      </c>
      <c r="D155">
        <v>40</v>
      </c>
      <c r="E155" t="s">
        <v>21</v>
      </c>
      <c r="F155">
        <v>219</v>
      </c>
      <c r="G155">
        <v>53.98</v>
      </c>
      <c r="H155">
        <v>2</v>
      </c>
    </row>
    <row r="156" spans="1:8">
      <c r="A156" s="1" t="s">
        <v>191</v>
      </c>
      <c r="B156" t="s">
        <v>196</v>
      </c>
      <c r="C156" t="s">
        <v>107</v>
      </c>
      <c r="D156">
        <v>92</v>
      </c>
      <c r="E156" t="s">
        <v>11</v>
      </c>
      <c r="F156">
        <v>487</v>
      </c>
      <c r="G156">
        <v>58.38</v>
      </c>
      <c r="H156">
        <v>1</v>
      </c>
    </row>
    <row r="157" spans="1:8">
      <c r="A157" s="1" t="s">
        <v>191</v>
      </c>
      <c r="B157" t="s">
        <v>197</v>
      </c>
      <c r="C157" t="s">
        <v>31</v>
      </c>
      <c r="D157">
        <v>60</v>
      </c>
      <c r="E157" t="s">
        <v>11</v>
      </c>
      <c r="F157">
        <v>334</v>
      </c>
      <c r="G157">
        <v>71.72</v>
      </c>
      <c r="H157">
        <v>3</v>
      </c>
    </row>
    <row r="158" spans="1:8">
      <c r="A158" s="1" t="s">
        <v>191</v>
      </c>
      <c r="B158" t="s">
        <v>198</v>
      </c>
      <c r="C158" t="s">
        <v>71</v>
      </c>
      <c r="D158">
        <v>64</v>
      </c>
      <c r="E158" t="s">
        <v>11</v>
      </c>
      <c r="F158">
        <v>6</v>
      </c>
      <c r="G158">
        <v>40.58</v>
      </c>
      <c r="H158">
        <v>5</v>
      </c>
    </row>
    <row r="159" spans="1:8">
      <c r="A159" s="1" t="s">
        <v>191</v>
      </c>
      <c r="B159" t="s">
        <v>199</v>
      </c>
      <c r="C159" t="s">
        <v>52</v>
      </c>
      <c r="D159">
        <v>113</v>
      </c>
      <c r="E159" t="s">
        <v>32</v>
      </c>
      <c r="F159">
        <v>207</v>
      </c>
      <c r="G159">
        <v>21.55</v>
      </c>
      <c r="H159">
        <v>0</v>
      </c>
    </row>
    <row r="160" spans="1:8">
      <c r="A160" s="1" t="s">
        <v>191</v>
      </c>
      <c r="B160" t="s">
        <v>200</v>
      </c>
      <c r="C160" t="s">
        <v>40</v>
      </c>
      <c r="D160">
        <v>74</v>
      </c>
      <c r="E160" t="s">
        <v>32</v>
      </c>
      <c r="F160">
        <v>213</v>
      </c>
      <c r="G160">
        <v>35.54</v>
      </c>
      <c r="H160">
        <v>3</v>
      </c>
    </row>
    <row r="161" spans="1:8">
      <c r="A161" s="1" t="s">
        <v>191</v>
      </c>
      <c r="B161" t="s">
        <v>201</v>
      </c>
      <c r="C161" t="s">
        <v>92</v>
      </c>
      <c r="D161">
        <v>82</v>
      </c>
      <c r="E161" t="s">
        <v>32</v>
      </c>
      <c r="F161">
        <v>264</v>
      </c>
      <c r="G161">
        <v>88.03</v>
      </c>
      <c r="H161">
        <v>1</v>
      </c>
    </row>
    <row r="162" spans="1:8">
      <c r="A162" s="1" t="s">
        <v>191</v>
      </c>
      <c r="B162" t="s">
        <v>202</v>
      </c>
      <c r="C162" t="s">
        <v>40</v>
      </c>
      <c r="D162">
        <v>67</v>
      </c>
      <c r="E162" t="s">
        <v>32</v>
      </c>
      <c r="F162">
        <v>241</v>
      </c>
      <c r="G162">
        <v>47.72</v>
      </c>
      <c r="H162">
        <v>0</v>
      </c>
    </row>
    <row r="163" spans="1:8">
      <c r="A163" s="1" t="s">
        <v>191</v>
      </c>
      <c r="B163" t="s">
        <v>203</v>
      </c>
      <c r="C163" t="s">
        <v>38</v>
      </c>
      <c r="D163">
        <v>83</v>
      </c>
      <c r="E163" t="s">
        <v>11</v>
      </c>
      <c r="F163">
        <v>420</v>
      </c>
      <c r="G163">
        <v>94.9</v>
      </c>
      <c r="H163">
        <v>1</v>
      </c>
    </row>
    <row r="164" spans="1:8">
      <c r="A164" s="1" t="s">
        <v>191</v>
      </c>
      <c r="B164" t="s">
        <v>204</v>
      </c>
      <c r="C164" t="s">
        <v>76</v>
      </c>
      <c r="D164">
        <v>89</v>
      </c>
      <c r="E164" t="s">
        <v>11</v>
      </c>
      <c r="F164">
        <v>203</v>
      </c>
      <c r="G164">
        <v>80.680000000000007</v>
      </c>
      <c r="H164">
        <v>5</v>
      </c>
    </row>
    <row r="165" spans="1:8">
      <c r="A165" s="1" t="s">
        <v>191</v>
      </c>
      <c r="B165" t="s">
        <v>205</v>
      </c>
      <c r="C165" t="s">
        <v>40</v>
      </c>
      <c r="D165">
        <v>58</v>
      </c>
      <c r="E165" t="s">
        <v>14</v>
      </c>
      <c r="F165">
        <v>405</v>
      </c>
      <c r="G165">
        <v>18.39</v>
      </c>
      <c r="H165">
        <v>0</v>
      </c>
    </row>
    <row r="166" spans="1:8">
      <c r="A166" s="1" t="s">
        <v>191</v>
      </c>
      <c r="B166" t="s">
        <v>206</v>
      </c>
      <c r="C166" t="s">
        <v>16</v>
      </c>
      <c r="D166">
        <v>108</v>
      </c>
      <c r="E166" t="s">
        <v>32</v>
      </c>
      <c r="F166">
        <v>230</v>
      </c>
      <c r="G166">
        <v>16.3</v>
      </c>
      <c r="H166">
        <v>5</v>
      </c>
    </row>
    <row r="167" spans="1:8">
      <c r="A167" s="1" t="s">
        <v>191</v>
      </c>
      <c r="B167" t="s">
        <v>207</v>
      </c>
      <c r="C167" t="s">
        <v>10</v>
      </c>
      <c r="D167">
        <v>97</v>
      </c>
      <c r="E167" t="s">
        <v>14</v>
      </c>
      <c r="F167">
        <v>484</v>
      </c>
      <c r="G167">
        <v>61.98</v>
      </c>
      <c r="H167">
        <v>1</v>
      </c>
    </row>
    <row r="168" spans="1:8">
      <c r="A168" s="1" t="s">
        <v>191</v>
      </c>
      <c r="B168" t="s">
        <v>208</v>
      </c>
      <c r="C168" t="s">
        <v>45</v>
      </c>
      <c r="D168">
        <v>35</v>
      </c>
      <c r="E168" t="s">
        <v>21</v>
      </c>
      <c r="F168">
        <v>107</v>
      </c>
      <c r="G168">
        <v>66.69</v>
      </c>
      <c r="H168">
        <v>4</v>
      </c>
    </row>
    <row r="169" spans="1:8">
      <c r="A169" s="1" t="s">
        <v>191</v>
      </c>
      <c r="B169" t="s">
        <v>209</v>
      </c>
      <c r="C169" t="s">
        <v>45</v>
      </c>
      <c r="D169">
        <v>115</v>
      </c>
      <c r="E169" t="s">
        <v>14</v>
      </c>
      <c r="F169">
        <v>236</v>
      </c>
      <c r="G169">
        <v>50.64</v>
      </c>
      <c r="H169">
        <v>1</v>
      </c>
    </row>
    <row r="170" spans="1:8">
      <c r="A170" s="1" t="s">
        <v>191</v>
      </c>
      <c r="B170" t="s">
        <v>210</v>
      </c>
      <c r="C170" t="s">
        <v>10</v>
      </c>
      <c r="D170">
        <v>48</v>
      </c>
      <c r="E170" t="s">
        <v>14</v>
      </c>
      <c r="F170">
        <v>436</v>
      </c>
      <c r="G170">
        <v>15.17</v>
      </c>
      <c r="H170">
        <v>0</v>
      </c>
    </row>
    <row r="171" spans="1:8">
      <c r="A171" s="1" t="s">
        <v>191</v>
      </c>
      <c r="B171" t="s">
        <v>211</v>
      </c>
      <c r="C171" t="s">
        <v>71</v>
      </c>
      <c r="D171">
        <v>31</v>
      </c>
      <c r="E171" t="s">
        <v>14</v>
      </c>
      <c r="F171">
        <v>160</v>
      </c>
      <c r="G171">
        <v>59.76</v>
      </c>
      <c r="H171">
        <v>4</v>
      </c>
    </row>
    <row r="172" spans="1:8">
      <c r="A172" s="1" t="s">
        <v>191</v>
      </c>
      <c r="B172" t="s">
        <v>212</v>
      </c>
      <c r="C172" t="s">
        <v>38</v>
      </c>
      <c r="D172">
        <v>48</v>
      </c>
      <c r="E172" t="s">
        <v>11</v>
      </c>
      <c r="F172">
        <v>76</v>
      </c>
      <c r="G172">
        <v>39.35</v>
      </c>
      <c r="H172">
        <v>2</v>
      </c>
    </row>
    <row r="173" spans="1:8">
      <c r="A173" s="1" t="s">
        <v>191</v>
      </c>
      <c r="B173" t="s">
        <v>213</v>
      </c>
      <c r="C173" t="s">
        <v>76</v>
      </c>
      <c r="D173">
        <v>27</v>
      </c>
      <c r="E173" t="s">
        <v>32</v>
      </c>
      <c r="F173">
        <v>369</v>
      </c>
      <c r="G173">
        <v>19.78</v>
      </c>
      <c r="H173">
        <v>1</v>
      </c>
    </row>
    <row r="174" spans="1:8">
      <c r="A174" s="1" t="s">
        <v>191</v>
      </c>
      <c r="B174" t="s">
        <v>214</v>
      </c>
      <c r="C174" t="s">
        <v>71</v>
      </c>
      <c r="D174">
        <v>5</v>
      </c>
      <c r="E174" t="s">
        <v>14</v>
      </c>
      <c r="F174">
        <v>239</v>
      </c>
      <c r="G174">
        <v>26.95</v>
      </c>
      <c r="H174">
        <v>2</v>
      </c>
    </row>
    <row r="175" spans="1:8">
      <c r="A175" s="1" t="s">
        <v>191</v>
      </c>
      <c r="B175" t="s">
        <v>215</v>
      </c>
      <c r="C175" t="s">
        <v>43</v>
      </c>
      <c r="D175">
        <v>21</v>
      </c>
      <c r="E175" t="s">
        <v>21</v>
      </c>
      <c r="F175">
        <v>107</v>
      </c>
      <c r="G175">
        <v>30.97</v>
      </c>
      <c r="H175">
        <v>4</v>
      </c>
    </row>
    <row r="176" spans="1:8">
      <c r="A176" s="1" t="s">
        <v>191</v>
      </c>
      <c r="B176" t="s">
        <v>216</v>
      </c>
      <c r="C176" t="s">
        <v>107</v>
      </c>
      <c r="D176">
        <v>18</v>
      </c>
      <c r="E176" t="s">
        <v>11</v>
      </c>
      <c r="F176">
        <v>71</v>
      </c>
      <c r="G176">
        <v>46.98</v>
      </c>
      <c r="H176">
        <v>2</v>
      </c>
    </row>
    <row r="177" spans="1:8">
      <c r="A177" s="1" t="s">
        <v>191</v>
      </c>
      <c r="B177" t="s">
        <v>217</v>
      </c>
      <c r="C177" t="s">
        <v>26</v>
      </c>
      <c r="D177">
        <v>33</v>
      </c>
      <c r="E177" t="s">
        <v>32</v>
      </c>
      <c r="F177">
        <v>285</v>
      </c>
      <c r="G177">
        <v>56.67</v>
      </c>
      <c r="H177">
        <v>2</v>
      </c>
    </row>
    <row r="178" spans="1:8">
      <c r="A178" s="1" t="s">
        <v>191</v>
      </c>
      <c r="B178" t="s">
        <v>218</v>
      </c>
      <c r="C178" t="s">
        <v>20</v>
      </c>
      <c r="D178">
        <v>68</v>
      </c>
      <c r="E178" t="s">
        <v>32</v>
      </c>
      <c r="F178">
        <v>443</v>
      </c>
      <c r="G178">
        <v>12.09</v>
      </c>
      <c r="H178">
        <v>3</v>
      </c>
    </row>
    <row r="179" spans="1:8">
      <c r="A179" s="1" t="s">
        <v>191</v>
      </c>
      <c r="B179" t="s">
        <v>219</v>
      </c>
      <c r="C179" t="s">
        <v>26</v>
      </c>
      <c r="D179">
        <v>49</v>
      </c>
      <c r="E179" t="s">
        <v>32</v>
      </c>
      <c r="F179">
        <v>357</v>
      </c>
      <c r="G179">
        <v>96.67</v>
      </c>
      <c r="H179">
        <v>3</v>
      </c>
    </row>
    <row r="180" spans="1:8">
      <c r="A180" s="1" t="s">
        <v>191</v>
      </c>
      <c r="B180" t="s">
        <v>220</v>
      </c>
      <c r="C180" t="s">
        <v>79</v>
      </c>
      <c r="D180">
        <v>111</v>
      </c>
      <c r="E180" t="s">
        <v>32</v>
      </c>
      <c r="F180">
        <v>43</v>
      </c>
      <c r="G180">
        <v>19.39</v>
      </c>
      <c r="H180">
        <v>3</v>
      </c>
    </row>
    <row r="181" spans="1:8">
      <c r="A181" s="1" t="s">
        <v>191</v>
      </c>
      <c r="B181" t="s">
        <v>221</v>
      </c>
      <c r="C181" t="s">
        <v>13</v>
      </c>
      <c r="D181">
        <v>71</v>
      </c>
      <c r="E181" t="s">
        <v>32</v>
      </c>
      <c r="F181">
        <v>15</v>
      </c>
      <c r="G181">
        <v>25.46</v>
      </c>
      <c r="H181">
        <v>5</v>
      </c>
    </row>
    <row r="182" spans="1:8">
      <c r="A182" s="1" t="s">
        <v>191</v>
      </c>
      <c r="B182" t="s">
        <v>222</v>
      </c>
      <c r="C182" t="s">
        <v>71</v>
      </c>
      <c r="D182">
        <v>48</v>
      </c>
      <c r="E182" t="s">
        <v>14</v>
      </c>
      <c r="F182">
        <v>335</v>
      </c>
      <c r="G182">
        <v>85.09</v>
      </c>
      <c r="H182">
        <v>3</v>
      </c>
    </row>
    <row r="183" spans="1:8">
      <c r="A183" s="1" t="s">
        <v>191</v>
      </c>
      <c r="B183" t="s">
        <v>223</v>
      </c>
      <c r="C183" t="s">
        <v>57</v>
      </c>
      <c r="D183">
        <v>64</v>
      </c>
      <c r="E183" t="s">
        <v>11</v>
      </c>
      <c r="F183">
        <v>370</v>
      </c>
      <c r="G183">
        <v>95.74</v>
      </c>
      <c r="H183">
        <v>1</v>
      </c>
    </row>
    <row r="184" spans="1:8">
      <c r="A184" s="1" t="s">
        <v>191</v>
      </c>
      <c r="B184" t="s">
        <v>224</v>
      </c>
      <c r="C184" t="s">
        <v>40</v>
      </c>
      <c r="D184">
        <v>84</v>
      </c>
      <c r="E184" t="s">
        <v>32</v>
      </c>
      <c r="F184">
        <v>387</v>
      </c>
      <c r="G184">
        <v>58.1</v>
      </c>
      <c r="H184">
        <v>3</v>
      </c>
    </row>
    <row r="185" spans="1:8">
      <c r="A185" s="1" t="s">
        <v>191</v>
      </c>
      <c r="B185" t="s">
        <v>225</v>
      </c>
      <c r="C185" t="s">
        <v>111</v>
      </c>
      <c r="D185">
        <v>75</v>
      </c>
      <c r="E185" t="s">
        <v>11</v>
      </c>
      <c r="F185">
        <v>242</v>
      </c>
      <c r="G185">
        <v>64.27</v>
      </c>
      <c r="H185">
        <v>2</v>
      </c>
    </row>
    <row r="186" spans="1:8">
      <c r="A186" s="1" t="s">
        <v>191</v>
      </c>
      <c r="B186" t="s">
        <v>226</v>
      </c>
      <c r="C186" t="s">
        <v>61</v>
      </c>
      <c r="D186">
        <v>11</v>
      </c>
      <c r="E186" t="s">
        <v>32</v>
      </c>
      <c r="F186">
        <v>191</v>
      </c>
      <c r="G186">
        <v>87.37</v>
      </c>
      <c r="H186">
        <v>3</v>
      </c>
    </row>
    <row r="187" spans="1:8">
      <c r="A187" s="1" t="s">
        <v>191</v>
      </c>
      <c r="B187" t="s">
        <v>227</v>
      </c>
      <c r="C187" t="s">
        <v>92</v>
      </c>
      <c r="D187">
        <v>28</v>
      </c>
      <c r="E187" t="s">
        <v>32</v>
      </c>
      <c r="F187">
        <v>96</v>
      </c>
      <c r="G187">
        <v>72.010000000000005</v>
      </c>
      <c r="H187">
        <v>4</v>
      </c>
    </row>
    <row r="188" spans="1:8">
      <c r="A188" s="1" t="s">
        <v>191</v>
      </c>
      <c r="B188" t="s">
        <v>228</v>
      </c>
      <c r="C188" t="s">
        <v>18</v>
      </c>
      <c r="D188">
        <v>66</v>
      </c>
      <c r="E188" t="s">
        <v>21</v>
      </c>
      <c r="F188">
        <v>387</v>
      </c>
      <c r="G188">
        <v>82.94</v>
      </c>
      <c r="H188">
        <v>3</v>
      </c>
    </row>
    <row r="189" spans="1:8">
      <c r="A189" s="1" t="s">
        <v>191</v>
      </c>
      <c r="B189" t="s">
        <v>229</v>
      </c>
      <c r="C189" t="s">
        <v>29</v>
      </c>
      <c r="D189">
        <v>75</v>
      </c>
      <c r="E189" t="s">
        <v>14</v>
      </c>
      <c r="F189">
        <v>282</v>
      </c>
      <c r="G189">
        <v>45.16</v>
      </c>
      <c r="H189">
        <v>5</v>
      </c>
    </row>
    <row r="190" spans="1:8">
      <c r="A190" s="1" t="s">
        <v>191</v>
      </c>
      <c r="B190" t="s">
        <v>230</v>
      </c>
      <c r="C190" t="s">
        <v>31</v>
      </c>
      <c r="D190">
        <v>55</v>
      </c>
      <c r="E190" t="s">
        <v>32</v>
      </c>
      <c r="F190">
        <v>394</v>
      </c>
      <c r="G190">
        <v>26.8</v>
      </c>
      <c r="H190">
        <v>4</v>
      </c>
    </row>
    <row r="191" spans="1:8">
      <c r="A191" s="1" t="s">
        <v>191</v>
      </c>
      <c r="B191" t="s">
        <v>231</v>
      </c>
      <c r="C191" t="s">
        <v>57</v>
      </c>
      <c r="D191">
        <v>26</v>
      </c>
      <c r="E191" t="s">
        <v>14</v>
      </c>
      <c r="F191">
        <v>174</v>
      </c>
      <c r="G191">
        <v>90.53</v>
      </c>
      <c r="H191">
        <v>3</v>
      </c>
    </row>
    <row r="192" spans="1:8">
      <c r="A192" s="1" t="s">
        <v>191</v>
      </c>
      <c r="B192" t="s">
        <v>232</v>
      </c>
      <c r="C192" t="s">
        <v>31</v>
      </c>
      <c r="D192">
        <v>118</v>
      </c>
      <c r="E192" t="s">
        <v>14</v>
      </c>
      <c r="F192">
        <v>300</v>
      </c>
      <c r="G192">
        <v>98.22</v>
      </c>
      <c r="H192">
        <v>4</v>
      </c>
    </row>
    <row r="193" spans="1:8">
      <c r="A193" s="1" t="s">
        <v>191</v>
      </c>
      <c r="B193" t="s">
        <v>233</v>
      </c>
      <c r="C193" t="s">
        <v>61</v>
      </c>
      <c r="D193">
        <v>51</v>
      </c>
      <c r="E193" t="s">
        <v>21</v>
      </c>
      <c r="F193">
        <v>433</v>
      </c>
      <c r="G193">
        <v>12.89</v>
      </c>
      <c r="H193">
        <v>1</v>
      </c>
    </row>
    <row r="194" spans="1:8">
      <c r="A194" s="1" t="s">
        <v>191</v>
      </c>
      <c r="B194" t="s">
        <v>234</v>
      </c>
      <c r="C194" t="s">
        <v>63</v>
      </c>
      <c r="D194">
        <v>42</v>
      </c>
      <c r="E194" t="s">
        <v>11</v>
      </c>
      <c r="F194">
        <v>389</v>
      </c>
      <c r="G194">
        <v>80.08</v>
      </c>
      <c r="H194">
        <v>1</v>
      </c>
    </row>
    <row r="195" spans="1:8">
      <c r="A195" s="1" t="s">
        <v>191</v>
      </c>
      <c r="B195" t="s">
        <v>235</v>
      </c>
      <c r="C195" t="s">
        <v>36</v>
      </c>
      <c r="D195">
        <v>114</v>
      </c>
      <c r="E195" t="s">
        <v>32</v>
      </c>
      <c r="F195">
        <v>482</v>
      </c>
      <c r="G195">
        <v>16.25</v>
      </c>
      <c r="H195">
        <v>3</v>
      </c>
    </row>
    <row r="196" spans="1:8">
      <c r="A196" s="1" t="s">
        <v>191</v>
      </c>
      <c r="B196" t="s">
        <v>236</v>
      </c>
      <c r="C196" t="s">
        <v>52</v>
      </c>
      <c r="D196">
        <v>92</v>
      </c>
      <c r="E196" t="s">
        <v>32</v>
      </c>
      <c r="F196">
        <v>116</v>
      </c>
      <c r="G196">
        <v>23.83</v>
      </c>
      <c r="H196">
        <v>3</v>
      </c>
    </row>
    <row r="197" spans="1:8">
      <c r="A197" s="1" t="s">
        <v>191</v>
      </c>
      <c r="B197" t="s">
        <v>237</v>
      </c>
      <c r="C197" t="s">
        <v>10</v>
      </c>
      <c r="D197">
        <v>62</v>
      </c>
      <c r="E197" t="s">
        <v>32</v>
      </c>
      <c r="F197">
        <v>116</v>
      </c>
      <c r="G197">
        <v>92.99</v>
      </c>
      <c r="H197">
        <v>5</v>
      </c>
    </row>
    <row r="198" spans="1:8">
      <c r="A198" s="1" t="s">
        <v>191</v>
      </c>
      <c r="B198" t="s">
        <v>238</v>
      </c>
      <c r="C198" t="s">
        <v>24</v>
      </c>
      <c r="D198">
        <v>29</v>
      </c>
      <c r="E198" t="s">
        <v>21</v>
      </c>
      <c r="F198">
        <v>416</v>
      </c>
      <c r="G198">
        <v>61.26</v>
      </c>
      <c r="H198">
        <v>0</v>
      </c>
    </row>
    <row r="199" spans="1:8">
      <c r="A199" s="1" t="s">
        <v>191</v>
      </c>
      <c r="B199" t="s">
        <v>239</v>
      </c>
      <c r="C199" t="s">
        <v>26</v>
      </c>
      <c r="D199">
        <v>97</v>
      </c>
      <c r="E199" t="s">
        <v>32</v>
      </c>
      <c r="F199">
        <v>296</v>
      </c>
      <c r="G199">
        <v>10.87</v>
      </c>
      <c r="H199">
        <v>4</v>
      </c>
    </row>
    <row r="200" spans="1:8">
      <c r="A200" s="1" t="s">
        <v>191</v>
      </c>
      <c r="B200" t="s">
        <v>240</v>
      </c>
      <c r="C200" t="s">
        <v>31</v>
      </c>
      <c r="D200">
        <v>23</v>
      </c>
      <c r="E200" t="s">
        <v>11</v>
      </c>
      <c r="F200">
        <v>262</v>
      </c>
      <c r="G200">
        <v>46.3</v>
      </c>
      <c r="H200">
        <v>1</v>
      </c>
    </row>
    <row r="201" spans="1:8">
      <c r="A201" s="1" t="s">
        <v>191</v>
      </c>
      <c r="B201" t="s">
        <v>241</v>
      </c>
      <c r="C201" t="s">
        <v>24</v>
      </c>
      <c r="D201">
        <v>61</v>
      </c>
      <c r="E201" t="s">
        <v>14</v>
      </c>
      <c r="F201">
        <v>383</v>
      </c>
      <c r="G201">
        <v>39.72</v>
      </c>
      <c r="H201">
        <v>4</v>
      </c>
    </row>
    <row r="202" spans="1:8">
      <c r="A202" s="1" t="s">
        <v>242</v>
      </c>
      <c r="B202" t="s">
        <v>243</v>
      </c>
      <c r="C202" t="s">
        <v>38</v>
      </c>
      <c r="D202">
        <v>110</v>
      </c>
      <c r="E202" t="s">
        <v>14</v>
      </c>
      <c r="F202">
        <v>112</v>
      </c>
      <c r="G202">
        <v>98.95</v>
      </c>
      <c r="H202">
        <v>5</v>
      </c>
    </row>
    <row r="203" spans="1:8">
      <c r="A203" s="1" t="s">
        <v>242</v>
      </c>
      <c r="B203" t="s">
        <v>244</v>
      </c>
      <c r="C203" t="s">
        <v>13</v>
      </c>
      <c r="D203">
        <v>4</v>
      </c>
      <c r="E203" t="s">
        <v>14</v>
      </c>
      <c r="F203">
        <v>182</v>
      </c>
      <c r="G203">
        <v>89.56</v>
      </c>
      <c r="H203">
        <v>4</v>
      </c>
    </row>
    <row r="204" spans="1:8">
      <c r="A204" s="1" t="s">
        <v>242</v>
      </c>
      <c r="B204" t="s">
        <v>245</v>
      </c>
      <c r="C204" t="s">
        <v>24</v>
      </c>
      <c r="D204">
        <v>82</v>
      </c>
      <c r="E204" t="s">
        <v>32</v>
      </c>
      <c r="F204">
        <v>88</v>
      </c>
      <c r="G204">
        <v>86.64</v>
      </c>
      <c r="H204">
        <v>1</v>
      </c>
    </row>
    <row r="205" spans="1:8">
      <c r="A205" s="1" t="s">
        <v>242</v>
      </c>
      <c r="B205" t="s">
        <v>246</v>
      </c>
      <c r="C205" t="s">
        <v>13</v>
      </c>
      <c r="D205">
        <v>91</v>
      </c>
      <c r="E205" t="s">
        <v>14</v>
      </c>
      <c r="F205">
        <v>188</v>
      </c>
      <c r="G205">
        <v>65.78</v>
      </c>
      <c r="H205">
        <v>4</v>
      </c>
    </row>
    <row r="206" spans="1:8">
      <c r="A206" s="1" t="s">
        <v>242</v>
      </c>
      <c r="B206" t="s">
        <v>247</v>
      </c>
      <c r="C206" t="s">
        <v>79</v>
      </c>
      <c r="D206">
        <v>118</v>
      </c>
      <c r="E206" t="s">
        <v>11</v>
      </c>
      <c r="F206">
        <v>22</v>
      </c>
      <c r="G206">
        <v>15.39</v>
      </c>
      <c r="H206">
        <v>1</v>
      </c>
    </row>
    <row r="207" spans="1:8">
      <c r="A207" s="1" t="s">
        <v>242</v>
      </c>
      <c r="B207" t="s">
        <v>248</v>
      </c>
      <c r="C207" t="s">
        <v>31</v>
      </c>
      <c r="D207">
        <v>11</v>
      </c>
      <c r="E207" t="s">
        <v>14</v>
      </c>
      <c r="F207">
        <v>52</v>
      </c>
      <c r="G207">
        <v>76.53</v>
      </c>
      <c r="H207">
        <v>5</v>
      </c>
    </row>
    <row r="208" spans="1:8">
      <c r="A208" s="1" t="s">
        <v>242</v>
      </c>
      <c r="B208" t="s">
        <v>249</v>
      </c>
      <c r="C208" t="s">
        <v>61</v>
      </c>
      <c r="D208">
        <v>108</v>
      </c>
      <c r="E208" t="s">
        <v>11</v>
      </c>
      <c r="F208">
        <v>48</v>
      </c>
      <c r="G208">
        <v>86.22</v>
      </c>
      <c r="H208">
        <v>3</v>
      </c>
    </row>
    <row r="209" spans="1:8">
      <c r="A209" s="1" t="s">
        <v>242</v>
      </c>
      <c r="B209" t="s">
        <v>250</v>
      </c>
      <c r="C209" t="s">
        <v>13</v>
      </c>
      <c r="D209">
        <v>52</v>
      </c>
      <c r="E209" t="s">
        <v>11</v>
      </c>
      <c r="F209">
        <v>234</v>
      </c>
      <c r="G209">
        <v>62.87</v>
      </c>
      <c r="H209">
        <v>0</v>
      </c>
    </row>
    <row r="210" spans="1:8">
      <c r="A210" s="1" t="s">
        <v>242</v>
      </c>
      <c r="B210" t="s">
        <v>251</v>
      </c>
      <c r="C210" t="s">
        <v>57</v>
      </c>
      <c r="D210">
        <v>18</v>
      </c>
      <c r="E210" t="s">
        <v>21</v>
      </c>
      <c r="F210">
        <v>34</v>
      </c>
      <c r="G210">
        <v>43.71</v>
      </c>
      <c r="H210">
        <v>1</v>
      </c>
    </row>
    <row r="211" spans="1:8">
      <c r="A211" s="1" t="s">
        <v>242</v>
      </c>
      <c r="B211" t="s">
        <v>252</v>
      </c>
      <c r="C211" t="s">
        <v>111</v>
      </c>
      <c r="D211">
        <v>22</v>
      </c>
      <c r="E211" t="s">
        <v>32</v>
      </c>
      <c r="F211">
        <v>166</v>
      </c>
      <c r="G211">
        <v>31.8</v>
      </c>
      <c r="H211">
        <v>1</v>
      </c>
    </row>
    <row r="212" spans="1:8">
      <c r="A212" s="1" t="s">
        <v>242</v>
      </c>
      <c r="B212" t="s">
        <v>253</v>
      </c>
      <c r="C212" t="s">
        <v>36</v>
      </c>
      <c r="D212">
        <v>96</v>
      </c>
      <c r="E212" t="s">
        <v>32</v>
      </c>
      <c r="F212">
        <v>334</v>
      </c>
      <c r="G212">
        <v>64.77</v>
      </c>
      <c r="H212">
        <v>0</v>
      </c>
    </row>
    <row r="213" spans="1:8">
      <c r="A213" s="1" t="s">
        <v>242</v>
      </c>
      <c r="B213" t="s">
        <v>254</v>
      </c>
      <c r="C213" t="s">
        <v>18</v>
      </c>
      <c r="D213">
        <v>51</v>
      </c>
      <c r="E213" t="s">
        <v>11</v>
      </c>
      <c r="F213">
        <v>336</v>
      </c>
      <c r="G213">
        <v>65.47</v>
      </c>
      <c r="H213">
        <v>1</v>
      </c>
    </row>
    <row r="214" spans="1:8">
      <c r="A214" s="1" t="s">
        <v>242</v>
      </c>
      <c r="B214" t="s">
        <v>255</v>
      </c>
      <c r="C214" t="s">
        <v>63</v>
      </c>
      <c r="D214">
        <v>42</v>
      </c>
      <c r="E214" t="s">
        <v>21</v>
      </c>
      <c r="F214">
        <v>453</v>
      </c>
      <c r="G214">
        <v>36.700000000000003</v>
      </c>
      <c r="H214">
        <v>4</v>
      </c>
    </row>
    <row r="215" spans="1:8">
      <c r="A215" s="1" t="s">
        <v>242</v>
      </c>
      <c r="B215" t="s">
        <v>256</v>
      </c>
      <c r="C215" t="s">
        <v>111</v>
      </c>
      <c r="D215">
        <v>21</v>
      </c>
      <c r="E215" t="s">
        <v>14</v>
      </c>
      <c r="F215">
        <v>307</v>
      </c>
      <c r="G215">
        <v>39.81</v>
      </c>
      <c r="H215">
        <v>5</v>
      </c>
    </row>
    <row r="216" spans="1:8">
      <c r="A216" s="1" t="s">
        <v>242</v>
      </c>
      <c r="B216" t="s">
        <v>257</v>
      </c>
      <c r="C216" t="s">
        <v>38</v>
      </c>
      <c r="D216">
        <v>2</v>
      </c>
      <c r="E216" t="s">
        <v>11</v>
      </c>
      <c r="F216">
        <v>142</v>
      </c>
      <c r="G216">
        <v>37.799999999999997</v>
      </c>
      <c r="H216">
        <v>0</v>
      </c>
    </row>
    <row r="217" spans="1:8">
      <c r="A217" s="1" t="s">
        <v>242</v>
      </c>
      <c r="B217" t="s">
        <v>258</v>
      </c>
      <c r="C217" t="s">
        <v>20</v>
      </c>
      <c r="D217">
        <v>18</v>
      </c>
      <c r="E217" t="s">
        <v>14</v>
      </c>
      <c r="F217">
        <v>291</v>
      </c>
      <c r="G217">
        <v>97.98</v>
      </c>
      <c r="H217">
        <v>1</v>
      </c>
    </row>
    <row r="218" spans="1:8">
      <c r="A218" s="1" t="s">
        <v>242</v>
      </c>
      <c r="B218" t="s">
        <v>259</v>
      </c>
      <c r="C218" t="s">
        <v>107</v>
      </c>
      <c r="D218">
        <v>65</v>
      </c>
      <c r="E218" t="s">
        <v>14</v>
      </c>
      <c r="F218">
        <v>118</v>
      </c>
      <c r="G218">
        <v>72.430000000000007</v>
      </c>
      <c r="H218">
        <v>1</v>
      </c>
    </row>
    <row r="219" spans="1:8">
      <c r="A219" s="1" t="s">
        <v>242</v>
      </c>
      <c r="B219" t="s">
        <v>260</v>
      </c>
      <c r="C219" t="s">
        <v>13</v>
      </c>
      <c r="D219">
        <v>13</v>
      </c>
      <c r="E219" t="s">
        <v>11</v>
      </c>
      <c r="F219">
        <v>347</v>
      </c>
      <c r="G219">
        <v>32.35</v>
      </c>
      <c r="H219">
        <v>2</v>
      </c>
    </row>
    <row r="220" spans="1:8">
      <c r="A220" s="1" t="s">
        <v>242</v>
      </c>
      <c r="B220" t="s">
        <v>261</v>
      </c>
      <c r="C220" t="s">
        <v>92</v>
      </c>
      <c r="D220">
        <v>25</v>
      </c>
      <c r="E220" t="s">
        <v>14</v>
      </c>
      <c r="F220">
        <v>33</v>
      </c>
      <c r="G220">
        <v>30.93</v>
      </c>
      <c r="H220">
        <v>1</v>
      </c>
    </row>
    <row r="221" spans="1:8">
      <c r="A221" s="1" t="s">
        <v>242</v>
      </c>
      <c r="B221" t="s">
        <v>262</v>
      </c>
      <c r="C221" t="s">
        <v>63</v>
      </c>
      <c r="D221">
        <v>92</v>
      </c>
      <c r="E221" t="s">
        <v>14</v>
      </c>
      <c r="F221">
        <v>472</v>
      </c>
      <c r="G221">
        <v>78.44</v>
      </c>
      <c r="H221">
        <v>1</v>
      </c>
    </row>
    <row r="222" spans="1:8">
      <c r="A222" s="1" t="s">
        <v>242</v>
      </c>
      <c r="B222" t="s">
        <v>263</v>
      </c>
      <c r="C222" t="s">
        <v>95</v>
      </c>
      <c r="D222">
        <v>49</v>
      </c>
      <c r="E222" t="s">
        <v>21</v>
      </c>
      <c r="F222">
        <v>6</v>
      </c>
      <c r="G222">
        <v>44.41</v>
      </c>
      <c r="H222">
        <v>3</v>
      </c>
    </row>
    <row r="223" spans="1:8">
      <c r="A223" s="1" t="s">
        <v>242</v>
      </c>
      <c r="B223" t="s">
        <v>264</v>
      </c>
      <c r="C223" t="s">
        <v>26</v>
      </c>
      <c r="D223">
        <v>61</v>
      </c>
      <c r="E223" t="s">
        <v>21</v>
      </c>
      <c r="F223">
        <v>87</v>
      </c>
      <c r="G223">
        <v>68.319999999999993</v>
      </c>
      <c r="H223">
        <v>2</v>
      </c>
    </row>
    <row r="224" spans="1:8">
      <c r="A224" s="1" t="s">
        <v>242</v>
      </c>
      <c r="B224" t="s">
        <v>265</v>
      </c>
      <c r="C224" t="s">
        <v>10</v>
      </c>
      <c r="D224">
        <v>6</v>
      </c>
      <c r="E224" t="s">
        <v>11</v>
      </c>
      <c r="F224">
        <v>109</v>
      </c>
      <c r="G224">
        <v>39.880000000000003</v>
      </c>
      <c r="H224">
        <v>4</v>
      </c>
    </row>
    <row r="225" spans="1:8">
      <c r="A225" s="1" t="s">
        <v>242</v>
      </c>
      <c r="B225" t="s">
        <v>266</v>
      </c>
      <c r="C225" t="s">
        <v>111</v>
      </c>
      <c r="D225">
        <v>106</v>
      </c>
      <c r="E225" t="s">
        <v>21</v>
      </c>
      <c r="F225">
        <v>128</v>
      </c>
      <c r="G225">
        <v>35.96</v>
      </c>
      <c r="H225">
        <v>2</v>
      </c>
    </row>
    <row r="226" spans="1:8">
      <c r="A226" s="1" t="s">
        <v>242</v>
      </c>
      <c r="B226" t="s">
        <v>267</v>
      </c>
      <c r="C226" t="s">
        <v>29</v>
      </c>
      <c r="D226">
        <v>86</v>
      </c>
      <c r="E226" t="s">
        <v>32</v>
      </c>
      <c r="F226">
        <v>111</v>
      </c>
      <c r="G226">
        <v>23.65</v>
      </c>
      <c r="H226">
        <v>0</v>
      </c>
    </row>
    <row r="227" spans="1:8">
      <c r="A227" s="1" t="s">
        <v>242</v>
      </c>
      <c r="B227" t="s">
        <v>268</v>
      </c>
      <c r="C227" t="s">
        <v>24</v>
      </c>
      <c r="D227">
        <v>15</v>
      </c>
      <c r="E227" t="s">
        <v>14</v>
      </c>
      <c r="F227">
        <v>319</v>
      </c>
      <c r="G227">
        <v>78.150000000000006</v>
      </c>
      <c r="H227">
        <v>4</v>
      </c>
    </row>
    <row r="228" spans="1:8">
      <c r="A228" s="1" t="s">
        <v>242</v>
      </c>
      <c r="B228" t="s">
        <v>269</v>
      </c>
      <c r="C228" t="s">
        <v>52</v>
      </c>
      <c r="D228">
        <v>3</v>
      </c>
      <c r="E228" t="s">
        <v>21</v>
      </c>
      <c r="F228">
        <v>356</v>
      </c>
      <c r="G228">
        <v>91.6</v>
      </c>
      <c r="H228">
        <v>3</v>
      </c>
    </row>
    <row r="229" spans="1:8">
      <c r="A229" s="1" t="s">
        <v>242</v>
      </c>
      <c r="B229" t="s">
        <v>270</v>
      </c>
      <c r="C229" t="s">
        <v>52</v>
      </c>
      <c r="D229">
        <v>85</v>
      </c>
      <c r="E229" t="s">
        <v>32</v>
      </c>
      <c r="F229">
        <v>274</v>
      </c>
      <c r="G229">
        <v>35.03</v>
      </c>
      <c r="H229">
        <v>1</v>
      </c>
    </row>
    <row r="230" spans="1:8">
      <c r="A230" s="1" t="s">
        <v>242</v>
      </c>
      <c r="B230" t="s">
        <v>271</v>
      </c>
      <c r="C230" t="s">
        <v>107</v>
      </c>
      <c r="D230">
        <v>5</v>
      </c>
      <c r="E230" t="s">
        <v>32</v>
      </c>
      <c r="F230">
        <v>417</v>
      </c>
      <c r="G230">
        <v>90.71</v>
      </c>
      <c r="H230">
        <v>1</v>
      </c>
    </row>
    <row r="231" spans="1:8">
      <c r="A231" s="1" t="s">
        <v>242</v>
      </c>
      <c r="B231" t="s">
        <v>272</v>
      </c>
      <c r="C231" t="s">
        <v>52</v>
      </c>
      <c r="D231">
        <v>60</v>
      </c>
      <c r="E231" t="s">
        <v>21</v>
      </c>
      <c r="F231">
        <v>161</v>
      </c>
      <c r="G231">
        <v>62.65</v>
      </c>
      <c r="H231">
        <v>0</v>
      </c>
    </row>
    <row r="232" spans="1:8">
      <c r="A232" s="1" t="s">
        <v>242</v>
      </c>
      <c r="B232" t="s">
        <v>273</v>
      </c>
      <c r="C232" t="s">
        <v>16</v>
      </c>
      <c r="D232">
        <v>96</v>
      </c>
      <c r="E232" t="s">
        <v>21</v>
      </c>
      <c r="F232">
        <v>108</v>
      </c>
      <c r="G232">
        <v>30.92</v>
      </c>
      <c r="H232">
        <v>1</v>
      </c>
    </row>
    <row r="233" spans="1:8">
      <c r="A233" s="1" t="s">
        <v>242</v>
      </c>
      <c r="B233" t="s">
        <v>274</v>
      </c>
      <c r="C233" t="s">
        <v>13</v>
      </c>
      <c r="D233">
        <v>89</v>
      </c>
      <c r="E233" t="s">
        <v>21</v>
      </c>
      <c r="F233">
        <v>7</v>
      </c>
      <c r="G233">
        <v>53.39</v>
      </c>
      <c r="H233">
        <v>3</v>
      </c>
    </row>
    <row r="234" spans="1:8">
      <c r="A234" s="1" t="s">
        <v>242</v>
      </c>
      <c r="B234" t="s">
        <v>275</v>
      </c>
      <c r="C234" t="s">
        <v>36</v>
      </c>
      <c r="D234">
        <v>60</v>
      </c>
      <c r="E234" t="s">
        <v>14</v>
      </c>
      <c r="F234">
        <v>306</v>
      </c>
      <c r="G234">
        <v>63.83</v>
      </c>
      <c r="H234">
        <v>2</v>
      </c>
    </row>
    <row r="235" spans="1:8">
      <c r="A235" s="1" t="s">
        <v>242</v>
      </c>
      <c r="B235" t="s">
        <v>276</v>
      </c>
      <c r="C235" t="s">
        <v>111</v>
      </c>
      <c r="D235">
        <v>32</v>
      </c>
      <c r="E235" t="s">
        <v>21</v>
      </c>
      <c r="F235">
        <v>405</v>
      </c>
      <c r="G235">
        <v>67.92</v>
      </c>
      <c r="H235">
        <v>3</v>
      </c>
    </row>
    <row r="236" spans="1:8">
      <c r="A236" s="1" t="s">
        <v>242</v>
      </c>
      <c r="B236" t="s">
        <v>277</v>
      </c>
      <c r="C236" t="s">
        <v>76</v>
      </c>
      <c r="D236">
        <v>108</v>
      </c>
      <c r="E236" t="s">
        <v>32</v>
      </c>
      <c r="F236">
        <v>323</v>
      </c>
      <c r="G236">
        <v>58.54</v>
      </c>
      <c r="H236">
        <v>2</v>
      </c>
    </row>
    <row r="237" spans="1:8">
      <c r="A237" s="1" t="s">
        <v>242</v>
      </c>
      <c r="B237" t="s">
        <v>278</v>
      </c>
      <c r="C237" t="s">
        <v>40</v>
      </c>
      <c r="D237">
        <v>60</v>
      </c>
      <c r="E237" t="s">
        <v>21</v>
      </c>
      <c r="F237">
        <v>54</v>
      </c>
      <c r="G237">
        <v>67.180000000000007</v>
      </c>
      <c r="H237">
        <v>3</v>
      </c>
    </row>
    <row r="238" spans="1:8">
      <c r="A238" s="1" t="s">
        <v>242</v>
      </c>
      <c r="B238" t="s">
        <v>279</v>
      </c>
      <c r="C238" t="s">
        <v>16</v>
      </c>
      <c r="D238">
        <v>96</v>
      </c>
      <c r="E238" t="s">
        <v>21</v>
      </c>
      <c r="F238">
        <v>210</v>
      </c>
      <c r="G238">
        <v>28.39</v>
      </c>
      <c r="H238">
        <v>3</v>
      </c>
    </row>
    <row r="239" spans="1:8">
      <c r="A239" s="1" t="s">
        <v>242</v>
      </c>
      <c r="B239" t="s">
        <v>280</v>
      </c>
      <c r="C239" t="s">
        <v>18</v>
      </c>
      <c r="D239">
        <v>36</v>
      </c>
      <c r="E239" t="s">
        <v>14</v>
      </c>
      <c r="F239">
        <v>491</v>
      </c>
      <c r="G239">
        <v>12.13</v>
      </c>
      <c r="H239">
        <v>4</v>
      </c>
    </row>
    <row r="240" spans="1:8">
      <c r="A240" s="1" t="s">
        <v>242</v>
      </c>
      <c r="B240" t="s">
        <v>281</v>
      </c>
      <c r="C240" t="s">
        <v>29</v>
      </c>
      <c r="D240">
        <v>27</v>
      </c>
      <c r="E240" t="s">
        <v>32</v>
      </c>
      <c r="F240">
        <v>61</v>
      </c>
      <c r="G240">
        <v>97.51</v>
      </c>
      <c r="H240">
        <v>5</v>
      </c>
    </row>
    <row r="241" spans="1:8">
      <c r="A241" s="1" t="s">
        <v>242</v>
      </c>
      <c r="B241" t="s">
        <v>282</v>
      </c>
      <c r="C241" t="s">
        <v>52</v>
      </c>
      <c r="D241">
        <v>10</v>
      </c>
      <c r="E241" t="s">
        <v>14</v>
      </c>
      <c r="F241">
        <v>165</v>
      </c>
      <c r="G241">
        <v>38.619999999999997</v>
      </c>
      <c r="H241">
        <v>2</v>
      </c>
    </row>
    <row r="242" spans="1:8">
      <c r="A242" s="1" t="s">
        <v>242</v>
      </c>
      <c r="B242" t="s">
        <v>283</v>
      </c>
      <c r="C242" t="s">
        <v>36</v>
      </c>
      <c r="D242">
        <v>9</v>
      </c>
      <c r="E242" t="s">
        <v>11</v>
      </c>
      <c r="F242">
        <v>255</v>
      </c>
      <c r="G242">
        <v>95.13</v>
      </c>
      <c r="H242">
        <v>1</v>
      </c>
    </row>
    <row r="243" spans="1:8">
      <c r="A243" s="1" t="s">
        <v>242</v>
      </c>
      <c r="B243" t="s">
        <v>284</v>
      </c>
      <c r="C243" t="s">
        <v>26</v>
      </c>
      <c r="D243">
        <v>60</v>
      </c>
      <c r="E243" t="s">
        <v>21</v>
      </c>
      <c r="F243">
        <v>154</v>
      </c>
      <c r="G243">
        <v>13.41</v>
      </c>
      <c r="H243">
        <v>5</v>
      </c>
    </row>
    <row r="244" spans="1:8">
      <c r="A244" s="1" t="s">
        <v>242</v>
      </c>
      <c r="B244" t="s">
        <v>285</v>
      </c>
      <c r="C244" t="s">
        <v>107</v>
      </c>
      <c r="D244">
        <v>44</v>
      </c>
      <c r="E244" t="s">
        <v>14</v>
      </c>
      <c r="F244">
        <v>199</v>
      </c>
      <c r="G244">
        <v>67.650000000000006</v>
      </c>
      <c r="H244">
        <v>0</v>
      </c>
    </row>
    <row r="245" spans="1:8">
      <c r="A245" s="1" t="s">
        <v>242</v>
      </c>
      <c r="B245" t="s">
        <v>286</v>
      </c>
      <c r="C245" t="s">
        <v>18</v>
      </c>
      <c r="D245">
        <v>57</v>
      </c>
      <c r="E245" t="s">
        <v>21</v>
      </c>
      <c r="F245">
        <v>435</v>
      </c>
      <c r="G245">
        <v>56.88</v>
      </c>
      <c r="H245">
        <v>4</v>
      </c>
    </row>
    <row r="246" spans="1:8">
      <c r="A246" s="1" t="s">
        <v>242</v>
      </c>
      <c r="B246" t="s">
        <v>287</v>
      </c>
      <c r="C246" t="s">
        <v>79</v>
      </c>
      <c r="D246">
        <v>23</v>
      </c>
      <c r="E246" t="s">
        <v>11</v>
      </c>
      <c r="F246">
        <v>473</v>
      </c>
      <c r="G246">
        <v>71.86</v>
      </c>
      <c r="H246">
        <v>3</v>
      </c>
    </row>
    <row r="247" spans="1:8">
      <c r="A247" s="1" t="s">
        <v>242</v>
      </c>
      <c r="B247" t="s">
        <v>288</v>
      </c>
      <c r="C247" t="s">
        <v>95</v>
      </c>
      <c r="D247">
        <v>78</v>
      </c>
      <c r="E247" t="s">
        <v>21</v>
      </c>
      <c r="F247">
        <v>198</v>
      </c>
      <c r="G247">
        <v>69.849999999999994</v>
      </c>
      <c r="H247">
        <v>0</v>
      </c>
    </row>
    <row r="248" spans="1:8">
      <c r="A248" s="1" t="s">
        <v>242</v>
      </c>
      <c r="B248" t="s">
        <v>289</v>
      </c>
      <c r="C248" t="s">
        <v>38</v>
      </c>
      <c r="D248">
        <v>63</v>
      </c>
      <c r="E248" t="s">
        <v>14</v>
      </c>
      <c r="F248">
        <v>392</v>
      </c>
      <c r="G248">
        <v>93.11</v>
      </c>
      <c r="H248">
        <v>3</v>
      </c>
    </row>
    <row r="249" spans="1:8">
      <c r="A249" s="1" t="s">
        <v>242</v>
      </c>
      <c r="B249" t="s">
        <v>290</v>
      </c>
      <c r="C249" t="s">
        <v>43</v>
      </c>
      <c r="D249">
        <v>71</v>
      </c>
      <c r="E249" t="s">
        <v>14</v>
      </c>
      <c r="F249">
        <v>364</v>
      </c>
      <c r="G249">
        <v>39.58</v>
      </c>
      <c r="H249">
        <v>1</v>
      </c>
    </row>
    <row r="250" spans="1:8">
      <c r="A250" s="1" t="s">
        <v>242</v>
      </c>
      <c r="B250" t="s">
        <v>291</v>
      </c>
      <c r="C250" t="s">
        <v>10</v>
      </c>
      <c r="D250">
        <v>87</v>
      </c>
      <c r="E250" t="s">
        <v>11</v>
      </c>
      <c r="F250">
        <v>205</v>
      </c>
      <c r="G250">
        <v>40.159999999999997</v>
      </c>
      <c r="H250">
        <v>5</v>
      </c>
    </row>
    <row r="251" spans="1:8">
      <c r="A251" s="1" t="s">
        <v>242</v>
      </c>
      <c r="B251" t="s">
        <v>292</v>
      </c>
      <c r="C251" t="s">
        <v>45</v>
      </c>
      <c r="D251">
        <v>33</v>
      </c>
      <c r="E251" t="s">
        <v>14</v>
      </c>
      <c r="F251">
        <v>332</v>
      </c>
      <c r="G251">
        <v>76.41</v>
      </c>
      <c r="H251">
        <v>1</v>
      </c>
    </row>
    <row r="252" spans="1:8">
      <c r="A252" s="1" t="s">
        <v>293</v>
      </c>
      <c r="B252" t="s">
        <v>294</v>
      </c>
      <c r="C252" t="s">
        <v>43</v>
      </c>
      <c r="D252">
        <v>119</v>
      </c>
      <c r="E252" t="s">
        <v>11</v>
      </c>
      <c r="F252">
        <v>344</v>
      </c>
      <c r="G252">
        <v>10.28</v>
      </c>
      <c r="H252">
        <v>0</v>
      </c>
    </row>
    <row r="253" spans="1:8">
      <c r="A253" s="1" t="s">
        <v>293</v>
      </c>
      <c r="B253" t="s">
        <v>295</v>
      </c>
      <c r="C253" t="s">
        <v>107</v>
      </c>
      <c r="D253">
        <v>118</v>
      </c>
      <c r="E253" t="s">
        <v>11</v>
      </c>
      <c r="F253">
        <v>132</v>
      </c>
      <c r="G253">
        <v>40.880000000000003</v>
      </c>
      <c r="H253">
        <v>4</v>
      </c>
    </row>
    <row r="254" spans="1:8">
      <c r="A254" s="1" t="s">
        <v>293</v>
      </c>
      <c r="B254" t="s">
        <v>296</v>
      </c>
      <c r="C254" t="s">
        <v>52</v>
      </c>
      <c r="D254">
        <v>16</v>
      </c>
      <c r="E254" t="s">
        <v>14</v>
      </c>
      <c r="F254">
        <v>461</v>
      </c>
      <c r="G254">
        <v>38.369999999999997</v>
      </c>
      <c r="H254">
        <v>4</v>
      </c>
    </row>
    <row r="255" spans="1:8">
      <c r="A255" s="1" t="s">
        <v>293</v>
      </c>
      <c r="B255" t="s">
        <v>297</v>
      </c>
      <c r="C255" t="s">
        <v>95</v>
      </c>
      <c r="D255">
        <v>93</v>
      </c>
      <c r="E255" t="s">
        <v>32</v>
      </c>
      <c r="F255">
        <v>150</v>
      </c>
      <c r="G255">
        <v>93.25</v>
      </c>
      <c r="H255">
        <v>3</v>
      </c>
    </row>
    <row r="256" spans="1:8">
      <c r="A256" s="1" t="s">
        <v>293</v>
      </c>
      <c r="B256" t="s">
        <v>298</v>
      </c>
      <c r="C256" t="s">
        <v>10</v>
      </c>
      <c r="D256">
        <v>50</v>
      </c>
      <c r="E256" t="s">
        <v>11</v>
      </c>
      <c r="F256">
        <v>108</v>
      </c>
      <c r="G256">
        <v>43.81</v>
      </c>
      <c r="H256">
        <v>5</v>
      </c>
    </row>
    <row r="257" spans="1:8">
      <c r="A257" s="1" t="s">
        <v>293</v>
      </c>
      <c r="B257" t="s">
        <v>299</v>
      </c>
      <c r="C257" t="s">
        <v>71</v>
      </c>
      <c r="D257">
        <v>98</v>
      </c>
      <c r="E257" t="s">
        <v>32</v>
      </c>
      <c r="F257">
        <v>319</v>
      </c>
      <c r="G257">
        <v>88.58</v>
      </c>
      <c r="H257">
        <v>0</v>
      </c>
    </row>
    <row r="258" spans="1:8">
      <c r="A258" s="1" t="s">
        <v>293</v>
      </c>
      <c r="B258" t="s">
        <v>300</v>
      </c>
      <c r="C258" t="s">
        <v>38</v>
      </c>
      <c r="D258">
        <v>50</v>
      </c>
      <c r="E258" t="s">
        <v>14</v>
      </c>
      <c r="F258">
        <v>248</v>
      </c>
      <c r="G258">
        <v>69.42</v>
      </c>
      <c r="H258">
        <v>0</v>
      </c>
    </row>
    <row r="259" spans="1:8">
      <c r="A259" s="1" t="s">
        <v>293</v>
      </c>
      <c r="B259" t="s">
        <v>301</v>
      </c>
      <c r="C259" t="s">
        <v>20</v>
      </c>
      <c r="D259">
        <v>47</v>
      </c>
      <c r="E259" t="s">
        <v>21</v>
      </c>
      <c r="F259">
        <v>340</v>
      </c>
      <c r="G259">
        <v>31.02</v>
      </c>
      <c r="H259">
        <v>5</v>
      </c>
    </row>
    <row r="260" spans="1:8">
      <c r="A260" s="1" t="s">
        <v>293</v>
      </c>
      <c r="B260" t="s">
        <v>302</v>
      </c>
      <c r="C260" t="s">
        <v>10</v>
      </c>
      <c r="D260">
        <v>89</v>
      </c>
      <c r="E260" t="s">
        <v>14</v>
      </c>
      <c r="F260">
        <v>175</v>
      </c>
      <c r="G260">
        <v>32.369999999999997</v>
      </c>
      <c r="H260">
        <v>1</v>
      </c>
    </row>
    <row r="261" spans="1:8">
      <c r="A261" s="1" t="s">
        <v>293</v>
      </c>
      <c r="B261" t="s">
        <v>303</v>
      </c>
      <c r="C261" t="s">
        <v>107</v>
      </c>
      <c r="D261">
        <v>97</v>
      </c>
      <c r="E261" t="s">
        <v>14</v>
      </c>
      <c r="F261">
        <v>40</v>
      </c>
      <c r="G261">
        <v>85.19</v>
      </c>
      <c r="H261">
        <v>1</v>
      </c>
    </row>
    <row r="262" spans="1:8">
      <c r="A262" s="1" t="s">
        <v>293</v>
      </c>
      <c r="B262" t="s">
        <v>304</v>
      </c>
      <c r="C262" t="s">
        <v>76</v>
      </c>
      <c r="D262">
        <v>8</v>
      </c>
      <c r="E262" t="s">
        <v>14</v>
      </c>
      <c r="F262">
        <v>120</v>
      </c>
      <c r="G262">
        <v>88.29</v>
      </c>
      <c r="H262">
        <v>5</v>
      </c>
    </row>
    <row r="263" spans="1:8">
      <c r="A263" s="1" t="s">
        <v>293</v>
      </c>
      <c r="B263" t="s">
        <v>305</v>
      </c>
      <c r="C263" t="s">
        <v>111</v>
      </c>
      <c r="D263">
        <v>83</v>
      </c>
      <c r="E263" t="s">
        <v>21</v>
      </c>
      <c r="F263">
        <v>30</v>
      </c>
      <c r="G263">
        <v>33.93</v>
      </c>
      <c r="H263">
        <v>3</v>
      </c>
    </row>
    <row r="264" spans="1:8">
      <c r="A264" s="1" t="s">
        <v>293</v>
      </c>
      <c r="B264" t="s">
        <v>306</v>
      </c>
      <c r="C264" t="s">
        <v>107</v>
      </c>
      <c r="D264">
        <v>4</v>
      </c>
      <c r="E264" t="s">
        <v>11</v>
      </c>
      <c r="F264">
        <v>49</v>
      </c>
      <c r="G264">
        <v>41.35</v>
      </c>
      <c r="H264">
        <v>5</v>
      </c>
    </row>
    <row r="265" spans="1:8">
      <c r="A265" s="1" t="s">
        <v>293</v>
      </c>
      <c r="B265" t="s">
        <v>307</v>
      </c>
      <c r="C265" t="s">
        <v>61</v>
      </c>
      <c r="D265">
        <v>48</v>
      </c>
      <c r="E265" t="s">
        <v>32</v>
      </c>
      <c r="F265">
        <v>416</v>
      </c>
      <c r="G265">
        <v>81.260000000000005</v>
      </c>
      <c r="H265">
        <v>5</v>
      </c>
    </row>
    <row r="266" spans="1:8">
      <c r="A266" s="1" t="s">
        <v>293</v>
      </c>
      <c r="B266" t="s">
        <v>308</v>
      </c>
      <c r="C266" t="s">
        <v>52</v>
      </c>
      <c r="D266">
        <v>87</v>
      </c>
      <c r="E266" t="s">
        <v>14</v>
      </c>
      <c r="F266">
        <v>21</v>
      </c>
      <c r="G266">
        <v>81.459999999999994</v>
      </c>
      <c r="H266">
        <v>3</v>
      </c>
    </row>
    <row r="267" spans="1:8">
      <c r="A267" s="1" t="s">
        <v>293</v>
      </c>
      <c r="B267" t="s">
        <v>309</v>
      </c>
      <c r="C267" t="s">
        <v>111</v>
      </c>
      <c r="D267">
        <v>5</v>
      </c>
      <c r="E267" t="s">
        <v>11</v>
      </c>
      <c r="F267">
        <v>98</v>
      </c>
      <c r="G267">
        <v>71.37</v>
      </c>
      <c r="H267">
        <v>1</v>
      </c>
    </row>
    <row r="268" spans="1:8">
      <c r="A268" s="1" t="s">
        <v>293</v>
      </c>
      <c r="B268" t="s">
        <v>310</v>
      </c>
      <c r="C268" t="s">
        <v>63</v>
      </c>
      <c r="D268">
        <v>25</v>
      </c>
      <c r="E268" t="s">
        <v>32</v>
      </c>
      <c r="F268">
        <v>467</v>
      </c>
      <c r="G268">
        <v>97.78</v>
      </c>
      <c r="H268">
        <v>3</v>
      </c>
    </row>
    <row r="269" spans="1:8">
      <c r="A269" s="1" t="s">
        <v>293</v>
      </c>
      <c r="B269" t="s">
        <v>311</v>
      </c>
      <c r="C269" t="s">
        <v>63</v>
      </c>
      <c r="D269">
        <v>82</v>
      </c>
      <c r="E269" t="s">
        <v>32</v>
      </c>
      <c r="F269">
        <v>32</v>
      </c>
      <c r="G269">
        <v>77.63</v>
      </c>
      <c r="H269">
        <v>1</v>
      </c>
    </row>
    <row r="270" spans="1:8">
      <c r="A270" s="1" t="s">
        <v>293</v>
      </c>
      <c r="B270" t="s">
        <v>312</v>
      </c>
      <c r="C270" t="s">
        <v>13</v>
      </c>
      <c r="D270">
        <v>99</v>
      </c>
      <c r="E270" t="s">
        <v>11</v>
      </c>
      <c r="F270">
        <v>325</v>
      </c>
      <c r="G270">
        <v>88.35</v>
      </c>
      <c r="H270">
        <v>4</v>
      </c>
    </row>
    <row r="271" spans="1:8">
      <c r="A271" s="1" t="s">
        <v>293</v>
      </c>
      <c r="B271" t="s">
        <v>313</v>
      </c>
      <c r="C271" t="s">
        <v>52</v>
      </c>
      <c r="D271">
        <v>96</v>
      </c>
      <c r="E271" t="s">
        <v>21</v>
      </c>
      <c r="F271">
        <v>290</v>
      </c>
      <c r="G271">
        <v>29</v>
      </c>
      <c r="H271">
        <v>3</v>
      </c>
    </row>
    <row r="272" spans="1:8">
      <c r="A272" s="1" t="s">
        <v>293</v>
      </c>
      <c r="B272" t="s">
        <v>314</v>
      </c>
      <c r="C272" t="s">
        <v>52</v>
      </c>
      <c r="D272">
        <v>40</v>
      </c>
      <c r="E272" t="s">
        <v>32</v>
      </c>
      <c r="F272">
        <v>102</v>
      </c>
      <c r="G272">
        <v>96.59</v>
      </c>
      <c r="H272">
        <v>5</v>
      </c>
    </row>
    <row r="273" spans="1:8">
      <c r="A273" s="1" t="s">
        <v>293</v>
      </c>
      <c r="B273" t="s">
        <v>315</v>
      </c>
      <c r="C273" t="s">
        <v>40</v>
      </c>
      <c r="D273">
        <v>10</v>
      </c>
      <c r="E273" t="s">
        <v>14</v>
      </c>
      <c r="F273">
        <v>93</v>
      </c>
      <c r="G273">
        <v>78.12</v>
      </c>
      <c r="H273">
        <v>4</v>
      </c>
    </row>
    <row r="274" spans="1:8">
      <c r="A274" s="1" t="s">
        <v>293</v>
      </c>
      <c r="B274" t="s">
        <v>316</v>
      </c>
      <c r="C274" t="s">
        <v>71</v>
      </c>
      <c r="D274">
        <v>76</v>
      </c>
      <c r="E274" t="s">
        <v>21</v>
      </c>
      <c r="F274">
        <v>383</v>
      </c>
      <c r="G274">
        <v>53.73</v>
      </c>
      <c r="H274">
        <v>2</v>
      </c>
    </row>
    <row r="275" spans="1:8">
      <c r="A275" s="1" t="s">
        <v>293</v>
      </c>
      <c r="B275" t="s">
        <v>317</v>
      </c>
      <c r="C275" t="s">
        <v>29</v>
      </c>
      <c r="D275">
        <v>45</v>
      </c>
      <c r="E275" t="s">
        <v>21</v>
      </c>
      <c r="F275">
        <v>43</v>
      </c>
      <c r="G275">
        <v>12.31</v>
      </c>
      <c r="H275">
        <v>0</v>
      </c>
    </row>
    <row r="276" spans="1:8">
      <c r="A276" s="1" t="s">
        <v>293</v>
      </c>
      <c r="B276" t="s">
        <v>318</v>
      </c>
      <c r="C276" t="s">
        <v>36</v>
      </c>
      <c r="D276">
        <v>63</v>
      </c>
      <c r="E276" t="s">
        <v>21</v>
      </c>
      <c r="F276">
        <v>95</v>
      </c>
      <c r="G276">
        <v>56.81</v>
      </c>
      <c r="H276">
        <v>0</v>
      </c>
    </row>
    <row r="277" spans="1:8">
      <c r="A277" s="1" t="s">
        <v>293</v>
      </c>
      <c r="B277" t="s">
        <v>319</v>
      </c>
      <c r="C277" t="s">
        <v>29</v>
      </c>
      <c r="D277">
        <v>91</v>
      </c>
      <c r="E277" t="s">
        <v>21</v>
      </c>
      <c r="F277">
        <v>63</v>
      </c>
      <c r="G277">
        <v>57.76</v>
      </c>
      <c r="H277">
        <v>5</v>
      </c>
    </row>
    <row r="278" spans="1:8">
      <c r="A278" s="1" t="s">
        <v>293</v>
      </c>
      <c r="B278" t="s">
        <v>320</v>
      </c>
      <c r="C278" t="s">
        <v>31</v>
      </c>
      <c r="D278">
        <v>32</v>
      </c>
      <c r="E278" t="s">
        <v>11</v>
      </c>
      <c r="F278">
        <v>4</v>
      </c>
      <c r="G278">
        <v>39</v>
      </c>
      <c r="H278">
        <v>0</v>
      </c>
    </row>
    <row r="279" spans="1:8">
      <c r="A279" s="1" t="s">
        <v>293</v>
      </c>
      <c r="B279" t="s">
        <v>321</v>
      </c>
      <c r="C279" t="s">
        <v>65</v>
      </c>
      <c r="D279">
        <v>62</v>
      </c>
      <c r="E279" t="s">
        <v>21</v>
      </c>
      <c r="F279">
        <v>136</v>
      </c>
      <c r="G279">
        <v>88.61</v>
      </c>
      <c r="H279">
        <v>2</v>
      </c>
    </row>
    <row r="280" spans="1:8">
      <c r="A280" s="1" t="s">
        <v>293</v>
      </c>
      <c r="B280" t="s">
        <v>322</v>
      </c>
      <c r="C280" t="s">
        <v>63</v>
      </c>
      <c r="D280">
        <v>56</v>
      </c>
      <c r="E280" t="s">
        <v>11</v>
      </c>
      <c r="F280">
        <v>55</v>
      </c>
      <c r="G280">
        <v>82.56</v>
      </c>
      <c r="H280">
        <v>2</v>
      </c>
    </row>
    <row r="281" spans="1:8">
      <c r="A281" s="1" t="s">
        <v>293</v>
      </c>
      <c r="B281" t="s">
        <v>323</v>
      </c>
      <c r="C281" t="s">
        <v>36</v>
      </c>
      <c r="D281">
        <v>105</v>
      </c>
      <c r="E281" t="s">
        <v>21</v>
      </c>
      <c r="F281">
        <v>3</v>
      </c>
      <c r="G281">
        <v>71.010000000000005</v>
      </c>
      <c r="H281">
        <v>1</v>
      </c>
    </row>
    <row r="282" spans="1:8">
      <c r="A282" s="1" t="s">
        <v>293</v>
      </c>
      <c r="B282" t="s">
        <v>324</v>
      </c>
      <c r="C282" t="s">
        <v>71</v>
      </c>
      <c r="D282">
        <v>95</v>
      </c>
      <c r="E282" t="s">
        <v>32</v>
      </c>
      <c r="F282">
        <v>51</v>
      </c>
      <c r="G282">
        <v>94.77</v>
      </c>
      <c r="H282">
        <v>5</v>
      </c>
    </row>
    <row r="283" spans="1:8">
      <c r="A283" s="1" t="s">
        <v>293</v>
      </c>
      <c r="B283" t="s">
        <v>325</v>
      </c>
      <c r="C283" t="s">
        <v>26</v>
      </c>
      <c r="D283">
        <v>50</v>
      </c>
      <c r="E283" t="s">
        <v>21</v>
      </c>
      <c r="F283">
        <v>446</v>
      </c>
      <c r="G283">
        <v>31.56</v>
      </c>
      <c r="H283">
        <v>5</v>
      </c>
    </row>
    <row r="284" spans="1:8">
      <c r="A284" s="1" t="s">
        <v>293</v>
      </c>
      <c r="B284" t="s">
        <v>326</v>
      </c>
      <c r="C284" t="s">
        <v>71</v>
      </c>
      <c r="D284">
        <v>84</v>
      </c>
      <c r="E284" t="s">
        <v>14</v>
      </c>
      <c r="F284">
        <v>244</v>
      </c>
      <c r="G284">
        <v>56.34</v>
      </c>
      <c r="H284">
        <v>5</v>
      </c>
    </row>
    <row r="285" spans="1:8">
      <c r="A285" s="1" t="s">
        <v>293</v>
      </c>
      <c r="B285" t="s">
        <v>327</v>
      </c>
      <c r="C285" t="s">
        <v>65</v>
      </c>
      <c r="D285">
        <v>114</v>
      </c>
      <c r="E285" t="s">
        <v>14</v>
      </c>
      <c r="F285">
        <v>388</v>
      </c>
      <c r="G285">
        <v>40.29</v>
      </c>
      <c r="H285">
        <v>5</v>
      </c>
    </row>
    <row r="286" spans="1:8">
      <c r="A286" s="1" t="s">
        <v>293</v>
      </c>
      <c r="B286" t="s">
        <v>328</v>
      </c>
      <c r="C286" t="s">
        <v>107</v>
      </c>
      <c r="D286">
        <v>63</v>
      </c>
      <c r="E286" t="s">
        <v>11</v>
      </c>
      <c r="F286">
        <v>141</v>
      </c>
      <c r="G286">
        <v>95.6</v>
      </c>
      <c r="H286">
        <v>4</v>
      </c>
    </row>
    <row r="287" spans="1:8">
      <c r="A287" s="1" t="s">
        <v>293</v>
      </c>
      <c r="B287" t="s">
        <v>329</v>
      </c>
      <c r="C287" t="s">
        <v>29</v>
      </c>
      <c r="D287">
        <v>73</v>
      </c>
      <c r="E287" t="s">
        <v>21</v>
      </c>
      <c r="F287">
        <v>225</v>
      </c>
      <c r="G287">
        <v>45.86</v>
      </c>
      <c r="H287">
        <v>0</v>
      </c>
    </row>
    <row r="288" spans="1:8">
      <c r="A288" s="1" t="s">
        <v>293</v>
      </c>
      <c r="B288" t="s">
        <v>330</v>
      </c>
      <c r="C288" t="s">
        <v>95</v>
      </c>
      <c r="D288">
        <v>66</v>
      </c>
      <c r="E288" t="s">
        <v>32</v>
      </c>
      <c r="F288">
        <v>193</v>
      </c>
      <c r="G288">
        <v>21.06</v>
      </c>
      <c r="H288">
        <v>3</v>
      </c>
    </row>
    <row r="289" spans="1:8">
      <c r="A289" s="1" t="s">
        <v>293</v>
      </c>
      <c r="B289" t="s">
        <v>331</v>
      </c>
      <c r="C289" t="s">
        <v>10</v>
      </c>
      <c r="D289">
        <v>21</v>
      </c>
      <c r="E289" t="s">
        <v>11</v>
      </c>
      <c r="F289">
        <v>320</v>
      </c>
      <c r="G289">
        <v>64.97</v>
      </c>
      <c r="H289">
        <v>1</v>
      </c>
    </row>
    <row r="290" spans="1:8">
      <c r="A290" s="1" t="s">
        <v>293</v>
      </c>
      <c r="B290" t="s">
        <v>332</v>
      </c>
      <c r="C290" t="s">
        <v>111</v>
      </c>
      <c r="D290">
        <v>120</v>
      </c>
      <c r="E290" t="s">
        <v>11</v>
      </c>
      <c r="F290">
        <v>209</v>
      </c>
      <c r="G290">
        <v>42.51</v>
      </c>
      <c r="H290">
        <v>4</v>
      </c>
    </row>
    <row r="291" spans="1:8">
      <c r="A291" s="1" t="s">
        <v>293</v>
      </c>
      <c r="B291" t="s">
        <v>333</v>
      </c>
      <c r="C291" t="s">
        <v>36</v>
      </c>
      <c r="D291">
        <v>118</v>
      </c>
      <c r="E291" t="s">
        <v>21</v>
      </c>
      <c r="F291">
        <v>489</v>
      </c>
      <c r="G291">
        <v>76.22</v>
      </c>
      <c r="H291">
        <v>2</v>
      </c>
    </row>
    <row r="292" spans="1:8">
      <c r="A292" s="1" t="s">
        <v>293</v>
      </c>
      <c r="B292" t="s">
        <v>334</v>
      </c>
      <c r="C292" t="s">
        <v>79</v>
      </c>
      <c r="D292">
        <v>117</v>
      </c>
      <c r="E292" t="s">
        <v>14</v>
      </c>
      <c r="F292">
        <v>85</v>
      </c>
      <c r="G292">
        <v>46.16</v>
      </c>
      <c r="H292">
        <v>3</v>
      </c>
    </row>
    <row r="293" spans="1:8">
      <c r="A293" s="1" t="s">
        <v>293</v>
      </c>
      <c r="B293" t="s">
        <v>335</v>
      </c>
      <c r="C293" t="s">
        <v>31</v>
      </c>
      <c r="D293">
        <v>55</v>
      </c>
      <c r="E293" t="s">
        <v>11</v>
      </c>
      <c r="F293">
        <v>389</v>
      </c>
      <c r="G293">
        <v>67.430000000000007</v>
      </c>
      <c r="H293">
        <v>3</v>
      </c>
    </row>
    <row r="294" spans="1:8">
      <c r="A294" s="1" t="s">
        <v>293</v>
      </c>
      <c r="B294" t="s">
        <v>336</v>
      </c>
      <c r="C294" t="s">
        <v>61</v>
      </c>
      <c r="D294">
        <v>5</v>
      </c>
      <c r="E294" t="s">
        <v>32</v>
      </c>
      <c r="F294">
        <v>384</v>
      </c>
      <c r="G294">
        <v>97.26</v>
      </c>
      <c r="H294">
        <v>3</v>
      </c>
    </row>
    <row r="295" spans="1:8">
      <c r="A295" s="1" t="s">
        <v>293</v>
      </c>
      <c r="B295" t="s">
        <v>337</v>
      </c>
      <c r="C295" t="s">
        <v>43</v>
      </c>
      <c r="D295">
        <v>-53</v>
      </c>
      <c r="E295" t="s">
        <v>14</v>
      </c>
      <c r="F295">
        <v>414</v>
      </c>
      <c r="G295">
        <v>64.39</v>
      </c>
      <c r="H295">
        <v>1</v>
      </c>
    </row>
    <row r="296" spans="1:8">
      <c r="A296" s="1" t="s">
        <v>293</v>
      </c>
      <c r="B296" t="s">
        <v>338</v>
      </c>
      <c r="C296" t="s">
        <v>43</v>
      </c>
      <c r="D296">
        <v>48</v>
      </c>
      <c r="E296" t="s">
        <v>21</v>
      </c>
      <c r="F296">
        <v>15</v>
      </c>
      <c r="G296">
        <v>50.67</v>
      </c>
      <c r="H296">
        <v>1</v>
      </c>
    </row>
    <row r="297" spans="1:8">
      <c r="A297" s="1" t="s">
        <v>293</v>
      </c>
      <c r="B297" t="s">
        <v>339</v>
      </c>
      <c r="C297" t="s">
        <v>43</v>
      </c>
      <c r="D297">
        <v>81</v>
      </c>
      <c r="E297" t="s">
        <v>11</v>
      </c>
      <c r="F297">
        <v>298</v>
      </c>
      <c r="G297">
        <v>53.61</v>
      </c>
      <c r="H297">
        <v>2</v>
      </c>
    </row>
    <row r="298" spans="1:8">
      <c r="A298" s="1" t="s">
        <v>293</v>
      </c>
      <c r="B298" t="s">
        <v>340</v>
      </c>
      <c r="C298" t="s">
        <v>36</v>
      </c>
      <c r="D298">
        <v>33</v>
      </c>
      <c r="E298" t="s">
        <v>32</v>
      </c>
      <c r="F298">
        <v>444</v>
      </c>
      <c r="G298">
        <v>10.28</v>
      </c>
      <c r="H298">
        <v>5</v>
      </c>
    </row>
    <row r="299" spans="1:8">
      <c r="A299" s="1" t="s">
        <v>293</v>
      </c>
      <c r="B299" t="s">
        <v>341</v>
      </c>
      <c r="C299" t="s">
        <v>107</v>
      </c>
      <c r="D299">
        <v>91</v>
      </c>
      <c r="E299" t="s">
        <v>21</v>
      </c>
      <c r="F299">
        <v>404</v>
      </c>
      <c r="G299">
        <v>76.53</v>
      </c>
      <c r="H299">
        <v>5</v>
      </c>
    </row>
    <row r="300" spans="1:8">
      <c r="A300" s="1" t="s">
        <v>293</v>
      </c>
      <c r="B300" t="s">
        <v>342</v>
      </c>
      <c r="C300" t="s">
        <v>26</v>
      </c>
      <c r="D300">
        <v>90</v>
      </c>
      <c r="E300" t="s">
        <v>11</v>
      </c>
      <c r="F300">
        <v>299</v>
      </c>
      <c r="G300">
        <v>71.760000000000005</v>
      </c>
      <c r="H300">
        <v>1</v>
      </c>
    </row>
    <row r="301" spans="1:8">
      <c r="A301" s="1" t="s">
        <v>293</v>
      </c>
      <c r="B301" t="s">
        <v>343</v>
      </c>
      <c r="C301" t="s">
        <v>65</v>
      </c>
      <c r="D301">
        <v>32</v>
      </c>
      <c r="E301" t="s">
        <v>21</v>
      </c>
      <c r="F301">
        <v>31</v>
      </c>
      <c r="G301">
        <v>67.040000000000006</v>
      </c>
      <c r="H301">
        <v>1</v>
      </c>
    </row>
    <row r="302" spans="1:8">
      <c r="A302" s="1" t="s">
        <v>344</v>
      </c>
      <c r="B302" t="s">
        <v>345</v>
      </c>
      <c r="C302" t="s">
        <v>36</v>
      </c>
      <c r="D302">
        <v>77</v>
      </c>
      <c r="E302" t="s">
        <v>32</v>
      </c>
      <c r="F302">
        <v>488</v>
      </c>
      <c r="G302">
        <v>21.17</v>
      </c>
      <c r="H302">
        <v>0</v>
      </c>
    </row>
    <row r="303" spans="1:8">
      <c r="A303" s="1" t="s">
        <v>344</v>
      </c>
      <c r="B303" t="s">
        <v>346</v>
      </c>
      <c r="C303" t="s">
        <v>40</v>
      </c>
      <c r="D303">
        <v>69</v>
      </c>
      <c r="E303" t="s">
        <v>11</v>
      </c>
      <c r="F303">
        <v>76</v>
      </c>
      <c r="G303">
        <v>91.8</v>
      </c>
      <c r="H303">
        <v>5</v>
      </c>
    </row>
    <row r="304" spans="1:8">
      <c r="A304" s="1" t="s">
        <v>344</v>
      </c>
      <c r="B304" t="s">
        <v>347</v>
      </c>
      <c r="C304" t="s">
        <v>76</v>
      </c>
      <c r="D304">
        <v>19</v>
      </c>
      <c r="E304" t="s">
        <v>14</v>
      </c>
      <c r="F304">
        <v>305</v>
      </c>
      <c r="G304">
        <v>81.11</v>
      </c>
      <c r="H304">
        <v>1</v>
      </c>
    </row>
    <row r="305" spans="1:8">
      <c r="A305" s="1" t="s">
        <v>344</v>
      </c>
      <c r="B305" t="s">
        <v>348</v>
      </c>
      <c r="C305" t="s">
        <v>31</v>
      </c>
      <c r="D305">
        <v>19</v>
      </c>
      <c r="E305" t="s">
        <v>21</v>
      </c>
      <c r="F305">
        <v>334</v>
      </c>
      <c r="G305">
        <v>96.91</v>
      </c>
      <c r="H305">
        <v>1</v>
      </c>
    </row>
    <row r="306" spans="1:8">
      <c r="A306" s="1" t="s">
        <v>344</v>
      </c>
      <c r="B306" t="s">
        <v>349</v>
      </c>
      <c r="C306" t="s">
        <v>57</v>
      </c>
      <c r="D306">
        <v>2</v>
      </c>
      <c r="E306" t="s">
        <v>11</v>
      </c>
      <c r="F306">
        <v>496</v>
      </c>
      <c r="G306">
        <v>15.71</v>
      </c>
      <c r="H306">
        <v>3</v>
      </c>
    </row>
    <row r="307" spans="1:8">
      <c r="A307" s="1" t="s">
        <v>344</v>
      </c>
      <c r="B307" t="s">
        <v>350</v>
      </c>
      <c r="C307" t="s">
        <v>36</v>
      </c>
      <c r="D307">
        <v>29</v>
      </c>
      <c r="E307" t="s">
        <v>14</v>
      </c>
      <c r="F307">
        <v>173</v>
      </c>
      <c r="G307">
        <v>49.03</v>
      </c>
      <c r="H307">
        <v>3</v>
      </c>
    </row>
    <row r="308" spans="1:8">
      <c r="A308" s="1" t="s">
        <v>344</v>
      </c>
      <c r="B308" t="s">
        <v>351</v>
      </c>
      <c r="C308" t="s">
        <v>36</v>
      </c>
      <c r="D308">
        <v>78</v>
      </c>
      <c r="E308" t="s">
        <v>32</v>
      </c>
      <c r="F308">
        <v>263</v>
      </c>
      <c r="G308">
        <v>53.58</v>
      </c>
      <c r="H308">
        <v>5</v>
      </c>
    </row>
    <row r="309" spans="1:8">
      <c r="A309" s="1" t="s">
        <v>344</v>
      </c>
      <c r="B309" t="s">
        <v>352</v>
      </c>
      <c r="C309" t="s">
        <v>111</v>
      </c>
      <c r="D309">
        <v>103</v>
      </c>
      <c r="E309" t="s">
        <v>21</v>
      </c>
      <c r="F309">
        <v>182</v>
      </c>
      <c r="G309">
        <v>12.07</v>
      </c>
      <c r="H309">
        <v>5</v>
      </c>
    </row>
    <row r="310" spans="1:8">
      <c r="A310" s="1" t="s">
        <v>344</v>
      </c>
      <c r="B310" t="s">
        <v>353</v>
      </c>
      <c r="C310" t="s">
        <v>71</v>
      </c>
      <c r="D310">
        <v>106</v>
      </c>
      <c r="E310" t="s">
        <v>21</v>
      </c>
      <c r="F310">
        <v>407</v>
      </c>
      <c r="G310">
        <v>59.92</v>
      </c>
      <c r="H310">
        <v>4</v>
      </c>
    </row>
    <row r="311" spans="1:8">
      <c r="A311" s="1" t="s">
        <v>344</v>
      </c>
      <c r="B311" t="s">
        <v>354</v>
      </c>
      <c r="C311" t="s">
        <v>26</v>
      </c>
      <c r="D311">
        <v>120</v>
      </c>
      <c r="E311" t="s">
        <v>21</v>
      </c>
      <c r="F311">
        <v>242</v>
      </c>
      <c r="G311">
        <v>61.54</v>
      </c>
      <c r="H311">
        <v>1</v>
      </c>
    </row>
    <row r="312" spans="1:8">
      <c r="A312" s="1" t="s">
        <v>344</v>
      </c>
      <c r="B312" t="s">
        <v>355</v>
      </c>
      <c r="C312" t="s">
        <v>79</v>
      </c>
      <c r="D312">
        <v>38</v>
      </c>
      <c r="E312" t="s">
        <v>32</v>
      </c>
      <c r="F312">
        <v>60</v>
      </c>
      <c r="G312">
        <v>58.28</v>
      </c>
      <c r="H312">
        <v>4</v>
      </c>
    </row>
    <row r="313" spans="1:8">
      <c r="A313" s="1" t="s">
        <v>344</v>
      </c>
      <c r="B313" t="s">
        <v>356</v>
      </c>
      <c r="C313" t="s">
        <v>45</v>
      </c>
      <c r="D313">
        <v>89</v>
      </c>
      <c r="E313" t="s">
        <v>21</v>
      </c>
      <c r="F313">
        <v>418</v>
      </c>
      <c r="G313">
        <v>86.63</v>
      </c>
      <c r="H313">
        <v>4</v>
      </c>
    </row>
    <row r="314" spans="1:8">
      <c r="A314" s="1" t="s">
        <v>344</v>
      </c>
      <c r="B314" t="s">
        <v>357</v>
      </c>
      <c r="C314" t="s">
        <v>43</v>
      </c>
      <c r="D314">
        <v>25</v>
      </c>
      <c r="E314" t="s">
        <v>11</v>
      </c>
      <c r="F314">
        <v>218</v>
      </c>
      <c r="G314">
        <v>68.790000000000006</v>
      </c>
      <c r="H314">
        <v>0</v>
      </c>
    </row>
    <row r="315" spans="1:8">
      <c r="A315" s="1" t="s">
        <v>344</v>
      </c>
      <c r="B315" t="s">
        <v>358</v>
      </c>
      <c r="C315" t="s">
        <v>76</v>
      </c>
      <c r="D315">
        <v>17</v>
      </c>
      <c r="E315" t="s">
        <v>21</v>
      </c>
      <c r="F315">
        <v>483</v>
      </c>
      <c r="G315">
        <v>77.08</v>
      </c>
      <c r="H315">
        <v>0</v>
      </c>
    </row>
    <row r="316" spans="1:8">
      <c r="A316" s="1" t="s">
        <v>344</v>
      </c>
      <c r="B316" t="s">
        <v>359</v>
      </c>
      <c r="C316" t="s">
        <v>26</v>
      </c>
      <c r="D316">
        <v>109</v>
      </c>
      <c r="E316" t="s">
        <v>21</v>
      </c>
      <c r="F316">
        <v>347</v>
      </c>
      <c r="G316">
        <v>43.06</v>
      </c>
      <c r="H316">
        <v>4</v>
      </c>
    </row>
    <row r="317" spans="1:8">
      <c r="A317" s="1" t="s">
        <v>344</v>
      </c>
      <c r="B317" t="s">
        <v>360</v>
      </c>
      <c r="C317" t="s">
        <v>63</v>
      </c>
      <c r="D317">
        <v>110</v>
      </c>
      <c r="E317" t="s">
        <v>32</v>
      </c>
      <c r="F317">
        <v>321</v>
      </c>
      <c r="G317">
        <v>81.569999999999993</v>
      </c>
      <c r="H317">
        <v>2</v>
      </c>
    </row>
    <row r="318" spans="1:8">
      <c r="A318" s="1" t="s">
        <v>344</v>
      </c>
      <c r="B318" t="s">
        <v>361</v>
      </c>
      <c r="C318" t="s">
        <v>36</v>
      </c>
      <c r="D318">
        <v>96</v>
      </c>
      <c r="E318" t="s">
        <v>21</v>
      </c>
      <c r="F318">
        <v>381</v>
      </c>
      <c r="G318">
        <v>90.78</v>
      </c>
      <c r="H318">
        <v>2</v>
      </c>
    </row>
    <row r="319" spans="1:8">
      <c r="A319" s="1" t="s">
        <v>344</v>
      </c>
      <c r="B319" t="s">
        <v>362</v>
      </c>
      <c r="C319" t="s">
        <v>18</v>
      </c>
      <c r="D319">
        <v>108</v>
      </c>
      <c r="E319" t="s">
        <v>21</v>
      </c>
      <c r="F319">
        <v>123</v>
      </c>
      <c r="G319">
        <v>83.1</v>
      </c>
      <c r="H319">
        <v>1</v>
      </c>
    </row>
    <row r="320" spans="1:8">
      <c r="A320" s="1" t="s">
        <v>344</v>
      </c>
      <c r="B320" t="s">
        <v>363</v>
      </c>
      <c r="C320" t="s">
        <v>76</v>
      </c>
      <c r="D320">
        <v>41</v>
      </c>
      <c r="E320" t="s">
        <v>11</v>
      </c>
      <c r="F320">
        <v>474</v>
      </c>
      <c r="G320">
        <v>54.03</v>
      </c>
      <c r="H320">
        <v>4</v>
      </c>
    </row>
    <row r="321" spans="1:8">
      <c r="A321" s="1" t="s">
        <v>344</v>
      </c>
      <c r="B321" t="s">
        <v>364</v>
      </c>
      <c r="C321" t="s">
        <v>107</v>
      </c>
      <c r="D321">
        <v>5</v>
      </c>
      <c r="E321" t="s">
        <v>21</v>
      </c>
      <c r="F321">
        <v>337</v>
      </c>
      <c r="G321">
        <v>21.07</v>
      </c>
      <c r="H321">
        <v>4</v>
      </c>
    </row>
    <row r="322" spans="1:8">
      <c r="A322" s="1" t="s">
        <v>344</v>
      </c>
      <c r="B322" t="s">
        <v>365</v>
      </c>
      <c r="C322" t="s">
        <v>92</v>
      </c>
      <c r="D322">
        <v>109</v>
      </c>
      <c r="E322" t="s">
        <v>11</v>
      </c>
      <c r="F322">
        <v>397</v>
      </c>
      <c r="G322">
        <v>63.92</v>
      </c>
      <c r="H322">
        <v>1</v>
      </c>
    </row>
    <row r="323" spans="1:8">
      <c r="A323" s="1" t="s">
        <v>344</v>
      </c>
      <c r="B323" t="s">
        <v>366</v>
      </c>
      <c r="C323" t="s">
        <v>36</v>
      </c>
      <c r="D323">
        <v>76</v>
      </c>
      <c r="E323" t="s">
        <v>21</v>
      </c>
      <c r="F323">
        <v>332</v>
      </c>
      <c r="G323">
        <v>68.010000000000005</v>
      </c>
      <c r="H323">
        <v>4</v>
      </c>
    </row>
    <row r="324" spans="1:8">
      <c r="A324" s="1" t="s">
        <v>344</v>
      </c>
      <c r="B324" t="s">
        <v>367</v>
      </c>
      <c r="C324" t="s">
        <v>92</v>
      </c>
      <c r="D324">
        <v>47</v>
      </c>
      <c r="E324" t="s">
        <v>32</v>
      </c>
      <c r="F324">
        <v>49</v>
      </c>
      <c r="G324">
        <v>55.88</v>
      </c>
      <c r="H324">
        <v>3</v>
      </c>
    </row>
    <row r="325" spans="1:8">
      <c r="A325" s="1" t="s">
        <v>344</v>
      </c>
      <c r="B325" t="s">
        <v>368</v>
      </c>
      <c r="C325" t="s">
        <v>24</v>
      </c>
      <c r="D325">
        <v>105</v>
      </c>
      <c r="E325" t="s">
        <v>32</v>
      </c>
      <c r="F325">
        <v>17</v>
      </c>
      <c r="G325">
        <v>60.05</v>
      </c>
      <c r="H325">
        <v>4</v>
      </c>
    </row>
    <row r="326" spans="1:8">
      <c r="A326" s="1" t="s">
        <v>344</v>
      </c>
      <c r="B326" t="s">
        <v>369</v>
      </c>
      <c r="C326" t="s">
        <v>26</v>
      </c>
      <c r="D326">
        <v>59</v>
      </c>
      <c r="E326" t="s">
        <v>32</v>
      </c>
      <c r="F326">
        <v>352</v>
      </c>
      <c r="G326">
        <v>74.239999999999995</v>
      </c>
      <c r="H326">
        <v>0</v>
      </c>
    </row>
    <row r="327" spans="1:8">
      <c r="A327" s="1" t="s">
        <v>344</v>
      </c>
      <c r="B327" t="s">
        <v>370</v>
      </c>
      <c r="C327" t="s">
        <v>92</v>
      </c>
      <c r="D327">
        <v>37</v>
      </c>
      <c r="E327" t="s">
        <v>11</v>
      </c>
      <c r="F327">
        <v>88</v>
      </c>
      <c r="G327">
        <v>77.77</v>
      </c>
      <c r="H327">
        <v>1</v>
      </c>
    </row>
    <row r="328" spans="1:8">
      <c r="A328" s="1" t="s">
        <v>344</v>
      </c>
      <c r="B328" t="s">
        <v>371</v>
      </c>
      <c r="C328" t="s">
        <v>29</v>
      </c>
      <c r="D328">
        <v>29</v>
      </c>
      <c r="E328" t="s">
        <v>11</v>
      </c>
      <c r="F328">
        <v>203</v>
      </c>
      <c r="G328">
        <v>53.97</v>
      </c>
      <c r="H328">
        <v>5</v>
      </c>
    </row>
    <row r="329" spans="1:8">
      <c r="A329" s="1" t="s">
        <v>344</v>
      </c>
      <c r="B329" t="s">
        <v>372</v>
      </c>
      <c r="C329" t="s">
        <v>29</v>
      </c>
      <c r="D329">
        <v>65</v>
      </c>
      <c r="E329" t="s">
        <v>14</v>
      </c>
      <c r="F329">
        <v>442</v>
      </c>
      <c r="G329">
        <v>60.62</v>
      </c>
      <c r="H329">
        <v>5</v>
      </c>
    </row>
    <row r="330" spans="1:8">
      <c r="A330" s="1" t="s">
        <v>344</v>
      </c>
      <c r="B330" t="s">
        <v>373</v>
      </c>
      <c r="C330" t="s">
        <v>38</v>
      </c>
      <c r="D330">
        <v>85</v>
      </c>
      <c r="E330" t="s">
        <v>11</v>
      </c>
      <c r="F330">
        <v>60</v>
      </c>
      <c r="G330">
        <v>26.3</v>
      </c>
      <c r="H330">
        <v>2</v>
      </c>
    </row>
    <row r="331" spans="1:8">
      <c r="A331" s="1" t="s">
        <v>344</v>
      </c>
      <c r="B331" t="s">
        <v>374</v>
      </c>
      <c r="C331" t="s">
        <v>26</v>
      </c>
      <c r="D331">
        <v>64</v>
      </c>
      <c r="E331" t="s">
        <v>14</v>
      </c>
      <c r="F331">
        <v>250</v>
      </c>
      <c r="G331">
        <v>56.7</v>
      </c>
      <c r="H331">
        <v>0</v>
      </c>
    </row>
    <row r="332" spans="1:8">
      <c r="A332" s="1" t="s">
        <v>344</v>
      </c>
      <c r="B332" t="s">
        <v>375</v>
      </c>
      <c r="C332" t="s">
        <v>20</v>
      </c>
      <c r="D332">
        <v>103</v>
      </c>
      <c r="E332" t="s">
        <v>32</v>
      </c>
      <c r="F332">
        <v>354</v>
      </c>
      <c r="G332">
        <v>26.19</v>
      </c>
      <c r="H332">
        <v>4</v>
      </c>
    </row>
    <row r="333" spans="1:8">
      <c r="A333" s="1" t="s">
        <v>344</v>
      </c>
      <c r="B333" t="s">
        <v>376</v>
      </c>
      <c r="C333" t="s">
        <v>18</v>
      </c>
      <c r="D333">
        <v>86</v>
      </c>
      <c r="E333" t="s">
        <v>11</v>
      </c>
      <c r="F333">
        <v>192</v>
      </c>
      <c r="G333">
        <v>26.26</v>
      </c>
      <c r="H333">
        <v>1</v>
      </c>
    </row>
    <row r="334" spans="1:8">
      <c r="A334" s="1" t="s">
        <v>344</v>
      </c>
      <c r="B334" t="s">
        <v>377</v>
      </c>
      <c r="C334" t="s">
        <v>92</v>
      </c>
      <c r="D334">
        <v>77</v>
      </c>
      <c r="E334" t="s">
        <v>21</v>
      </c>
      <c r="F334">
        <v>45</v>
      </c>
      <c r="G334">
        <v>21.59</v>
      </c>
      <c r="H334">
        <v>2</v>
      </c>
    </row>
    <row r="335" spans="1:8">
      <c r="A335" s="1" t="s">
        <v>344</v>
      </c>
      <c r="B335" t="s">
        <v>378</v>
      </c>
      <c r="C335" t="s">
        <v>76</v>
      </c>
      <c r="D335">
        <v>90</v>
      </c>
      <c r="E335" t="s">
        <v>21</v>
      </c>
      <c r="F335">
        <v>343</v>
      </c>
      <c r="G335">
        <v>82.05</v>
      </c>
      <c r="H335">
        <v>1</v>
      </c>
    </row>
    <row r="336" spans="1:8">
      <c r="A336" s="1" t="s">
        <v>344</v>
      </c>
      <c r="B336" t="s">
        <v>379</v>
      </c>
      <c r="C336" t="s">
        <v>107</v>
      </c>
      <c r="D336">
        <v>67</v>
      </c>
      <c r="E336" t="s">
        <v>11</v>
      </c>
      <c r="F336">
        <v>26</v>
      </c>
      <c r="G336">
        <v>81.489999999999995</v>
      </c>
      <c r="H336">
        <v>4</v>
      </c>
    </row>
    <row r="337" spans="1:8">
      <c r="A337" s="1" t="s">
        <v>344</v>
      </c>
      <c r="B337" t="s">
        <v>380</v>
      </c>
      <c r="C337" t="s">
        <v>65</v>
      </c>
      <c r="D337">
        <v>40</v>
      </c>
      <c r="E337" t="s">
        <v>32</v>
      </c>
      <c r="F337">
        <v>237</v>
      </c>
      <c r="G337">
        <v>24.51</v>
      </c>
      <c r="H337">
        <v>1</v>
      </c>
    </row>
    <row r="338" spans="1:8">
      <c r="A338" s="1" t="s">
        <v>344</v>
      </c>
      <c r="B338" t="s">
        <v>381</v>
      </c>
      <c r="C338" t="s">
        <v>40</v>
      </c>
      <c r="D338">
        <v>50</v>
      </c>
      <c r="E338" t="s">
        <v>11</v>
      </c>
      <c r="F338">
        <v>430</v>
      </c>
      <c r="G338">
        <v>20.8</v>
      </c>
      <c r="H338">
        <v>2</v>
      </c>
    </row>
    <row r="339" spans="1:8">
      <c r="A339" s="1" t="s">
        <v>344</v>
      </c>
      <c r="B339" t="s">
        <v>382</v>
      </c>
      <c r="C339" t="s">
        <v>36</v>
      </c>
      <c r="D339">
        <v>69</v>
      </c>
      <c r="E339" t="s">
        <v>32</v>
      </c>
      <c r="F339">
        <v>486</v>
      </c>
      <c r="G339">
        <v>34.770000000000003</v>
      </c>
      <c r="H339">
        <v>0</v>
      </c>
    </row>
    <row r="340" spans="1:8">
      <c r="A340" s="1" t="s">
        <v>344</v>
      </c>
      <c r="B340" t="s">
        <v>383</v>
      </c>
      <c r="C340" t="s">
        <v>57</v>
      </c>
      <c r="D340">
        <v>51</v>
      </c>
      <c r="E340" t="s">
        <v>32</v>
      </c>
      <c r="F340">
        <v>222</v>
      </c>
      <c r="G340">
        <v>18.95</v>
      </c>
      <c r="H340">
        <v>4</v>
      </c>
    </row>
    <row r="341" spans="1:8">
      <c r="A341" s="1" t="s">
        <v>344</v>
      </c>
      <c r="B341" t="s">
        <v>384</v>
      </c>
      <c r="C341" t="s">
        <v>57</v>
      </c>
      <c r="D341">
        <v>102</v>
      </c>
      <c r="E341" t="s">
        <v>14</v>
      </c>
      <c r="F341">
        <v>91</v>
      </c>
      <c r="G341">
        <v>34.64</v>
      </c>
      <c r="H341">
        <v>2</v>
      </c>
    </row>
    <row r="342" spans="1:8">
      <c r="A342" s="1" t="s">
        <v>344</v>
      </c>
      <c r="B342" t="s">
        <v>385</v>
      </c>
      <c r="C342" t="s">
        <v>38</v>
      </c>
      <c r="D342">
        <v>55</v>
      </c>
      <c r="E342" t="s">
        <v>32</v>
      </c>
      <c r="F342">
        <v>86</v>
      </c>
      <c r="G342">
        <v>17.440000000000001</v>
      </c>
      <c r="H342">
        <v>2</v>
      </c>
    </row>
    <row r="343" spans="1:8">
      <c r="A343" s="1" t="s">
        <v>344</v>
      </c>
      <c r="B343" t="s">
        <v>386</v>
      </c>
      <c r="C343" t="s">
        <v>52</v>
      </c>
      <c r="D343">
        <v>59</v>
      </c>
      <c r="E343" t="s">
        <v>11</v>
      </c>
      <c r="F343">
        <v>369</v>
      </c>
      <c r="G343">
        <v>26.64</v>
      </c>
      <c r="H343">
        <v>4</v>
      </c>
    </row>
    <row r="344" spans="1:8">
      <c r="A344" s="1" t="s">
        <v>344</v>
      </c>
      <c r="B344" t="s">
        <v>387</v>
      </c>
      <c r="C344" t="s">
        <v>18</v>
      </c>
      <c r="D344">
        <v>88</v>
      </c>
      <c r="E344" t="s">
        <v>21</v>
      </c>
      <c r="F344">
        <v>154</v>
      </c>
      <c r="G344">
        <v>62.62</v>
      </c>
      <c r="H344">
        <v>5</v>
      </c>
    </row>
    <row r="345" spans="1:8">
      <c r="A345" s="1" t="s">
        <v>344</v>
      </c>
      <c r="B345" t="s">
        <v>388</v>
      </c>
      <c r="C345" t="s">
        <v>57</v>
      </c>
      <c r="D345">
        <v>76</v>
      </c>
      <c r="E345" t="s">
        <v>14</v>
      </c>
      <c r="F345">
        <v>192</v>
      </c>
      <c r="G345">
        <v>68.53</v>
      </c>
      <c r="H345">
        <v>0</v>
      </c>
    </row>
    <row r="346" spans="1:8">
      <c r="A346" s="1" t="s">
        <v>344</v>
      </c>
      <c r="B346" t="s">
        <v>389</v>
      </c>
      <c r="C346" t="s">
        <v>40</v>
      </c>
      <c r="D346">
        <v>41</v>
      </c>
      <c r="E346" t="s">
        <v>11</v>
      </c>
      <c r="F346">
        <v>206</v>
      </c>
      <c r="G346">
        <v>83.16</v>
      </c>
      <c r="H346">
        <v>2</v>
      </c>
    </row>
    <row r="347" spans="1:8">
      <c r="A347" s="1" t="s">
        <v>344</v>
      </c>
      <c r="B347" t="s">
        <v>390</v>
      </c>
      <c r="C347" t="s">
        <v>24</v>
      </c>
      <c r="D347">
        <v>19</v>
      </c>
      <c r="E347" t="s">
        <v>14</v>
      </c>
      <c r="F347">
        <v>125</v>
      </c>
      <c r="G347">
        <v>11.78</v>
      </c>
      <c r="H347">
        <v>4</v>
      </c>
    </row>
    <row r="348" spans="1:8">
      <c r="A348" s="1" t="s">
        <v>344</v>
      </c>
      <c r="B348" t="s">
        <v>391</v>
      </c>
      <c r="C348" t="s">
        <v>24</v>
      </c>
      <c r="D348">
        <v>99</v>
      </c>
      <c r="E348" t="s">
        <v>14</v>
      </c>
      <c r="F348">
        <v>28</v>
      </c>
      <c r="G348">
        <v>70.19</v>
      </c>
      <c r="H348">
        <v>1</v>
      </c>
    </row>
    <row r="349" spans="1:8">
      <c r="A349" s="1" t="s">
        <v>344</v>
      </c>
      <c r="B349" t="s">
        <v>392</v>
      </c>
      <c r="C349" t="s">
        <v>36</v>
      </c>
      <c r="D349">
        <v>41</v>
      </c>
      <c r="E349" t="s">
        <v>14</v>
      </c>
      <c r="F349">
        <v>398</v>
      </c>
      <c r="G349">
        <v>28.56</v>
      </c>
      <c r="H349">
        <v>2</v>
      </c>
    </row>
    <row r="350" spans="1:8">
      <c r="A350" s="1" t="s">
        <v>344</v>
      </c>
      <c r="B350" t="s">
        <v>393</v>
      </c>
      <c r="C350" t="s">
        <v>10</v>
      </c>
      <c r="D350">
        <v>87</v>
      </c>
      <c r="E350" t="s">
        <v>21</v>
      </c>
      <c r="F350">
        <v>498</v>
      </c>
      <c r="G350">
        <v>61.57</v>
      </c>
      <c r="H350">
        <v>0</v>
      </c>
    </row>
    <row r="351" spans="1:8">
      <c r="A351" s="1" t="s">
        <v>344</v>
      </c>
      <c r="B351" t="s">
        <v>394</v>
      </c>
      <c r="C351" t="s">
        <v>107</v>
      </c>
      <c r="D351">
        <v>14</v>
      </c>
      <c r="E351" t="s">
        <v>11</v>
      </c>
      <c r="F351">
        <v>303</v>
      </c>
      <c r="G351">
        <v>61.43</v>
      </c>
      <c r="H351">
        <v>1</v>
      </c>
    </row>
    <row r="352" spans="1:8">
      <c r="A352" s="1" t="s">
        <v>395</v>
      </c>
      <c r="B352" t="s">
        <v>396</v>
      </c>
      <c r="C352" t="s">
        <v>57</v>
      </c>
      <c r="D352">
        <v>49</v>
      </c>
      <c r="E352" t="s">
        <v>21</v>
      </c>
      <c r="F352">
        <v>86</v>
      </c>
      <c r="G352">
        <v>65.400000000000006</v>
      </c>
      <c r="H352">
        <v>2</v>
      </c>
    </row>
    <row r="353" spans="1:8">
      <c r="A353" s="1" t="s">
        <v>395</v>
      </c>
      <c r="B353" t="s">
        <v>397</v>
      </c>
      <c r="C353" t="s">
        <v>57</v>
      </c>
      <c r="D353">
        <v>106</v>
      </c>
      <c r="E353" t="s">
        <v>11</v>
      </c>
      <c r="F353">
        <v>429</v>
      </c>
      <c r="G353">
        <v>23.83</v>
      </c>
      <c r="H353">
        <v>1</v>
      </c>
    </row>
    <row r="354" spans="1:8">
      <c r="A354" s="1" t="s">
        <v>395</v>
      </c>
      <c r="B354" t="s">
        <v>398</v>
      </c>
      <c r="C354" t="s">
        <v>63</v>
      </c>
      <c r="D354">
        <v>50</v>
      </c>
      <c r="E354" t="s">
        <v>14</v>
      </c>
      <c r="F354">
        <v>435</v>
      </c>
      <c r="G354">
        <v>27.86</v>
      </c>
      <c r="H354">
        <v>3</v>
      </c>
    </row>
    <row r="355" spans="1:8">
      <c r="A355" s="1" t="s">
        <v>395</v>
      </c>
      <c r="B355" t="s">
        <v>399</v>
      </c>
      <c r="C355" t="s">
        <v>26</v>
      </c>
      <c r="D355">
        <v>29</v>
      </c>
      <c r="E355" t="s">
        <v>11</v>
      </c>
      <c r="F355">
        <v>493</v>
      </c>
      <c r="G355">
        <v>42.02</v>
      </c>
      <c r="H355">
        <v>1</v>
      </c>
    </row>
    <row r="356" spans="1:8">
      <c r="A356" s="1" t="s">
        <v>395</v>
      </c>
      <c r="B356" t="s">
        <v>400</v>
      </c>
      <c r="C356" t="s">
        <v>13</v>
      </c>
      <c r="D356">
        <v>43</v>
      </c>
      <c r="E356" t="s">
        <v>32</v>
      </c>
      <c r="F356">
        <v>486</v>
      </c>
      <c r="G356">
        <v>76.42</v>
      </c>
      <c r="H356">
        <v>1</v>
      </c>
    </row>
    <row r="357" spans="1:8">
      <c r="A357" s="1" t="s">
        <v>395</v>
      </c>
      <c r="B357" t="s">
        <v>401</v>
      </c>
      <c r="C357" t="s">
        <v>79</v>
      </c>
      <c r="D357">
        <v>12</v>
      </c>
      <c r="E357" t="s">
        <v>11</v>
      </c>
      <c r="F357">
        <v>125</v>
      </c>
      <c r="G357">
        <v>36.93</v>
      </c>
      <c r="H357">
        <v>0</v>
      </c>
    </row>
    <row r="358" spans="1:8">
      <c r="A358" s="1" t="s">
        <v>395</v>
      </c>
      <c r="B358" t="s">
        <v>402</v>
      </c>
      <c r="C358" t="s">
        <v>65</v>
      </c>
      <c r="D358">
        <v>71</v>
      </c>
      <c r="E358" t="s">
        <v>32</v>
      </c>
      <c r="F358">
        <v>191</v>
      </c>
      <c r="G358">
        <v>83.04</v>
      </c>
      <c r="H358">
        <v>4</v>
      </c>
    </row>
    <row r="359" spans="1:8">
      <c r="A359" s="1" t="s">
        <v>395</v>
      </c>
      <c r="B359" t="s">
        <v>403</v>
      </c>
      <c r="C359" t="s">
        <v>107</v>
      </c>
      <c r="D359">
        <v>47</v>
      </c>
      <c r="E359" t="s">
        <v>11</v>
      </c>
      <c r="F359">
        <v>378</v>
      </c>
      <c r="G359">
        <v>36.42</v>
      </c>
      <c r="H359">
        <v>1</v>
      </c>
    </row>
    <row r="360" spans="1:8">
      <c r="A360" s="1" t="s">
        <v>395</v>
      </c>
      <c r="B360" t="s">
        <v>404</v>
      </c>
      <c r="C360" t="s">
        <v>18</v>
      </c>
      <c r="D360">
        <v>41</v>
      </c>
      <c r="E360" t="s">
        <v>14</v>
      </c>
      <c r="F360">
        <v>425</v>
      </c>
      <c r="G360">
        <v>42.33</v>
      </c>
      <c r="H360">
        <v>3</v>
      </c>
    </row>
    <row r="361" spans="1:8">
      <c r="A361" s="1" t="s">
        <v>395</v>
      </c>
      <c r="B361" t="s">
        <v>405</v>
      </c>
      <c r="C361" t="s">
        <v>52</v>
      </c>
      <c r="D361">
        <v>24</v>
      </c>
      <c r="E361" t="s">
        <v>21</v>
      </c>
      <c r="F361">
        <v>392</v>
      </c>
      <c r="G361">
        <v>27.06</v>
      </c>
      <c r="H361">
        <v>1</v>
      </c>
    </row>
    <row r="362" spans="1:8">
      <c r="A362" s="1" t="s">
        <v>395</v>
      </c>
      <c r="B362" t="s">
        <v>406</v>
      </c>
      <c r="C362" t="s">
        <v>92</v>
      </c>
      <c r="D362">
        <v>40</v>
      </c>
      <c r="E362" t="s">
        <v>14</v>
      </c>
      <c r="F362">
        <v>38</v>
      </c>
      <c r="G362">
        <v>17.63</v>
      </c>
      <c r="H362">
        <v>0</v>
      </c>
    </row>
    <row r="363" spans="1:8">
      <c r="A363" s="1" t="s">
        <v>395</v>
      </c>
      <c r="B363" t="s">
        <v>407</v>
      </c>
      <c r="C363" t="s">
        <v>18</v>
      </c>
      <c r="D363">
        <v>7</v>
      </c>
      <c r="E363" t="s">
        <v>11</v>
      </c>
      <c r="F363">
        <v>347</v>
      </c>
      <c r="G363">
        <v>41.84</v>
      </c>
      <c r="H363">
        <v>2</v>
      </c>
    </row>
    <row r="364" spans="1:8">
      <c r="A364" s="1" t="s">
        <v>395</v>
      </c>
      <c r="B364" t="s">
        <v>408</v>
      </c>
      <c r="C364" t="s">
        <v>52</v>
      </c>
      <c r="D364">
        <v>68</v>
      </c>
      <c r="E364" t="s">
        <v>14</v>
      </c>
      <c r="F364">
        <v>487</v>
      </c>
      <c r="G364">
        <v>69.099999999999994</v>
      </c>
      <c r="H364">
        <v>5</v>
      </c>
    </row>
    <row r="365" spans="1:8">
      <c r="A365" s="1" t="s">
        <v>395</v>
      </c>
      <c r="B365" t="s">
        <v>409</v>
      </c>
      <c r="C365" t="s">
        <v>10</v>
      </c>
      <c r="D365">
        <v>63</v>
      </c>
      <c r="E365" t="s">
        <v>14</v>
      </c>
      <c r="F365">
        <v>263</v>
      </c>
      <c r="G365">
        <v>53.87</v>
      </c>
      <c r="H365">
        <v>4</v>
      </c>
    </row>
    <row r="366" spans="1:8">
      <c r="A366" s="1" t="s">
        <v>395</v>
      </c>
      <c r="B366" t="s">
        <v>410</v>
      </c>
      <c r="C366" t="s">
        <v>26</v>
      </c>
      <c r="D366">
        <v>19</v>
      </c>
      <c r="E366" t="s">
        <v>21</v>
      </c>
      <c r="F366">
        <v>450</v>
      </c>
      <c r="G366">
        <v>37.43</v>
      </c>
      <c r="H366">
        <v>2</v>
      </c>
    </row>
    <row r="367" spans="1:8">
      <c r="A367" s="1" t="s">
        <v>395</v>
      </c>
      <c r="B367" t="s">
        <v>411</v>
      </c>
      <c r="C367" t="s">
        <v>36</v>
      </c>
      <c r="D367">
        <v>14</v>
      </c>
      <c r="E367" t="s">
        <v>11</v>
      </c>
      <c r="F367">
        <v>345</v>
      </c>
      <c r="G367">
        <v>39.57</v>
      </c>
      <c r="H367">
        <v>3</v>
      </c>
    </row>
    <row r="368" spans="1:8">
      <c r="A368" s="1" t="s">
        <v>395</v>
      </c>
      <c r="B368" t="s">
        <v>412</v>
      </c>
      <c r="C368" t="s">
        <v>76</v>
      </c>
      <c r="D368">
        <v>104</v>
      </c>
      <c r="E368" t="s">
        <v>11</v>
      </c>
      <c r="F368">
        <v>60</v>
      </c>
      <c r="G368">
        <v>45.51</v>
      </c>
      <c r="H368">
        <v>1</v>
      </c>
    </row>
    <row r="369" spans="1:8">
      <c r="A369" s="1" t="s">
        <v>395</v>
      </c>
      <c r="B369" t="s">
        <v>413</v>
      </c>
      <c r="C369" t="s">
        <v>57</v>
      </c>
      <c r="D369">
        <v>23</v>
      </c>
      <c r="E369" t="s">
        <v>32</v>
      </c>
      <c r="F369">
        <v>268</v>
      </c>
      <c r="G369">
        <v>26.75</v>
      </c>
      <c r="H369">
        <v>3</v>
      </c>
    </row>
    <row r="370" spans="1:8">
      <c r="A370" s="1" t="s">
        <v>395</v>
      </c>
      <c r="B370" t="s">
        <v>414</v>
      </c>
      <c r="C370" t="s">
        <v>40</v>
      </c>
      <c r="D370">
        <v>74</v>
      </c>
      <c r="E370" t="s">
        <v>21</v>
      </c>
      <c r="F370">
        <v>253</v>
      </c>
      <c r="G370">
        <v>36.94</v>
      </c>
      <c r="H370">
        <v>5</v>
      </c>
    </row>
    <row r="371" spans="1:8">
      <c r="A371" s="1" t="s">
        <v>395</v>
      </c>
      <c r="B371" t="s">
        <v>415</v>
      </c>
      <c r="C371" t="s">
        <v>16</v>
      </c>
      <c r="D371">
        <v>103</v>
      </c>
      <c r="E371" t="s">
        <v>11</v>
      </c>
      <c r="F371">
        <v>270</v>
      </c>
      <c r="G371">
        <v>67.87</v>
      </c>
      <c r="H371">
        <v>3</v>
      </c>
    </row>
    <row r="372" spans="1:8">
      <c r="A372" s="1" t="s">
        <v>395</v>
      </c>
      <c r="B372" t="s">
        <v>416</v>
      </c>
      <c r="C372" t="s">
        <v>20</v>
      </c>
      <c r="D372">
        <v>113</v>
      </c>
      <c r="E372" t="s">
        <v>32</v>
      </c>
      <c r="F372">
        <v>89</v>
      </c>
      <c r="G372">
        <v>54.28</v>
      </c>
      <c r="H372">
        <v>0</v>
      </c>
    </row>
    <row r="373" spans="1:8">
      <c r="A373" s="1" t="s">
        <v>395</v>
      </c>
      <c r="B373" t="s">
        <v>417</v>
      </c>
      <c r="C373" t="s">
        <v>38</v>
      </c>
      <c r="D373">
        <v>16</v>
      </c>
      <c r="E373" t="s">
        <v>32</v>
      </c>
      <c r="F373">
        <v>391</v>
      </c>
      <c r="G373">
        <v>90.12</v>
      </c>
      <c r="H373">
        <v>5</v>
      </c>
    </row>
    <row r="374" spans="1:8">
      <c r="A374" s="1" t="s">
        <v>395</v>
      </c>
      <c r="B374" t="s">
        <v>418</v>
      </c>
      <c r="C374" t="s">
        <v>31</v>
      </c>
      <c r="D374">
        <v>68</v>
      </c>
      <c r="E374" t="s">
        <v>11</v>
      </c>
      <c r="F374">
        <v>462</v>
      </c>
      <c r="G374">
        <v>41.91</v>
      </c>
      <c r="H374">
        <v>1</v>
      </c>
    </row>
    <row r="375" spans="1:8">
      <c r="A375" s="1" t="s">
        <v>395</v>
      </c>
      <c r="B375" t="s">
        <v>419</v>
      </c>
      <c r="C375" t="s">
        <v>79</v>
      </c>
      <c r="D375">
        <v>115</v>
      </c>
      <c r="E375" t="s">
        <v>21</v>
      </c>
      <c r="F375">
        <v>467</v>
      </c>
      <c r="G375">
        <v>24.57</v>
      </c>
      <c r="H375">
        <v>3</v>
      </c>
    </row>
    <row r="376" spans="1:8">
      <c r="A376" s="1" t="s">
        <v>395</v>
      </c>
      <c r="B376" t="s">
        <v>420</v>
      </c>
      <c r="C376" t="s">
        <v>52</v>
      </c>
      <c r="D376">
        <v>111</v>
      </c>
      <c r="E376" t="s">
        <v>14</v>
      </c>
      <c r="F376">
        <v>194</v>
      </c>
      <c r="G376">
        <v>48.55</v>
      </c>
      <c r="H376">
        <v>2</v>
      </c>
    </row>
    <row r="377" spans="1:8">
      <c r="A377" s="1" t="s">
        <v>395</v>
      </c>
      <c r="B377" t="s">
        <v>421</v>
      </c>
      <c r="C377" t="s">
        <v>76</v>
      </c>
      <c r="D377">
        <v>90</v>
      </c>
      <c r="E377" t="s">
        <v>14</v>
      </c>
      <c r="F377">
        <v>216</v>
      </c>
      <c r="G377">
        <v>45.58</v>
      </c>
      <c r="H377">
        <v>0</v>
      </c>
    </row>
    <row r="378" spans="1:8">
      <c r="A378" s="1" t="s">
        <v>395</v>
      </c>
      <c r="B378" t="s">
        <v>422</v>
      </c>
      <c r="C378" t="s">
        <v>26</v>
      </c>
      <c r="D378">
        <v>45</v>
      </c>
      <c r="E378" t="s">
        <v>14</v>
      </c>
      <c r="F378">
        <v>439</v>
      </c>
      <c r="G378">
        <v>13.62</v>
      </c>
      <c r="H378">
        <v>4</v>
      </c>
    </row>
    <row r="379" spans="1:8">
      <c r="A379" s="1" t="s">
        <v>395</v>
      </c>
      <c r="B379" t="s">
        <v>423</v>
      </c>
      <c r="C379" t="s">
        <v>71</v>
      </c>
      <c r="D379">
        <v>45</v>
      </c>
      <c r="E379" t="s">
        <v>21</v>
      </c>
      <c r="F379">
        <v>26</v>
      </c>
      <c r="G379">
        <v>30.35</v>
      </c>
      <c r="H379">
        <v>1</v>
      </c>
    </row>
    <row r="380" spans="1:8">
      <c r="A380" s="1" t="s">
        <v>395</v>
      </c>
      <c r="B380" t="s">
        <v>424</v>
      </c>
      <c r="C380" t="s">
        <v>79</v>
      </c>
      <c r="D380">
        <v>101</v>
      </c>
      <c r="E380" t="s">
        <v>32</v>
      </c>
      <c r="F380">
        <v>476</v>
      </c>
      <c r="G380">
        <v>41.85</v>
      </c>
      <c r="H380">
        <v>4</v>
      </c>
    </row>
    <row r="381" spans="1:8">
      <c r="A381" s="1" t="s">
        <v>395</v>
      </c>
      <c r="B381" t="s">
        <v>425</v>
      </c>
      <c r="C381" t="s">
        <v>26</v>
      </c>
      <c r="D381">
        <v>13</v>
      </c>
      <c r="E381" t="s">
        <v>11</v>
      </c>
      <c r="F381">
        <v>173</v>
      </c>
      <c r="G381">
        <v>85.54</v>
      </c>
      <c r="H381">
        <v>3</v>
      </c>
    </row>
    <row r="382" spans="1:8">
      <c r="A382" s="1" t="s">
        <v>395</v>
      </c>
      <c r="B382" t="s">
        <v>426</v>
      </c>
      <c r="C382" t="s">
        <v>57</v>
      </c>
      <c r="D382">
        <v>117</v>
      </c>
      <c r="E382" t="s">
        <v>21</v>
      </c>
      <c r="F382">
        <v>338</v>
      </c>
      <c r="G382">
        <v>29.18</v>
      </c>
      <c r="H382">
        <v>5</v>
      </c>
    </row>
    <row r="383" spans="1:8">
      <c r="A383" s="1" t="s">
        <v>395</v>
      </c>
      <c r="B383" t="s">
        <v>427</v>
      </c>
      <c r="C383" t="s">
        <v>16</v>
      </c>
      <c r="D383">
        <v>76</v>
      </c>
      <c r="E383" t="s">
        <v>32</v>
      </c>
      <c r="F383">
        <v>187</v>
      </c>
      <c r="G383">
        <v>56.29</v>
      </c>
      <c r="H383">
        <v>1</v>
      </c>
    </row>
    <row r="384" spans="1:8">
      <c r="A384" s="1" t="s">
        <v>395</v>
      </c>
      <c r="B384" t="s">
        <v>428</v>
      </c>
      <c r="C384" t="s">
        <v>71</v>
      </c>
      <c r="D384">
        <v>2</v>
      </c>
      <c r="E384" t="s">
        <v>32</v>
      </c>
      <c r="F384">
        <v>21</v>
      </c>
      <c r="G384">
        <v>51.68</v>
      </c>
      <c r="H384">
        <v>3</v>
      </c>
    </row>
    <row r="385" spans="1:8">
      <c r="A385" s="1" t="s">
        <v>395</v>
      </c>
      <c r="B385" t="s">
        <v>429</v>
      </c>
      <c r="C385" t="s">
        <v>52</v>
      </c>
      <c r="D385">
        <v>29</v>
      </c>
      <c r="E385" t="s">
        <v>32</v>
      </c>
      <c r="F385">
        <v>350</v>
      </c>
      <c r="G385">
        <v>84.32</v>
      </c>
      <c r="H385">
        <v>3</v>
      </c>
    </row>
    <row r="386" spans="1:8">
      <c r="A386" s="1" t="s">
        <v>395</v>
      </c>
      <c r="B386" t="s">
        <v>430</v>
      </c>
      <c r="C386" t="s">
        <v>57</v>
      </c>
      <c r="D386">
        <v>119</v>
      </c>
      <c r="E386" t="s">
        <v>11</v>
      </c>
      <c r="F386">
        <v>451</v>
      </c>
      <c r="G386">
        <v>10.46</v>
      </c>
      <c r="H386">
        <v>5</v>
      </c>
    </row>
    <row r="387" spans="1:8">
      <c r="A387" s="1" t="s">
        <v>395</v>
      </c>
      <c r="B387" t="s">
        <v>431</v>
      </c>
      <c r="C387" t="s">
        <v>38</v>
      </c>
      <c r="D387">
        <v>36</v>
      </c>
      <c r="E387" t="s">
        <v>14</v>
      </c>
      <c r="F387">
        <v>311</v>
      </c>
      <c r="G387">
        <v>13.19</v>
      </c>
      <c r="H387">
        <v>4</v>
      </c>
    </row>
    <row r="388" spans="1:8">
      <c r="A388" s="1" t="s">
        <v>395</v>
      </c>
      <c r="B388" t="s">
        <v>432</v>
      </c>
      <c r="C388" t="s">
        <v>38</v>
      </c>
      <c r="D388">
        <v>94</v>
      </c>
      <c r="E388" t="s">
        <v>21</v>
      </c>
      <c r="F388">
        <v>115</v>
      </c>
      <c r="G388">
        <v>19.12</v>
      </c>
      <c r="H388">
        <v>0</v>
      </c>
    </row>
    <row r="389" spans="1:8">
      <c r="A389" s="1" t="s">
        <v>395</v>
      </c>
      <c r="B389" t="s">
        <v>433</v>
      </c>
      <c r="C389" t="s">
        <v>63</v>
      </c>
      <c r="D389">
        <v>13</v>
      </c>
      <c r="E389" t="s">
        <v>21</v>
      </c>
      <c r="F389">
        <v>310</v>
      </c>
      <c r="G389">
        <v>65.599999999999994</v>
      </c>
      <c r="H389">
        <v>5</v>
      </c>
    </row>
    <row r="390" spans="1:8">
      <c r="A390" s="1" t="s">
        <v>395</v>
      </c>
      <c r="B390" t="s">
        <v>434</v>
      </c>
      <c r="C390" t="s">
        <v>24</v>
      </c>
      <c r="D390">
        <v>78</v>
      </c>
      <c r="E390" t="s">
        <v>14</v>
      </c>
      <c r="F390">
        <v>57</v>
      </c>
      <c r="G390">
        <v>49.47</v>
      </c>
      <c r="H390">
        <v>0</v>
      </c>
    </row>
    <row r="391" spans="1:8">
      <c r="A391" s="1" t="s">
        <v>395</v>
      </c>
      <c r="B391" t="s">
        <v>435</v>
      </c>
      <c r="C391" t="s">
        <v>57</v>
      </c>
      <c r="D391">
        <v>95</v>
      </c>
      <c r="E391" t="s">
        <v>32</v>
      </c>
      <c r="F391">
        <v>148</v>
      </c>
      <c r="G391" t="s">
        <v>436</v>
      </c>
      <c r="H391">
        <v>5</v>
      </c>
    </row>
    <row r="392" spans="1:8">
      <c r="A392" s="1" t="s">
        <v>395</v>
      </c>
      <c r="B392" t="s">
        <v>437</v>
      </c>
      <c r="C392" t="s">
        <v>107</v>
      </c>
      <c r="D392">
        <v>37</v>
      </c>
      <c r="E392" t="s">
        <v>14</v>
      </c>
      <c r="F392">
        <v>87</v>
      </c>
      <c r="G392">
        <v>26.4</v>
      </c>
      <c r="H392">
        <v>3</v>
      </c>
    </row>
    <row r="393" spans="1:8">
      <c r="A393" s="1" t="s">
        <v>395</v>
      </c>
      <c r="B393" t="s">
        <v>438</v>
      </c>
      <c r="C393" t="s">
        <v>63</v>
      </c>
      <c r="D393">
        <v>22</v>
      </c>
      <c r="E393" t="s">
        <v>11</v>
      </c>
      <c r="F393">
        <v>127</v>
      </c>
      <c r="G393">
        <v>49.06</v>
      </c>
      <c r="H393">
        <v>2</v>
      </c>
    </row>
    <row r="394" spans="1:8">
      <c r="A394" s="1" t="s">
        <v>395</v>
      </c>
      <c r="B394" t="s">
        <v>439</v>
      </c>
      <c r="C394" t="s">
        <v>107</v>
      </c>
      <c r="D394">
        <v>100</v>
      </c>
      <c r="E394" t="s">
        <v>14</v>
      </c>
      <c r="F394">
        <v>471</v>
      </c>
      <c r="G394">
        <v>61.2</v>
      </c>
      <c r="H394">
        <v>3</v>
      </c>
    </row>
    <row r="395" spans="1:8">
      <c r="A395" s="1" t="s">
        <v>395</v>
      </c>
      <c r="B395" t="s">
        <v>440</v>
      </c>
      <c r="C395" t="s">
        <v>95</v>
      </c>
      <c r="D395">
        <v>35</v>
      </c>
      <c r="E395" t="s">
        <v>21</v>
      </c>
      <c r="F395">
        <v>421</v>
      </c>
      <c r="G395">
        <v>29.57</v>
      </c>
      <c r="H395">
        <v>5</v>
      </c>
    </row>
    <row r="396" spans="1:8">
      <c r="A396" s="1" t="s">
        <v>395</v>
      </c>
      <c r="B396" t="s">
        <v>441</v>
      </c>
      <c r="C396" t="s">
        <v>79</v>
      </c>
      <c r="D396">
        <v>112</v>
      </c>
      <c r="E396" t="s">
        <v>21</v>
      </c>
      <c r="F396">
        <v>483</v>
      </c>
      <c r="G396">
        <v>93.98</v>
      </c>
      <c r="H396">
        <v>0</v>
      </c>
    </row>
    <row r="397" spans="1:8">
      <c r="A397" s="1" t="s">
        <v>395</v>
      </c>
      <c r="B397" t="s">
        <v>442</v>
      </c>
      <c r="C397" t="s">
        <v>10</v>
      </c>
      <c r="D397">
        <v>35</v>
      </c>
      <c r="E397" t="s">
        <v>11</v>
      </c>
      <c r="F397">
        <v>496</v>
      </c>
      <c r="G397">
        <v>19.78</v>
      </c>
      <c r="H397">
        <v>5</v>
      </c>
    </row>
    <row r="398" spans="1:8">
      <c r="A398" s="1" t="s">
        <v>395</v>
      </c>
      <c r="B398" t="s">
        <v>443</v>
      </c>
      <c r="C398" t="s">
        <v>13</v>
      </c>
      <c r="D398">
        <v>13</v>
      </c>
      <c r="E398" t="s">
        <v>14</v>
      </c>
      <c r="F398">
        <v>180</v>
      </c>
      <c r="G398">
        <v>24.01</v>
      </c>
      <c r="H398">
        <v>0</v>
      </c>
    </row>
    <row r="399" spans="1:8">
      <c r="A399" s="1" t="s">
        <v>395</v>
      </c>
      <c r="B399" t="s">
        <v>444</v>
      </c>
      <c r="C399" t="s">
        <v>31</v>
      </c>
      <c r="D399">
        <v>49</v>
      </c>
      <c r="E399" t="s">
        <v>11</v>
      </c>
      <c r="F399">
        <v>229</v>
      </c>
      <c r="G399">
        <v>53.94</v>
      </c>
      <c r="H399">
        <v>5</v>
      </c>
    </row>
    <row r="400" spans="1:8">
      <c r="A400" s="1" t="s">
        <v>395</v>
      </c>
      <c r="B400" t="s">
        <v>445</v>
      </c>
      <c r="C400" t="s">
        <v>16</v>
      </c>
      <c r="D400">
        <v>97</v>
      </c>
      <c r="E400" t="s">
        <v>11</v>
      </c>
      <c r="F400">
        <v>276</v>
      </c>
      <c r="G400">
        <v>88.35</v>
      </c>
      <c r="H400">
        <v>0</v>
      </c>
    </row>
    <row r="401" spans="1:8">
      <c r="A401" s="1" t="s">
        <v>395</v>
      </c>
      <c r="B401" t="s">
        <v>446</v>
      </c>
      <c r="C401" t="s">
        <v>61</v>
      </c>
      <c r="D401">
        <v>104</v>
      </c>
      <c r="E401" t="s">
        <v>32</v>
      </c>
      <c r="F401">
        <v>68</v>
      </c>
      <c r="G401">
        <v>21.15</v>
      </c>
      <c r="H401">
        <v>2</v>
      </c>
    </row>
    <row r="402" spans="1:8">
      <c r="A402" s="1" t="s">
        <v>447</v>
      </c>
      <c r="B402" t="s">
        <v>448</v>
      </c>
      <c r="C402" t="s">
        <v>45</v>
      </c>
      <c r="D402">
        <v>78</v>
      </c>
      <c r="E402" t="s">
        <v>32</v>
      </c>
      <c r="F402">
        <v>60</v>
      </c>
      <c r="G402">
        <v>33.159999999999997</v>
      </c>
      <c r="H402">
        <v>5</v>
      </c>
    </row>
    <row r="403" spans="1:8">
      <c r="A403" s="1" t="s">
        <v>447</v>
      </c>
      <c r="B403" t="s">
        <v>449</v>
      </c>
      <c r="C403" t="s">
        <v>45</v>
      </c>
      <c r="D403">
        <v>15</v>
      </c>
      <c r="E403" t="s">
        <v>32</v>
      </c>
      <c r="F403">
        <v>75</v>
      </c>
      <c r="G403">
        <v>45.59</v>
      </c>
      <c r="H403">
        <v>0</v>
      </c>
    </row>
    <row r="404" spans="1:8">
      <c r="A404" s="1" t="s">
        <v>447</v>
      </c>
      <c r="B404" t="s">
        <v>450</v>
      </c>
      <c r="C404" t="s">
        <v>57</v>
      </c>
      <c r="D404">
        <v>42</v>
      </c>
      <c r="E404" t="s">
        <v>14</v>
      </c>
      <c r="F404">
        <v>436</v>
      </c>
      <c r="G404">
        <v>88.12</v>
      </c>
      <c r="H404">
        <v>0</v>
      </c>
    </row>
    <row r="405" spans="1:8">
      <c r="A405" s="1" t="s">
        <v>447</v>
      </c>
      <c r="B405" t="s">
        <v>451</v>
      </c>
      <c r="C405" t="s">
        <v>61</v>
      </c>
      <c r="D405">
        <v>47</v>
      </c>
      <c r="E405" t="s">
        <v>11</v>
      </c>
      <c r="F405">
        <v>107</v>
      </c>
      <c r="G405">
        <v>35.380000000000003</v>
      </c>
      <c r="H405">
        <v>1</v>
      </c>
    </row>
    <row r="406" spans="1:8">
      <c r="A406" s="1" t="s">
        <v>447</v>
      </c>
      <c r="B406" t="s">
        <v>452</v>
      </c>
      <c r="C406" t="s">
        <v>24</v>
      </c>
      <c r="D406">
        <v>17</v>
      </c>
      <c r="E406" t="s">
        <v>14</v>
      </c>
      <c r="F406">
        <v>404</v>
      </c>
      <c r="G406">
        <v>83.4</v>
      </c>
      <c r="H406">
        <v>1</v>
      </c>
    </row>
    <row r="407" spans="1:8">
      <c r="A407" s="1" t="s">
        <v>447</v>
      </c>
      <c r="B407" t="s">
        <v>453</v>
      </c>
      <c r="C407" t="s">
        <v>31</v>
      </c>
      <c r="D407">
        <v>43</v>
      </c>
      <c r="E407" t="s">
        <v>14</v>
      </c>
      <c r="F407">
        <v>20</v>
      </c>
      <c r="G407">
        <v>66.680000000000007</v>
      </c>
      <c r="H407">
        <v>5</v>
      </c>
    </row>
    <row r="408" spans="1:8">
      <c r="A408" s="1" t="s">
        <v>447</v>
      </c>
      <c r="B408" t="s">
        <v>454</v>
      </c>
      <c r="C408" t="s">
        <v>43</v>
      </c>
      <c r="D408">
        <v>95</v>
      </c>
      <c r="E408" t="s">
        <v>11</v>
      </c>
      <c r="F408">
        <v>127</v>
      </c>
      <c r="G408">
        <v>94.9</v>
      </c>
      <c r="H408">
        <v>4</v>
      </c>
    </row>
    <row r="409" spans="1:8">
      <c r="A409" s="1" t="s">
        <v>447</v>
      </c>
      <c r="B409" t="s">
        <v>455</v>
      </c>
      <c r="C409" t="s">
        <v>52</v>
      </c>
      <c r="D409">
        <v>47</v>
      </c>
      <c r="E409" t="s">
        <v>11</v>
      </c>
      <c r="F409">
        <v>328</v>
      </c>
      <c r="G409">
        <v>61.27</v>
      </c>
      <c r="H409">
        <v>3</v>
      </c>
    </row>
    <row r="410" spans="1:8">
      <c r="A410" s="1" t="s">
        <v>447</v>
      </c>
      <c r="B410" t="s">
        <v>456</v>
      </c>
      <c r="C410" t="s">
        <v>24</v>
      </c>
      <c r="D410">
        <v>37</v>
      </c>
      <c r="E410" t="s">
        <v>21</v>
      </c>
      <c r="F410">
        <v>151</v>
      </c>
      <c r="G410">
        <v>62.49</v>
      </c>
      <c r="H410">
        <v>3</v>
      </c>
    </row>
    <row r="411" spans="1:8">
      <c r="A411" s="1" t="s">
        <v>447</v>
      </c>
      <c r="B411" t="s">
        <v>457</v>
      </c>
      <c r="C411" t="s">
        <v>10</v>
      </c>
      <c r="D411">
        <v>6</v>
      </c>
      <c r="E411" t="s">
        <v>32</v>
      </c>
      <c r="F411">
        <v>362</v>
      </c>
      <c r="G411">
        <v>75.739999999999995</v>
      </c>
      <c r="H411">
        <v>4</v>
      </c>
    </row>
    <row r="412" spans="1:8">
      <c r="A412" s="1" t="s">
        <v>447</v>
      </c>
      <c r="B412" t="s">
        <v>458</v>
      </c>
      <c r="C412" t="s">
        <v>71</v>
      </c>
      <c r="D412">
        <v>24</v>
      </c>
      <c r="E412" t="s">
        <v>11</v>
      </c>
      <c r="F412">
        <v>23</v>
      </c>
      <c r="G412">
        <v>28.55</v>
      </c>
      <c r="H412">
        <v>1</v>
      </c>
    </row>
    <row r="413" spans="1:8">
      <c r="A413" s="1" t="s">
        <v>447</v>
      </c>
      <c r="B413" t="s">
        <v>459</v>
      </c>
      <c r="C413" t="s">
        <v>40</v>
      </c>
      <c r="D413">
        <v>32</v>
      </c>
      <c r="E413" t="s">
        <v>21</v>
      </c>
      <c r="F413">
        <v>475</v>
      </c>
      <c r="G413">
        <v>36.54</v>
      </c>
      <c r="H413">
        <v>3</v>
      </c>
    </row>
    <row r="414" spans="1:8">
      <c r="A414" s="1" t="s">
        <v>447</v>
      </c>
      <c r="B414" t="s">
        <v>460</v>
      </c>
      <c r="C414" t="s">
        <v>107</v>
      </c>
      <c r="D414">
        <v>117</v>
      </c>
      <c r="E414" t="s">
        <v>32</v>
      </c>
      <c r="F414">
        <v>282</v>
      </c>
      <c r="G414">
        <v>95.11</v>
      </c>
      <c r="H414">
        <v>0</v>
      </c>
    </row>
    <row r="415" spans="1:8">
      <c r="A415" s="1" t="s">
        <v>447</v>
      </c>
      <c r="B415" t="s">
        <v>461</v>
      </c>
      <c r="C415" t="s">
        <v>71</v>
      </c>
      <c r="D415">
        <v>28</v>
      </c>
      <c r="E415" t="s">
        <v>21</v>
      </c>
      <c r="F415">
        <v>112</v>
      </c>
      <c r="G415">
        <v>94.51</v>
      </c>
      <c r="H415">
        <v>3</v>
      </c>
    </row>
    <row r="416" spans="1:8">
      <c r="A416" s="1" t="s">
        <v>447</v>
      </c>
      <c r="B416" t="s">
        <v>462</v>
      </c>
      <c r="C416" t="s">
        <v>52</v>
      </c>
      <c r="D416">
        <v>96</v>
      </c>
      <c r="E416" t="s">
        <v>32</v>
      </c>
      <c r="F416">
        <v>273</v>
      </c>
      <c r="G416">
        <v>37.909999999999997</v>
      </c>
      <c r="H416">
        <v>2</v>
      </c>
    </row>
    <row r="417" spans="1:8">
      <c r="A417" s="1" t="s">
        <v>447</v>
      </c>
      <c r="B417" t="s">
        <v>463</v>
      </c>
      <c r="C417" t="s">
        <v>71</v>
      </c>
      <c r="D417">
        <v>36</v>
      </c>
      <c r="E417" t="s">
        <v>32</v>
      </c>
      <c r="F417">
        <v>137</v>
      </c>
      <c r="G417">
        <v>71.930000000000007</v>
      </c>
      <c r="H417">
        <v>0</v>
      </c>
    </row>
    <row r="418" spans="1:8">
      <c r="A418" s="1" t="s">
        <v>447</v>
      </c>
      <c r="B418" t="s">
        <v>464</v>
      </c>
      <c r="C418" t="s">
        <v>24</v>
      </c>
      <c r="D418">
        <v>15</v>
      </c>
      <c r="E418" t="s">
        <v>21</v>
      </c>
      <c r="F418">
        <v>81</v>
      </c>
      <c r="G418" t="s">
        <v>465</v>
      </c>
      <c r="H418">
        <v>4</v>
      </c>
    </row>
    <row r="419" spans="1:8">
      <c r="A419" s="1" t="s">
        <v>447</v>
      </c>
      <c r="B419" t="s">
        <v>466</v>
      </c>
      <c r="C419" t="s">
        <v>31</v>
      </c>
      <c r="D419">
        <v>36</v>
      </c>
      <c r="E419" t="s">
        <v>14</v>
      </c>
      <c r="F419">
        <v>303</v>
      </c>
      <c r="G419">
        <v>89.56</v>
      </c>
      <c r="H419">
        <v>1</v>
      </c>
    </row>
    <row r="420" spans="1:8">
      <c r="A420" s="1" t="s">
        <v>447</v>
      </c>
      <c r="B420" t="s">
        <v>467</v>
      </c>
      <c r="C420" t="s">
        <v>18</v>
      </c>
      <c r="D420">
        <v>41</v>
      </c>
      <c r="E420" t="s">
        <v>21</v>
      </c>
      <c r="F420">
        <v>404</v>
      </c>
      <c r="G420">
        <v>98.67</v>
      </c>
      <c r="H420">
        <v>5</v>
      </c>
    </row>
    <row r="421" spans="1:8">
      <c r="A421" s="1" t="s">
        <v>447</v>
      </c>
      <c r="B421" t="s">
        <v>468</v>
      </c>
      <c r="C421" t="s">
        <v>45</v>
      </c>
      <c r="D421">
        <v>104</v>
      </c>
      <c r="E421" t="s">
        <v>11</v>
      </c>
      <c r="F421">
        <v>421</v>
      </c>
      <c r="G421">
        <v>26.24</v>
      </c>
      <c r="H421">
        <v>3</v>
      </c>
    </row>
    <row r="422" spans="1:8">
      <c r="A422" s="1" t="s">
        <v>447</v>
      </c>
      <c r="B422" t="s">
        <v>469</v>
      </c>
      <c r="C422" t="s">
        <v>52</v>
      </c>
      <c r="D422">
        <v>86</v>
      </c>
      <c r="E422" t="s">
        <v>32</v>
      </c>
      <c r="F422">
        <v>452</v>
      </c>
      <c r="G422">
        <v>75.680000000000007</v>
      </c>
      <c r="H422">
        <v>0</v>
      </c>
    </row>
    <row r="423" spans="1:8">
      <c r="A423" s="1" t="s">
        <v>447</v>
      </c>
      <c r="B423" t="s">
        <v>470</v>
      </c>
      <c r="C423" t="s">
        <v>18</v>
      </c>
      <c r="D423">
        <v>83</v>
      </c>
      <c r="E423" t="s">
        <v>32</v>
      </c>
      <c r="F423">
        <v>105</v>
      </c>
      <c r="G423">
        <v>20.46</v>
      </c>
      <c r="H423">
        <v>1</v>
      </c>
    </row>
    <row r="424" spans="1:8">
      <c r="A424" s="1" t="s">
        <v>447</v>
      </c>
      <c r="B424" t="s">
        <v>471</v>
      </c>
      <c r="C424" t="s">
        <v>79</v>
      </c>
      <c r="D424">
        <v>7</v>
      </c>
      <c r="E424" t="s">
        <v>21</v>
      </c>
      <c r="F424">
        <v>94</v>
      </c>
      <c r="G424">
        <v>68.38</v>
      </c>
      <c r="H424">
        <v>3</v>
      </c>
    </row>
    <row r="425" spans="1:8">
      <c r="A425" s="1" t="s">
        <v>447</v>
      </c>
      <c r="B425" t="s">
        <v>472</v>
      </c>
      <c r="C425" t="s">
        <v>40</v>
      </c>
      <c r="D425">
        <v>54</v>
      </c>
      <c r="E425" t="s">
        <v>14</v>
      </c>
      <c r="F425">
        <v>450</v>
      </c>
      <c r="G425">
        <v>90.85</v>
      </c>
      <c r="H425">
        <v>1</v>
      </c>
    </row>
    <row r="426" spans="1:8">
      <c r="A426" s="1" t="s">
        <v>447</v>
      </c>
      <c r="B426" t="s">
        <v>473</v>
      </c>
      <c r="C426" t="s">
        <v>57</v>
      </c>
      <c r="D426">
        <v>96</v>
      </c>
      <c r="E426" t="s">
        <v>21</v>
      </c>
      <c r="F426">
        <v>155</v>
      </c>
      <c r="G426">
        <v>69.16</v>
      </c>
      <c r="H426">
        <v>4</v>
      </c>
    </row>
    <row r="427" spans="1:8">
      <c r="A427" s="1" t="s">
        <v>447</v>
      </c>
      <c r="B427" t="s">
        <v>474</v>
      </c>
      <c r="C427" t="s">
        <v>107</v>
      </c>
      <c r="D427">
        <v>13</v>
      </c>
      <c r="E427" t="s">
        <v>21</v>
      </c>
      <c r="F427">
        <v>482</v>
      </c>
      <c r="G427">
        <v>50.15</v>
      </c>
      <c r="H427">
        <v>0</v>
      </c>
    </row>
    <row r="428" spans="1:8">
      <c r="A428" s="1" t="s">
        <v>447</v>
      </c>
      <c r="B428" t="s">
        <v>475</v>
      </c>
      <c r="C428" t="s">
        <v>57</v>
      </c>
      <c r="D428">
        <v>99</v>
      </c>
      <c r="E428" t="s">
        <v>11</v>
      </c>
      <c r="F428">
        <v>138</v>
      </c>
      <c r="G428">
        <v>54.64</v>
      </c>
      <c r="H428">
        <v>5</v>
      </c>
    </row>
    <row r="429" spans="1:8">
      <c r="A429" s="1" t="s">
        <v>447</v>
      </c>
      <c r="B429" t="s">
        <v>476</v>
      </c>
      <c r="C429" t="s">
        <v>65</v>
      </c>
      <c r="D429">
        <v>63</v>
      </c>
      <c r="E429" t="s">
        <v>11</v>
      </c>
      <c r="F429">
        <v>121</v>
      </c>
      <c r="G429">
        <v>39.18</v>
      </c>
      <c r="H429">
        <v>2</v>
      </c>
    </row>
    <row r="430" spans="1:8">
      <c r="A430" s="1" t="s">
        <v>447</v>
      </c>
      <c r="B430" t="s">
        <v>477</v>
      </c>
      <c r="C430" t="s">
        <v>79</v>
      </c>
      <c r="D430">
        <v>13</v>
      </c>
      <c r="E430" t="s">
        <v>11</v>
      </c>
      <c r="F430">
        <v>87</v>
      </c>
      <c r="G430">
        <v>66.36</v>
      </c>
      <c r="H430">
        <v>0</v>
      </c>
    </row>
    <row r="431" spans="1:8">
      <c r="A431" s="1" t="s">
        <v>447</v>
      </c>
      <c r="B431" t="s">
        <v>478</v>
      </c>
      <c r="C431" t="s">
        <v>38</v>
      </c>
      <c r="D431">
        <v>71</v>
      </c>
      <c r="E431" t="s">
        <v>21</v>
      </c>
      <c r="F431">
        <v>68</v>
      </c>
      <c r="G431">
        <v>53.11</v>
      </c>
      <c r="H431">
        <v>2</v>
      </c>
    </row>
    <row r="432" spans="1:8">
      <c r="A432" s="1" t="s">
        <v>447</v>
      </c>
      <c r="B432" t="s">
        <v>479</v>
      </c>
      <c r="C432" t="s">
        <v>26</v>
      </c>
      <c r="D432">
        <v>39</v>
      </c>
      <c r="E432" t="s">
        <v>21</v>
      </c>
      <c r="F432">
        <v>327</v>
      </c>
      <c r="G432">
        <v>87.24</v>
      </c>
      <c r="H432">
        <v>4</v>
      </c>
    </row>
    <row r="433" spans="1:8">
      <c r="A433" s="1" t="s">
        <v>447</v>
      </c>
      <c r="B433" t="s">
        <v>480</v>
      </c>
      <c r="C433" t="s">
        <v>43</v>
      </c>
      <c r="D433">
        <v>45</v>
      </c>
      <c r="E433" t="s">
        <v>21</v>
      </c>
      <c r="F433">
        <v>356</v>
      </c>
      <c r="G433">
        <v>33.76</v>
      </c>
      <c r="H433">
        <v>0</v>
      </c>
    </row>
    <row r="434" spans="1:8">
      <c r="A434" s="1" t="s">
        <v>447</v>
      </c>
      <c r="B434" t="s">
        <v>481</v>
      </c>
      <c r="C434" t="s">
        <v>13</v>
      </c>
      <c r="D434">
        <v>1</v>
      </c>
      <c r="E434" t="s">
        <v>32</v>
      </c>
      <c r="F434">
        <v>368</v>
      </c>
      <c r="G434">
        <v>35.17</v>
      </c>
      <c r="H434">
        <v>1</v>
      </c>
    </row>
    <row r="435" spans="1:8">
      <c r="A435" s="1" t="s">
        <v>447</v>
      </c>
      <c r="B435" t="s">
        <v>482</v>
      </c>
      <c r="C435" t="s">
        <v>29</v>
      </c>
      <c r="D435">
        <v>88</v>
      </c>
      <c r="E435" t="s">
        <v>14</v>
      </c>
      <c r="F435">
        <v>474</v>
      </c>
      <c r="G435">
        <v>23.35</v>
      </c>
      <c r="H435">
        <v>5</v>
      </c>
    </row>
    <row r="436" spans="1:8">
      <c r="A436" s="1" t="s">
        <v>447</v>
      </c>
      <c r="B436" t="s">
        <v>483</v>
      </c>
      <c r="C436" t="s">
        <v>16</v>
      </c>
      <c r="D436">
        <v>35</v>
      </c>
      <c r="E436" t="s">
        <v>11</v>
      </c>
      <c r="F436">
        <v>292</v>
      </c>
      <c r="G436">
        <v>39.21</v>
      </c>
      <c r="H436">
        <v>1</v>
      </c>
    </row>
    <row r="437" spans="1:8">
      <c r="A437" s="1" t="s">
        <v>447</v>
      </c>
      <c r="B437" t="s">
        <v>484</v>
      </c>
      <c r="C437" t="s">
        <v>92</v>
      </c>
      <c r="D437">
        <v>85</v>
      </c>
      <c r="E437" t="s">
        <v>21</v>
      </c>
      <c r="F437">
        <v>132</v>
      </c>
      <c r="G437">
        <v>11.41</v>
      </c>
      <c r="H437">
        <v>0</v>
      </c>
    </row>
    <row r="438" spans="1:8">
      <c r="A438" s="1" t="s">
        <v>447</v>
      </c>
      <c r="B438" t="s">
        <v>485</v>
      </c>
      <c r="C438" t="s">
        <v>52</v>
      </c>
      <c r="D438">
        <v>33</v>
      </c>
      <c r="E438" t="s">
        <v>14</v>
      </c>
      <c r="F438">
        <v>273</v>
      </c>
      <c r="G438">
        <v>49.8</v>
      </c>
      <c r="H438">
        <v>0</v>
      </c>
    </row>
    <row r="439" spans="1:8">
      <c r="A439" s="1" t="s">
        <v>447</v>
      </c>
      <c r="B439" t="s">
        <v>486</v>
      </c>
      <c r="C439" t="s">
        <v>61</v>
      </c>
      <c r="D439">
        <v>2</v>
      </c>
      <c r="E439" t="s">
        <v>14</v>
      </c>
      <c r="F439">
        <v>142</v>
      </c>
      <c r="G439">
        <v>49.05</v>
      </c>
      <c r="H439">
        <v>4</v>
      </c>
    </row>
    <row r="440" spans="1:8">
      <c r="A440" s="1" t="s">
        <v>447</v>
      </c>
      <c r="B440" t="s">
        <v>487</v>
      </c>
      <c r="C440" t="s">
        <v>76</v>
      </c>
      <c r="D440">
        <v>43</v>
      </c>
      <c r="E440" t="s">
        <v>21</v>
      </c>
      <c r="F440">
        <v>26</v>
      </c>
      <c r="G440">
        <v>25.85</v>
      </c>
      <c r="H440">
        <v>1</v>
      </c>
    </row>
    <row r="441" spans="1:8">
      <c r="A441" s="1" t="s">
        <v>447</v>
      </c>
      <c r="B441" t="s">
        <v>488</v>
      </c>
      <c r="C441" t="s">
        <v>52</v>
      </c>
      <c r="D441">
        <v>47</v>
      </c>
      <c r="E441" t="s">
        <v>14</v>
      </c>
      <c r="F441">
        <v>111</v>
      </c>
      <c r="G441">
        <v>95.18</v>
      </c>
      <c r="H441">
        <v>0</v>
      </c>
    </row>
    <row r="442" spans="1:8">
      <c r="A442" s="1" t="s">
        <v>447</v>
      </c>
      <c r="B442" t="s">
        <v>489</v>
      </c>
      <c r="C442" t="s">
        <v>61</v>
      </c>
      <c r="D442">
        <v>24</v>
      </c>
      <c r="E442" t="s">
        <v>14</v>
      </c>
      <c r="F442">
        <v>257</v>
      </c>
      <c r="G442">
        <v>41.99</v>
      </c>
      <c r="H442">
        <v>5</v>
      </c>
    </row>
    <row r="443" spans="1:8">
      <c r="A443" s="1" t="s">
        <v>447</v>
      </c>
      <c r="B443" t="s">
        <v>490</v>
      </c>
      <c r="C443" t="s">
        <v>38</v>
      </c>
      <c r="D443">
        <v>92</v>
      </c>
      <c r="E443" t="s">
        <v>14</v>
      </c>
      <c r="F443">
        <v>4</v>
      </c>
      <c r="G443">
        <v>22.03</v>
      </c>
      <c r="H443">
        <v>3</v>
      </c>
    </row>
    <row r="444" spans="1:8">
      <c r="A444" s="1" t="s">
        <v>447</v>
      </c>
      <c r="B444" t="s">
        <v>491</v>
      </c>
      <c r="C444" t="s">
        <v>38</v>
      </c>
      <c r="D444">
        <v>39</v>
      </c>
      <c r="E444" t="s">
        <v>32</v>
      </c>
      <c r="F444">
        <v>1</v>
      </c>
      <c r="G444">
        <v>66.94</v>
      </c>
      <c r="H444">
        <v>5</v>
      </c>
    </row>
    <row r="445" spans="1:8">
      <c r="A445" s="1" t="s">
        <v>447</v>
      </c>
      <c r="B445" t="s">
        <v>492</v>
      </c>
      <c r="C445" t="s">
        <v>31</v>
      </c>
      <c r="D445">
        <v>56</v>
      </c>
      <c r="E445" t="s">
        <v>14</v>
      </c>
      <c r="F445">
        <v>114</v>
      </c>
      <c r="G445">
        <v>64.39</v>
      </c>
      <c r="H445">
        <v>1</v>
      </c>
    </row>
    <row r="446" spans="1:8">
      <c r="A446" s="1" t="s">
        <v>447</v>
      </c>
      <c r="B446" t="s">
        <v>493</v>
      </c>
      <c r="C446" t="s">
        <v>38</v>
      </c>
      <c r="D446">
        <v>115</v>
      </c>
      <c r="E446" t="s">
        <v>11</v>
      </c>
      <c r="F446">
        <v>262</v>
      </c>
      <c r="G446">
        <v>66.34</v>
      </c>
      <c r="H446">
        <v>3</v>
      </c>
    </row>
    <row r="447" spans="1:8">
      <c r="A447" s="1" t="s">
        <v>447</v>
      </c>
      <c r="B447" t="s">
        <v>494</v>
      </c>
      <c r="C447" t="s">
        <v>36</v>
      </c>
      <c r="D447">
        <v>7</v>
      </c>
      <c r="E447" t="s">
        <v>14</v>
      </c>
      <c r="F447">
        <v>233</v>
      </c>
      <c r="G447">
        <v>10.94</v>
      </c>
      <c r="H447">
        <v>0</v>
      </c>
    </row>
    <row r="448" spans="1:8">
      <c r="A448" s="1" t="s">
        <v>447</v>
      </c>
      <c r="B448" t="s">
        <v>495</v>
      </c>
      <c r="C448" t="s">
        <v>18</v>
      </c>
      <c r="D448">
        <v>61</v>
      </c>
      <c r="E448" t="s">
        <v>11</v>
      </c>
      <c r="F448">
        <v>362</v>
      </c>
      <c r="G448">
        <v>75.03</v>
      </c>
      <c r="H448">
        <v>0</v>
      </c>
    </row>
    <row r="449" spans="1:8">
      <c r="A449" s="1" t="s">
        <v>447</v>
      </c>
      <c r="B449" t="s">
        <v>496</v>
      </c>
      <c r="C449" t="s">
        <v>31</v>
      </c>
      <c r="D449">
        <v>7</v>
      </c>
      <c r="E449" t="s">
        <v>11</v>
      </c>
      <c r="F449">
        <v>268</v>
      </c>
      <c r="G449">
        <v>33.04</v>
      </c>
      <c r="H449">
        <v>5</v>
      </c>
    </row>
    <row r="450" spans="1:8">
      <c r="A450" s="1" t="s">
        <v>447</v>
      </c>
      <c r="B450" t="s">
        <v>497</v>
      </c>
      <c r="C450" t="s">
        <v>24</v>
      </c>
      <c r="D450">
        <v>111</v>
      </c>
      <c r="E450" t="s">
        <v>11</v>
      </c>
      <c r="F450">
        <v>447</v>
      </c>
      <c r="G450">
        <v>51.35</v>
      </c>
      <c r="H450">
        <v>0</v>
      </c>
    </row>
    <row r="451" spans="1:8">
      <c r="A451" s="1" t="s">
        <v>447</v>
      </c>
      <c r="B451" t="s">
        <v>498</v>
      </c>
      <c r="C451" t="s">
        <v>10</v>
      </c>
      <c r="D451">
        <v>47</v>
      </c>
      <c r="E451" t="s">
        <v>11</v>
      </c>
      <c r="F451">
        <v>149</v>
      </c>
      <c r="G451">
        <v>28.35</v>
      </c>
      <c r="H451">
        <v>1</v>
      </c>
    </row>
    <row r="452" spans="1:8">
      <c r="A452" s="1" t="s">
        <v>499</v>
      </c>
      <c r="B452" t="s">
        <v>500</v>
      </c>
      <c r="C452" t="s">
        <v>18</v>
      </c>
      <c r="D452">
        <v>105</v>
      </c>
      <c r="E452" t="s">
        <v>11</v>
      </c>
      <c r="F452">
        <v>297</v>
      </c>
      <c r="G452">
        <v>84.66</v>
      </c>
      <c r="H452">
        <v>2</v>
      </c>
    </row>
    <row r="453" spans="1:8">
      <c r="A453" s="1" t="s">
        <v>499</v>
      </c>
      <c r="B453" t="s">
        <v>501</v>
      </c>
      <c r="C453" t="s">
        <v>45</v>
      </c>
      <c r="D453">
        <v>105</v>
      </c>
      <c r="E453" t="s">
        <v>21</v>
      </c>
      <c r="F453">
        <v>172</v>
      </c>
      <c r="G453">
        <v>15.88</v>
      </c>
      <c r="H453">
        <v>5</v>
      </c>
    </row>
    <row r="454" spans="1:8">
      <c r="A454" s="1" t="s">
        <v>499</v>
      </c>
      <c r="B454" t="s">
        <v>502</v>
      </c>
      <c r="C454" t="s">
        <v>20</v>
      </c>
      <c r="D454">
        <v>34</v>
      </c>
      <c r="E454" t="s">
        <v>14</v>
      </c>
      <c r="F454">
        <v>40</v>
      </c>
      <c r="G454">
        <v>65.709999999999994</v>
      </c>
      <c r="H454">
        <v>5</v>
      </c>
    </row>
    <row r="455" spans="1:8">
      <c r="A455" s="1" t="s">
        <v>499</v>
      </c>
      <c r="B455" t="s">
        <v>503</v>
      </c>
      <c r="C455" t="s">
        <v>71</v>
      </c>
      <c r="D455">
        <v>15</v>
      </c>
      <c r="E455" t="s">
        <v>14</v>
      </c>
      <c r="F455">
        <v>400</v>
      </c>
      <c r="G455">
        <v>78.09</v>
      </c>
      <c r="H455">
        <v>0</v>
      </c>
    </row>
    <row r="456" spans="1:8">
      <c r="A456" s="1" t="s">
        <v>499</v>
      </c>
      <c r="B456" t="s">
        <v>504</v>
      </c>
      <c r="C456" t="s">
        <v>24</v>
      </c>
      <c r="D456">
        <v>35</v>
      </c>
      <c r="E456" t="s">
        <v>11</v>
      </c>
      <c r="F456">
        <v>445</v>
      </c>
      <c r="G456">
        <v>24.11</v>
      </c>
      <c r="H456">
        <v>2</v>
      </c>
    </row>
    <row r="457" spans="1:8">
      <c r="A457" s="1" t="s">
        <v>499</v>
      </c>
      <c r="B457" t="s">
        <v>505</v>
      </c>
      <c r="C457" t="s">
        <v>24</v>
      </c>
      <c r="D457">
        <v>84</v>
      </c>
      <c r="E457" t="s">
        <v>14</v>
      </c>
      <c r="F457">
        <v>380</v>
      </c>
      <c r="G457">
        <v>82.3</v>
      </c>
      <c r="H457">
        <v>1</v>
      </c>
    </row>
    <row r="458" spans="1:8">
      <c r="A458" s="1" t="s">
        <v>499</v>
      </c>
      <c r="B458" t="s">
        <v>506</v>
      </c>
      <c r="C458" t="s">
        <v>107</v>
      </c>
      <c r="D458">
        <v>48</v>
      </c>
      <c r="E458" t="s">
        <v>21</v>
      </c>
      <c r="F458">
        <v>187</v>
      </c>
      <c r="G458">
        <v>21.26</v>
      </c>
      <c r="H458">
        <v>2</v>
      </c>
    </row>
    <row r="459" spans="1:8">
      <c r="A459" s="1" t="s">
        <v>499</v>
      </c>
      <c r="B459" t="s">
        <v>507</v>
      </c>
      <c r="C459" t="s">
        <v>18</v>
      </c>
      <c r="D459">
        <v>111</v>
      </c>
      <c r="E459" t="s">
        <v>14</v>
      </c>
      <c r="F459">
        <v>76</v>
      </c>
      <c r="G459">
        <v>38.19</v>
      </c>
      <c r="H459">
        <v>5</v>
      </c>
    </row>
    <row r="460" spans="1:8">
      <c r="A460" s="1" t="s">
        <v>499</v>
      </c>
      <c r="B460" t="s">
        <v>508</v>
      </c>
      <c r="C460" t="s">
        <v>13</v>
      </c>
      <c r="D460">
        <v>20</v>
      </c>
      <c r="E460" t="s">
        <v>11</v>
      </c>
      <c r="F460">
        <v>93</v>
      </c>
      <c r="G460">
        <v>84.45</v>
      </c>
      <c r="H460">
        <v>0</v>
      </c>
    </row>
    <row r="461" spans="1:8">
      <c r="A461" s="1" t="s">
        <v>499</v>
      </c>
      <c r="B461" t="s">
        <v>509</v>
      </c>
      <c r="C461" t="s">
        <v>79</v>
      </c>
      <c r="D461">
        <v>24</v>
      </c>
      <c r="E461" t="s">
        <v>14</v>
      </c>
      <c r="F461">
        <v>13</v>
      </c>
      <c r="G461">
        <v>89.3</v>
      </c>
      <c r="H461">
        <v>2</v>
      </c>
    </row>
    <row r="462" spans="1:8">
      <c r="A462" s="1" t="s">
        <v>499</v>
      </c>
      <c r="B462" t="s">
        <v>510</v>
      </c>
      <c r="C462" t="s">
        <v>18</v>
      </c>
      <c r="D462">
        <v>102</v>
      </c>
      <c r="E462" t="s">
        <v>21</v>
      </c>
      <c r="F462">
        <v>240</v>
      </c>
      <c r="G462">
        <v>12.52</v>
      </c>
      <c r="H462">
        <v>2</v>
      </c>
    </row>
    <row r="463" spans="1:8">
      <c r="A463" s="1" t="s">
        <v>499</v>
      </c>
      <c r="B463" t="s">
        <v>511</v>
      </c>
      <c r="C463" t="s">
        <v>63</v>
      </c>
      <c r="D463">
        <v>43</v>
      </c>
      <c r="E463" t="s">
        <v>32</v>
      </c>
      <c r="F463">
        <v>193</v>
      </c>
      <c r="G463">
        <v>35.81</v>
      </c>
      <c r="H463">
        <v>0</v>
      </c>
    </row>
    <row r="464" spans="1:8">
      <c r="A464" s="1" t="s">
        <v>499</v>
      </c>
      <c r="B464" t="s">
        <v>512</v>
      </c>
      <c r="C464" t="s">
        <v>57</v>
      </c>
      <c r="D464">
        <v>104</v>
      </c>
      <c r="E464" t="s">
        <v>11</v>
      </c>
      <c r="F464">
        <v>125</v>
      </c>
      <c r="G464">
        <v>29.7</v>
      </c>
      <c r="H464">
        <v>2</v>
      </c>
    </row>
    <row r="465" spans="1:8">
      <c r="A465" s="1" t="s">
        <v>499</v>
      </c>
      <c r="B465" t="s">
        <v>513</v>
      </c>
      <c r="C465" t="s">
        <v>71</v>
      </c>
      <c r="D465">
        <v>120</v>
      </c>
      <c r="E465" t="s">
        <v>11</v>
      </c>
      <c r="F465">
        <v>72</v>
      </c>
      <c r="G465">
        <v>29.07</v>
      </c>
      <c r="H465">
        <v>3</v>
      </c>
    </row>
    <row r="466" spans="1:8">
      <c r="A466" s="1" t="s">
        <v>499</v>
      </c>
      <c r="B466" t="s">
        <v>514</v>
      </c>
      <c r="C466" t="s">
        <v>16</v>
      </c>
      <c r="D466">
        <v>101</v>
      </c>
      <c r="E466" t="s">
        <v>14</v>
      </c>
      <c r="F466">
        <v>416</v>
      </c>
      <c r="G466">
        <v>83.49</v>
      </c>
      <c r="H466">
        <v>2</v>
      </c>
    </row>
    <row r="467" spans="1:8">
      <c r="A467" s="1" t="s">
        <v>499</v>
      </c>
      <c r="B467" t="s">
        <v>515</v>
      </c>
      <c r="C467" t="s">
        <v>107</v>
      </c>
      <c r="D467">
        <v>10</v>
      </c>
      <c r="E467" t="s">
        <v>32</v>
      </c>
      <c r="F467">
        <v>425</v>
      </c>
      <c r="G467">
        <v>85.75</v>
      </c>
      <c r="H467">
        <v>0</v>
      </c>
    </row>
    <row r="468" spans="1:8">
      <c r="A468" s="1" t="s">
        <v>499</v>
      </c>
      <c r="B468" t="s">
        <v>516</v>
      </c>
      <c r="C468" t="s">
        <v>65</v>
      </c>
      <c r="D468">
        <v>14</v>
      </c>
      <c r="E468" t="s">
        <v>21</v>
      </c>
      <c r="F468">
        <v>304</v>
      </c>
      <c r="G468">
        <v>48.13</v>
      </c>
      <c r="H468">
        <v>2</v>
      </c>
    </row>
    <row r="469" spans="1:8">
      <c r="A469" s="1" t="s">
        <v>499</v>
      </c>
      <c r="B469" t="s">
        <v>517</v>
      </c>
      <c r="C469" t="s">
        <v>61</v>
      </c>
      <c r="D469">
        <v>94</v>
      </c>
      <c r="E469" t="s">
        <v>21</v>
      </c>
      <c r="F469">
        <v>6</v>
      </c>
      <c r="G469">
        <v>67.459999999999994</v>
      </c>
      <c r="H469">
        <v>5</v>
      </c>
    </row>
    <row r="470" spans="1:8">
      <c r="A470" s="1" t="s">
        <v>499</v>
      </c>
      <c r="B470" t="s">
        <v>518</v>
      </c>
      <c r="C470" t="s">
        <v>18</v>
      </c>
      <c r="D470">
        <v>19</v>
      </c>
      <c r="E470" t="s">
        <v>14</v>
      </c>
      <c r="F470">
        <v>71</v>
      </c>
      <c r="G470">
        <v>68.2</v>
      </c>
      <c r="H470">
        <v>0</v>
      </c>
    </row>
    <row r="471" spans="1:8">
      <c r="A471" s="1" t="s">
        <v>499</v>
      </c>
      <c r="B471" t="s">
        <v>519</v>
      </c>
      <c r="C471" t="s">
        <v>26</v>
      </c>
      <c r="D471">
        <v>50</v>
      </c>
      <c r="E471" t="s">
        <v>21</v>
      </c>
      <c r="F471">
        <v>357</v>
      </c>
      <c r="G471">
        <v>17</v>
      </c>
      <c r="H471">
        <v>3</v>
      </c>
    </row>
    <row r="472" spans="1:8">
      <c r="A472" s="1" t="s">
        <v>499</v>
      </c>
      <c r="B472" t="s">
        <v>520</v>
      </c>
      <c r="C472" t="s">
        <v>24</v>
      </c>
      <c r="D472">
        <v>64</v>
      </c>
      <c r="E472" t="s">
        <v>11</v>
      </c>
      <c r="F472">
        <v>15</v>
      </c>
      <c r="G472">
        <v>56.94</v>
      </c>
      <c r="H472">
        <v>4</v>
      </c>
    </row>
    <row r="473" spans="1:8">
      <c r="A473" s="1" t="s">
        <v>499</v>
      </c>
      <c r="B473" t="s">
        <v>521</v>
      </c>
      <c r="C473" t="s">
        <v>63</v>
      </c>
      <c r="D473">
        <v>55</v>
      </c>
      <c r="E473" t="s">
        <v>21</v>
      </c>
      <c r="F473">
        <v>494</v>
      </c>
      <c r="G473">
        <v>77.599999999999994</v>
      </c>
      <c r="H473">
        <v>4</v>
      </c>
    </row>
    <row r="474" spans="1:8">
      <c r="A474" s="1" t="s">
        <v>499</v>
      </c>
      <c r="B474" t="s">
        <v>522</v>
      </c>
      <c r="C474" t="s">
        <v>61</v>
      </c>
      <c r="D474">
        <v>37</v>
      </c>
      <c r="E474" t="s">
        <v>11</v>
      </c>
      <c r="F474">
        <v>37</v>
      </c>
      <c r="G474">
        <v>92.72</v>
      </c>
      <c r="H474">
        <v>0</v>
      </c>
    </row>
    <row r="475" spans="1:8">
      <c r="A475" s="1" t="s">
        <v>499</v>
      </c>
      <c r="B475" t="s">
        <v>523</v>
      </c>
      <c r="C475" t="s">
        <v>65</v>
      </c>
      <c r="D475">
        <v>115</v>
      </c>
      <c r="E475" t="s">
        <v>11</v>
      </c>
      <c r="F475">
        <v>190</v>
      </c>
      <c r="G475">
        <v>10.98</v>
      </c>
      <c r="H475">
        <v>0</v>
      </c>
    </row>
    <row r="476" spans="1:8">
      <c r="A476" s="1" t="s">
        <v>499</v>
      </c>
      <c r="B476" t="s">
        <v>524</v>
      </c>
      <c r="C476" t="s">
        <v>29</v>
      </c>
      <c r="D476">
        <v>80</v>
      </c>
      <c r="E476" t="s">
        <v>11</v>
      </c>
      <c r="F476">
        <v>339</v>
      </c>
      <c r="G476">
        <v>59.87</v>
      </c>
      <c r="H476">
        <v>0</v>
      </c>
    </row>
    <row r="477" spans="1:8">
      <c r="A477" s="1" t="s">
        <v>499</v>
      </c>
      <c r="B477" t="s">
        <v>525</v>
      </c>
      <c r="C477" t="s">
        <v>18</v>
      </c>
      <c r="D477">
        <v>88</v>
      </c>
      <c r="E477" t="s">
        <v>32</v>
      </c>
      <c r="F477">
        <v>359</v>
      </c>
      <c r="G477">
        <v>71.19</v>
      </c>
      <c r="H477">
        <v>3</v>
      </c>
    </row>
    <row r="478" spans="1:8">
      <c r="A478" s="1" t="s">
        <v>499</v>
      </c>
      <c r="B478" t="s">
        <v>526</v>
      </c>
      <c r="C478" t="s">
        <v>38</v>
      </c>
      <c r="D478">
        <v>1</v>
      </c>
      <c r="E478" t="s">
        <v>21</v>
      </c>
      <c r="F478">
        <v>213</v>
      </c>
      <c r="G478">
        <v>52.16</v>
      </c>
      <c r="H478">
        <v>3</v>
      </c>
    </row>
    <row r="479" spans="1:8">
      <c r="A479" s="1" t="s">
        <v>499</v>
      </c>
      <c r="B479" t="s">
        <v>527</v>
      </c>
      <c r="C479" t="s">
        <v>52</v>
      </c>
      <c r="D479">
        <v>55</v>
      </c>
      <c r="E479" t="s">
        <v>14</v>
      </c>
      <c r="F479">
        <v>355</v>
      </c>
      <c r="G479">
        <v>59.65</v>
      </c>
      <c r="H479">
        <v>0</v>
      </c>
    </row>
    <row r="480" spans="1:8">
      <c r="A480" s="1" t="s">
        <v>499</v>
      </c>
      <c r="B480" t="s">
        <v>528</v>
      </c>
      <c r="C480" t="s">
        <v>13</v>
      </c>
      <c r="D480">
        <v>74</v>
      </c>
      <c r="E480" t="s">
        <v>21</v>
      </c>
      <c r="F480">
        <v>330</v>
      </c>
      <c r="G480">
        <v>37.82</v>
      </c>
      <c r="H480">
        <v>5</v>
      </c>
    </row>
    <row r="481" spans="1:8">
      <c r="A481" s="1" t="s">
        <v>499</v>
      </c>
      <c r="B481" t="s">
        <v>529</v>
      </c>
      <c r="C481" t="s">
        <v>26</v>
      </c>
      <c r="D481">
        <v>62</v>
      </c>
      <c r="E481" t="s">
        <v>21</v>
      </c>
      <c r="F481">
        <v>369</v>
      </c>
      <c r="G481" t="s">
        <v>530</v>
      </c>
      <c r="H481">
        <v>1</v>
      </c>
    </row>
    <row r="482" spans="1:8">
      <c r="A482" s="1" t="s">
        <v>499</v>
      </c>
      <c r="B482" t="s">
        <v>531</v>
      </c>
      <c r="C482" t="s">
        <v>20</v>
      </c>
      <c r="D482">
        <v>19</v>
      </c>
      <c r="E482" t="s">
        <v>32</v>
      </c>
      <c r="F482">
        <v>270</v>
      </c>
      <c r="G482">
        <v>19.760000000000002</v>
      </c>
      <c r="H482">
        <v>3</v>
      </c>
    </row>
    <row r="483" spans="1:8">
      <c r="A483" s="1" t="s">
        <v>499</v>
      </c>
      <c r="B483" t="s">
        <v>532</v>
      </c>
      <c r="C483" t="s">
        <v>45</v>
      </c>
      <c r="D483">
        <v>86</v>
      </c>
      <c r="E483" t="s">
        <v>32</v>
      </c>
      <c r="F483">
        <v>27</v>
      </c>
      <c r="G483">
        <v>84.94</v>
      </c>
      <c r="H483">
        <v>4</v>
      </c>
    </row>
    <row r="484" spans="1:8">
      <c r="A484" s="1" t="s">
        <v>499</v>
      </c>
      <c r="B484" t="s">
        <v>533</v>
      </c>
      <c r="C484" t="s">
        <v>24</v>
      </c>
      <c r="D484">
        <v>92</v>
      </c>
      <c r="E484" t="s">
        <v>14</v>
      </c>
      <c r="F484">
        <v>6</v>
      </c>
      <c r="G484">
        <v>77.14</v>
      </c>
      <c r="H484">
        <v>5</v>
      </c>
    </row>
    <row r="485" spans="1:8">
      <c r="A485" s="1" t="s">
        <v>499</v>
      </c>
      <c r="B485" t="s">
        <v>534</v>
      </c>
      <c r="C485" t="s">
        <v>29</v>
      </c>
      <c r="D485">
        <v>117</v>
      </c>
      <c r="E485" t="s">
        <v>21</v>
      </c>
      <c r="F485">
        <v>39</v>
      </c>
      <c r="G485">
        <v>26.53</v>
      </c>
      <c r="H485">
        <v>1</v>
      </c>
    </row>
    <row r="486" spans="1:8">
      <c r="A486" s="1" t="s">
        <v>499</v>
      </c>
      <c r="B486" t="s">
        <v>535</v>
      </c>
      <c r="C486" t="s">
        <v>29</v>
      </c>
      <c r="D486">
        <v>41</v>
      </c>
      <c r="E486" t="s">
        <v>32</v>
      </c>
      <c r="F486">
        <v>383</v>
      </c>
      <c r="G486">
        <v>27.53</v>
      </c>
      <c r="H486">
        <v>4</v>
      </c>
    </row>
    <row r="487" spans="1:8">
      <c r="A487" s="1" t="s">
        <v>499</v>
      </c>
      <c r="B487" t="s">
        <v>536</v>
      </c>
      <c r="C487" t="s">
        <v>57</v>
      </c>
      <c r="D487">
        <v>87</v>
      </c>
      <c r="E487" t="s">
        <v>32</v>
      </c>
      <c r="F487">
        <v>356</v>
      </c>
      <c r="G487">
        <v>12.89</v>
      </c>
      <c r="H487">
        <v>0</v>
      </c>
    </row>
    <row r="488" spans="1:8">
      <c r="A488" s="1" t="s">
        <v>499</v>
      </c>
      <c r="B488" t="s">
        <v>537</v>
      </c>
      <c r="C488" t="s">
        <v>71</v>
      </c>
      <c r="D488">
        <v>113</v>
      </c>
      <c r="E488" t="s">
        <v>21</v>
      </c>
      <c r="F488">
        <v>428</v>
      </c>
      <c r="G488">
        <v>73.84</v>
      </c>
      <c r="H488">
        <v>0</v>
      </c>
    </row>
    <row r="489" spans="1:8">
      <c r="A489" s="1" t="s">
        <v>499</v>
      </c>
      <c r="B489" t="s">
        <v>538</v>
      </c>
      <c r="C489" t="s">
        <v>63</v>
      </c>
      <c r="D489">
        <v>39</v>
      </c>
      <c r="E489" t="s">
        <v>11</v>
      </c>
      <c r="F489">
        <v>54</v>
      </c>
      <c r="G489">
        <v>88.84</v>
      </c>
      <c r="H489">
        <v>0</v>
      </c>
    </row>
    <row r="490" spans="1:8">
      <c r="A490" s="1" t="s">
        <v>499</v>
      </c>
      <c r="B490" t="s">
        <v>539</v>
      </c>
      <c r="C490" t="s">
        <v>43</v>
      </c>
      <c r="D490">
        <v>120</v>
      </c>
      <c r="E490" t="s">
        <v>32</v>
      </c>
      <c r="F490">
        <v>391</v>
      </c>
      <c r="G490">
        <v>67.77</v>
      </c>
      <c r="H490">
        <v>4</v>
      </c>
    </row>
    <row r="491" spans="1:8">
      <c r="A491" s="1" t="s">
        <v>499</v>
      </c>
      <c r="B491" t="s">
        <v>540</v>
      </c>
      <c r="C491" t="s">
        <v>38</v>
      </c>
      <c r="D491">
        <v>77</v>
      </c>
      <c r="E491" t="s">
        <v>21</v>
      </c>
      <c r="F491">
        <v>375</v>
      </c>
      <c r="G491">
        <v>24.03</v>
      </c>
      <c r="H491">
        <v>1</v>
      </c>
    </row>
    <row r="492" spans="1:8">
      <c r="A492" s="1" t="s">
        <v>499</v>
      </c>
      <c r="B492" t="s">
        <v>541</v>
      </c>
      <c r="C492" t="s">
        <v>10</v>
      </c>
      <c r="D492">
        <v>58</v>
      </c>
      <c r="E492" t="s">
        <v>32</v>
      </c>
      <c r="F492">
        <v>485</v>
      </c>
      <c r="G492">
        <v>64.290000000000006</v>
      </c>
      <c r="H492">
        <v>4</v>
      </c>
    </row>
    <row r="493" spans="1:8">
      <c r="A493" s="1" t="s">
        <v>499</v>
      </c>
      <c r="B493" t="s">
        <v>542</v>
      </c>
      <c r="C493" t="s">
        <v>52</v>
      </c>
      <c r="D493">
        <v>45</v>
      </c>
      <c r="E493" t="s">
        <v>32</v>
      </c>
      <c r="F493">
        <v>244</v>
      </c>
      <c r="G493">
        <v>55.17</v>
      </c>
      <c r="H493">
        <v>2</v>
      </c>
    </row>
    <row r="494" spans="1:8">
      <c r="A494" s="1" t="s">
        <v>499</v>
      </c>
      <c r="B494" t="s">
        <v>543</v>
      </c>
      <c r="C494" t="s">
        <v>20</v>
      </c>
      <c r="D494">
        <v>101</v>
      </c>
      <c r="E494" t="s">
        <v>11</v>
      </c>
      <c r="F494">
        <v>210</v>
      </c>
      <c r="G494">
        <v>35.4</v>
      </c>
      <c r="H494">
        <v>1</v>
      </c>
    </row>
    <row r="495" spans="1:8">
      <c r="A495" s="1" t="s">
        <v>499</v>
      </c>
      <c r="B495" t="s">
        <v>544</v>
      </c>
      <c r="C495" t="s">
        <v>76</v>
      </c>
      <c r="D495">
        <v>93</v>
      </c>
      <c r="E495" t="s">
        <v>11</v>
      </c>
      <c r="F495">
        <v>153</v>
      </c>
      <c r="G495">
        <v>86.19</v>
      </c>
      <c r="H495">
        <v>0</v>
      </c>
    </row>
    <row r="496" spans="1:8">
      <c r="A496" s="1" t="s">
        <v>499</v>
      </c>
      <c r="B496" t="s">
        <v>545</v>
      </c>
      <c r="C496" t="s">
        <v>52</v>
      </c>
      <c r="D496">
        <v>85</v>
      </c>
      <c r="E496" t="s">
        <v>11</v>
      </c>
      <c r="F496">
        <v>75</v>
      </c>
      <c r="G496">
        <v>98.01</v>
      </c>
      <c r="H496">
        <v>1</v>
      </c>
    </row>
    <row r="497" spans="1:8">
      <c r="A497" s="1" t="s">
        <v>499</v>
      </c>
      <c r="B497" t="s">
        <v>546</v>
      </c>
      <c r="C497" t="s">
        <v>16</v>
      </c>
      <c r="D497">
        <v>103</v>
      </c>
      <c r="E497" t="s">
        <v>21</v>
      </c>
      <c r="F497">
        <v>291</v>
      </c>
      <c r="G497">
        <v>60.34</v>
      </c>
      <c r="H497">
        <v>5</v>
      </c>
    </row>
    <row r="498" spans="1:8">
      <c r="A498" s="1" t="s">
        <v>499</v>
      </c>
      <c r="B498" t="s">
        <v>547</v>
      </c>
      <c r="C498" t="s">
        <v>65</v>
      </c>
      <c r="D498">
        <v>118</v>
      </c>
      <c r="E498" t="s">
        <v>11</v>
      </c>
      <c r="F498">
        <v>80</v>
      </c>
      <c r="G498">
        <v>97.58</v>
      </c>
      <c r="H498">
        <v>3</v>
      </c>
    </row>
    <row r="499" spans="1:8">
      <c r="A499" s="1" t="s">
        <v>499</v>
      </c>
      <c r="B499" t="s">
        <v>548</v>
      </c>
      <c r="C499" t="s">
        <v>10</v>
      </c>
      <c r="D499">
        <v>9</v>
      </c>
      <c r="E499" t="s">
        <v>21</v>
      </c>
      <c r="F499">
        <v>227</v>
      </c>
      <c r="G499">
        <v>63.74</v>
      </c>
      <c r="H499">
        <v>3</v>
      </c>
    </row>
    <row r="500" spans="1:8">
      <c r="A500" s="1" t="s">
        <v>499</v>
      </c>
      <c r="B500" t="s">
        <v>549</v>
      </c>
      <c r="C500" t="s">
        <v>18</v>
      </c>
      <c r="D500">
        <v>100</v>
      </c>
      <c r="E500" t="s">
        <v>21</v>
      </c>
      <c r="F500">
        <v>240</v>
      </c>
      <c r="G500">
        <v>24.83</v>
      </c>
      <c r="H500">
        <v>4</v>
      </c>
    </row>
    <row r="501" spans="1:8">
      <c r="A501" s="1" t="s">
        <v>499</v>
      </c>
      <c r="B501" t="s">
        <v>550</v>
      </c>
      <c r="C501" t="s">
        <v>18</v>
      </c>
      <c r="D501">
        <v>20</v>
      </c>
      <c r="E501" t="s">
        <v>21</v>
      </c>
      <c r="F501">
        <v>217</v>
      </c>
      <c r="G501">
        <v>55.3</v>
      </c>
      <c r="H501">
        <v>4</v>
      </c>
    </row>
    <row r="502" spans="1:8">
      <c r="A502" s="1" t="s">
        <v>551</v>
      </c>
      <c r="B502" t="s">
        <v>552</v>
      </c>
      <c r="C502" t="s">
        <v>61</v>
      </c>
      <c r="D502">
        <v>74</v>
      </c>
      <c r="E502" t="s">
        <v>14</v>
      </c>
      <c r="F502">
        <v>388</v>
      </c>
      <c r="G502">
        <v>10.89</v>
      </c>
      <c r="H502">
        <v>4</v>
      </c>
    </row>
    <row r="503" spans="1:8">
      <c r="A503" s="1" t="s">
        <v>551</v>
      </c>
      <c r="B503" t="s">
        <v>553</v>
      </c>
      <c r="C503" t="s">
        <v>61</v>
      </c>
      <c r="D503">
        <v>23</v>
      </c>
      <c r="E503" t="s">
        <v>14</v>
      </c>
      <c r="F503">
        <v>325</v>
      </c>
      <c r="G503">
        <v>65.489999999999995</v>
      </c>
      <c r="H503">
        <v>1</v>
      </c>
    </row>
    <row r="504" spans="1:8">
      <c r="A504" s="1" t="s">
        <v>551</v>
      </c>
      <c r="B504" t="s">
        <v>554</v>
      </c>
      <c r="C504" t="s">
        <v>40</v>
      </c>
      <c r="D504">
        <v>34</v>
      </c>
      <c r="E504" t="s">
        <v>14</v>
      </c>
      <c r="F504">
        <v>35</v>
      </c>
      <c r="G504">
        <v>76.86</v>
      </c>
      <c r="H504">
        <v>1</v>
      </c>
    </row>
    <row r="505" spans="1:8">
      <c r="A505" s="1" t="s">
        <v>551</v>
      </c>
      <c r="B505" t="s">
        <v>555</v>
      </c>
      <c r="C505" t="s">
        <v>29</v>
      </c>
      <c r="D505">
        <v>109</v>
      </c>
      <c r="E505" t="s">
        <v>21</v>
      </c>
      <c r="F505">
        <v>84</v>
      </c>
      <c r="G505">
        <v>97.46</v>
      </c>
      <c r="H505">
        <v>5</v>
      </c>
    </row>
    <row r="506" spans="1:8">
      <c r="A506" s="1" t="s">
        <v>551</v>
      </c>
      <c r="B506" t="s">
        <v>556</v>
      </c>
      <c r="C506" t="s">
        <v>26</v>
      </c>
      <c r="D506">
        <v>52</v>
      </c>
      <c r="E506" t="s">
        <v>32</v>
      </c>
      <c r="F506">
        <v>425</v>
      </c>
      <c r="G506">
        <v>97.25</v>
      </c>
      <c r="H506">
        <v>0</v>
      </c>
    </row>
    <row r="507" spans="1:8">
      <c r="A507" s="1" t="s">
        <v>551</v>
      </c>
      <c r="B507" t="s">
        <v>557</v>
      </c>
      <c r="C507" t="s">
        <v>38</v>
      </c>
      <c r="D507">
        <v>9</v>
      </c>
      <c r="E507" t="s">
        <v>14</v>
      </c>
      <c r="F507">
        <v>11</v>
      </c>
      <c r="G507">
        <v>72.36</v>
      </c>
      <c r="H507">
        <v>2</v>
      </c>
    </row>
    <row r="508" spans="1:8">
      <c r="A508" s="1" t="s">
        <v>551</v>
      </c>
      <c r="B508" t="s">
        <v>558</v>
      </c>
      <c r="C508" t="s">
        <v>65</v>
      </c>
      <c r="D508">
        <v>57</v>
      </c>
      <c r="E508" t="s">
        <v>14</v>
      </c>
      <c r="F508">
        <v>493</v>
      </c>
      <c r="G508">
        <v>43.98</v>
      </c>
      <c r="H508">
        <v>3</v>
      </c>
    </row>
    <row r="509" spans="1:8">
      <c r="A509" s="1" t="s">
        <v>551</v>
      </c>
      <c r="B509" t="s">
        <v>559</v>
      </c>
      <c r="C509" t="s">
        <v>10</v>
      </c>
      <c r="D509">
        <v>37</v>
      </c>
      <c r="E509" t="s">
        <v>32</v>
      </c>
      <c r="F509">
        <v>94</v>
      </c>
      <c r="G509">
        <v>50.44</v>
      </c>
      <c r="H509">
        <v>4</v>
      </c>
    </row>
    <row r="510" spans="1:8">
      <c r="A510" s="1" t="s">
        <v>551</v>
      </c>
      <c r="B510" t="s">
        <v>560</v>
      </c>
      <c r="C510" t="s">
        <v>111</v>
      </c>
      <c r="D510">
        <v>16</v>
      </c>
      <c r="E510" t="s">
        <v>11</v>
      </c>
      <c r="F510">
        <v>214</v>
      </c>
      <c r="G510">
        <v>46.57</v>
      </c>
      <c r="H510">
        <v>5</v>
      </c>
    </row>
    <row r="511" spans="1:8">
      <c r="A511" s="1" t="s">
        <v>551</v>
      </c>
      <c r="B511" t="s">
        <v>561</v>
      </c>
      <c r="C511" t="s">
        <v>29</v>
      </c>
      <c r="D511">
        <v>98</v>
      </c>
      <c r="E511" t="s">
        <v>11</v>
      </c>
      <c r="F511">
        <v>41</v>
      </c>
      <c r="G511">
        <v>23.55</v>
      </c>
      <c r="H511">
        <v>1</v>
      </c>
    </row>
    <row r="512" spans="1:8">
      <c r="A512" s="1" t="s">
        <v>551</v>
      </c>
      <c r="B512" t="s">
        <v>562</v>
      </c>
      <c r="C512" t="s">
        <v>38</v>
      </c>
      <c r="D512">
        <v>18</v>
      </c>
      <c r="E512" t="s">
        <v>14</v>
      </c>
      <c r="F512">
        <v>446</v>
      </c>
      <c r="G512">
        <v>97.3</v>
      </c>
      <c r="H512">
        <v>5</v>
      </c>
    </row>
    <row r="513" spans="1:8">
      <c r="A513" s="1" t="s">
        <v>551</v>
      </c>
      <c r="B513" t="s">
        <v>563</v>
      </c>
      <c r="C513" t="s">
        <v>13</v>
      </c>
      <c r="D513">
        <v>36</v>
      </c>
      <c r="E513" t="s">
        <v>21</v>
      </c>
      <c r="F513">
        <v>487</v>
      </c>
      <c r="G513">
        <v>45.02</v>
      </c>
      <c r="H513">
        <v>2</v>
      </c>
    </row>
    <row r="514" spans="1:8">
      <c r="A514" s="1" t="s">
        <v>551</v>
      </c>
      <c r="B514" t="s">
        <v>564</v>
      </c>
      <c r="C514" t="s">
        <v>20</v>
      </c>
      <c r="D514">
        <v>113</v>
      </c>
      <c r="E514" t="s">
        <v>11</v>
      </c>
      <c r="F514">
        <v>152</v>
      </c>
      <c r="G514">
        <v>51.28</v>
      </c>
      <c r="H514">
        <v>4</v>
      </c>
    </row>
    <row r="515" spans="1:8">
      <c r="A515" s="1" t="s">
        <v>551</v>
      </c>
      <c r="B515" t="s">
        <v>565</v>
      </c>
      <c r="C515" t="s">
        <v>76</v>
      </c>
      <c r="D515">
        <v>33</v>
      </c>
      <c r="E515" t="s">
        <v>11</v>
      </c>
      <c r="F515">
        <v>207</v>
      </c>
      <c r="G515">
        <v>38.49</v>
      </c>
      <c r="H515">
        <v>4</v>
      </c>
    </row>
    <row r="516" spans="1:8">
      <c r="A516" s="1" t="s">
        <v>551</v>
      </c>
      <c r="B516" t="s">
        <v>566</v>
      </c>
      <c r="C516" t="s">
        <v>76</v>
      </c>
      <c r="D516">
        <v>58</v>
      </c>
      <c r="E516" t="s">
        <v>11</v>
      </c>
      <c r="F516">
        <v>352</v>
      </c>
      <c r="G516">
        <v>72.94</v>
      </c>
      <c r="H516">
        <v>0</v>
      </c>
    </row>
    <row r="517" spans="1:8">
      <c r="A517" s="1" t="s">
        <v>551</v>
      </c>
      <c r="B517" t="s">
        <v>567</v>
      </c>
      <c r="C517" t="s">
        <v>24</v>
      </c>
      <c r="D517">
        <v>6</v>
      </c>
      <c r="E517" t="s">
        <v>11</v>
      </c>
      <c r="F517">
        <v>342</v>
      </c>
      <c r="G517">
        <v>50.55</v>
      </c>
      <c r="H517">
        <v>5</v>
      </c>
    </row>
    <row r="518" spans="1:8">
      <c r="A518" s="1" t="s">
        <v>551</v>
      </c>
      <c r="B518" t="s">
        <v>568</v>
      </c>
      <c r="C518" t="s">
        <v>71</v>
      </c>
      <c r="D518">
        <v>53</v>
      </c>
      <c r="E518" t="s">
        <v>11</v>
      </c>
      <c r="F518">
        <v>27</v>
      </c>
      <c r="G518">
        <v>18.77</v>
      </c>
      <c r="H518">
        <v>0</v>
      </c>
    </row>
    <row r="519" spans="1:8">
      <c r="A519" s="1" t="s">
        <v>551</v>
      </c>
      <c r="B519" t="s">
        <v>569</v>
      </c>
      <c r="C519" t="s">
        <v>43</v>
      </c>
      <c r="D519">
        <v>118</v>
      </c>
      <c r="E519" t="s">
        <v>14</v>
      </c>
      <c r="F519">
        <v>461</v>
      </c>
      <c r="G519">
        <v>47.82</v>
      </c>
      <c r="H519">
        <v>5</v>
      </c>
    </row>
    <row r="520" spans="1:8">
      <c r="A520" s="1" t="s">
        <v>551</v>
      </c>
      <c r="B520" t="s">
        <v>570</v>
      </c>
      <c r="C520" t="s">
        <v>10</v>
      </c>
      <c r="D520">
        <v>12</v>
      </c>
      <c r="E520" t="s">
        <v>21</v>
      </c>
      <c r="F520">
        <v>138</v>
      </c>
      <c r="G520">
        <v>17</v>
      </c>
      <c r="H520">
        <v>2</v>
      </c>
    </row>
    <row r="521" spans="1:8">
      <c r="A521" s="1" t="s">
        <v>551</v>
      </c>
      <c r="B521" t="s">
        <v>571</v>
      </c>
      <c r="C521" t="s">
        <v>57</v>
      </c>
      <c r="D521">
        <v>120</v>
      </c>
      <c r="E521" t="s">
        <v>14</v>
      </c>
      <c r="F521">
        <v>27</v>
      </c>
      <c r="G521">
        <v>24.46</v>
      </c>
      <c r="H521">
        <v>3</v>
      </c>
    </row>
    <row r="522" spans="1:8">
      <c r="A522" s="1" t="s">
        <v>551</v>
      </c>
      <c r="B522" t="s">
        <v>572</v>
      </c>
      <c r="C522" t="s">
        <v>71</v>
      </c>
      <c r="D522">
        <v>47</v>
      </c>
      <c r="E522" t="s">
        <v>21</v>
      </c>
      <c r="F522">
        <v>385</v>
      </c>
      <c r="G522">
        <v>41.33</v>
      </c>
      <c r="H522">
        <v>0</v>
      </c>
    </row>
    <row r="523" spans="1:8">
      <c r="A523" s="1" t="s">
        <v>551</v>
      </c>
      <c r="B523" t="s">
        <v>573</v>
      </c>
      <c r="C523" t="s">
        <v>95</v>
      </c>
      <c r="D523">
        <v>59</v>
      </c>
      <c r="E523" t="s">
        <v>11</v>
      </c>
      <c r="F523">
        <v>72</v>
      </c>
      <c r="G523">
        <v>94.51</v>
      </c>
      <c r="H523">
        <v>2</v>
      </c>
    </row>
    <row r="524" spans="1:8">
      <c r="A524" s="1" t="s">
        <v>551</v>
      </c>
      <c r="B524" t="s">
        <v>574</v>
      </c>
      <c r="C524" t="s">
        <v>18</v>
      </c>
      <c r="D524">
        <v>53</v>
      </c>
      <c r="E524" t="s">
        <v>32</v>
      </c>
      <c r="F524">
        <v>243</v>
      </c>
      <c r="G524">
        <v>55.19</v>
      </c>
      <c r="H524">
        <v>4</v>
      </c>
    </row>
    <row r="525" spans="1:8">
      <c r="A525" s="1" t="s">
        <v>551</v>
      </c>
      <c r="B525" t="s">
        <v>575</v>
      </c>
      <c r="C525" t="s">
        <v>71</v>
      </c>
      <c r="D525">
        <v>61</v>
      </c>
      <c r="E525" t="s">
        <v>32</v>
      </c>
      <c r="F525">
        <v>140</v>
      </c>
      <c r="G525">
        <v>76.3</v>
      </c>
      <c r="H525">
        <v>4</v>
      </c>
    </row>
    <row r="526" spans="1:8">
      <c r="A526" s="1" t="s">
        <v>551</v>
      </c>
      <c r="B526" t="s">
        <v>576</v>
      </c>
      <c r="C526" t="s">
        <v>107</v>
      </c>
      <c r="D526">
        <v>63</v>
      </c>
      <c r="E526" t="s">
        <v>21</v>
      </c>
      <c r="F526">
        <v>109</v>
      </c>
      <c r="G526">
        <v>10.33</v>
      </c>
      <c r="H526">
        <v>3</v>
      </c>
    </row>
    <row r="527" spans="1:8">
      <c r="A527" s="1" t="s">
        <v>551</v>
      </c>
      <c r="B527" t="s">
        <v>577</v>
      </c>
      <c r="C527" t="s">
        <v>57</v>
      </c>
      <c r="D527">
        <v>80</v>
      </c>
      <c r="E527" t="s">
        <v>11</v>
      </c>
      <c r="F527">
        <v>458</v>
      </c>
      <c r="G527">
        <v>98.11</v>
      </c>
      <c r="H527">
        <v>0</v>
      </c>
    </row>
    <row r="528" spans="1:8">
      <c r="A528" s="1" t="s">
        <v>551</v>
      </c>
      <c r="B528" t="s">
        <v>578</v>
      </c>
      <c r="C528" t="s">
        <v>43</v>
      </c>
      <c r="D528">
        <v>88</v>
      </c>
      <c r="E528" t="s">
        <v>14</v>
      </c>
      <c r="F528">
        <v>246</v>
      </c>
      <c r="G528">
        <v>90.7</v>
      </c>
      <c r="H528">
        <v>3</v>
      </c>
    </row>
    <row r="529" spans="1:8">
      <c r="A529" s="1" t="s">
        <v>551</v>
      </c>
      <c r="B529" t="s">
        <v>579</v>
      </c>
      <c r="C529" t="s">
        <v>95</v>
      </c>
      <c r="D529">
        <v>65</v>
      </c>
      <c r="E529" t="s">
        <v>11</v>
      </c>
      <c r="F529">
        <v>274</v>
      </c>
      <c r="G529">
        <v>88.1</v>
      </c>
      <c r="H529">
        <v>4</v>
      </c>
    </row>
    <row r="530" spans="1:8">
      <c r="A530" s="1" t="s">
        <v>551</v>
      </c>
      <c r="B530" t="s">
        <v>580</v>
      </c>
      <c r="C530" t="s">
        <v>26</v>
      </c>
      <c r="D530">
        <v>11</v>
      </c>
      <c r="E530" t="s">
        <v>11</v>
      </c>
      <c r="F530">
        <v>214</v>
      </c>
      <c r="G530">
        <v>11.46</v>
      </c>
      <c r="H530">
        <v>5</v>
      </c>
    </row>
    <row r="531" spans="1:8">
      <c r="A531" s="1" t="s">
        <v>551</v>
      </c>
      <c r="B531" t="s">
        <v>581</v>
      </c>
      <c r="C531" t="s">
        <v>92</v>
      </c>
      <c r="D531">
        <v>110</v>
      </c>
      <c r="E531" t="s">
        <v>21</v>
      </c>
      <c r="F531">
        <v>47</v>
      </c>
      <c r="G531">
        <v>29.68</v>
      </c>
      <c r="H531">
        <v>0</v>
      </c>
    </row>
    <row r="532" spans="1:8">
      <c r="A532" s="1" t="s">
        <v>551</v>
      </c>
      <c r="B532" t="s">
        <v>582</v>
      </c>
      <c r="C532" t="s">
        <v>40</v>
      </c>
      <c r="D532">
        <v>41</v>
      </c>
      <c r="E532" t="s">
        <v>32</v>
      </c>
      <c r="F532">
        <v>178</v>
      </c>
      <c r="G532">
        <v>11.29</v>
      </c>
      <c r="H532">
        <v>4</v>
      </c>
    </row>
    <row r="533" spans="1:8">
      <c r="A533" s="1" t="s">
        <v>551</v>
      </c>
      <c r="B533" t="s">
        <v>583</v>
      </c>
      <c r="C533" t="s">
        <v>111</v>
      </c>
      <c r="D533">
        <v>91</v>
      </c>
      <c r="E533" t="s">
        <v>21</v>
      </c>
      <c r="F533">
        <v>90</v>
      </c>
      <c r="G533">
        <v>39.14</v>
      </c>
      <c r="H533">
        <v>3</v>
      </c>
    </row>
    <row r="534" spans="1:8">
      <c r="A534" s="1" t="s">
        <v>551</v>
      </c>
      <c r="B534" t="s">
        <v>584</v>
      </c>
      <c r="C534" t="s">
        <v>111</v>
      </c>
      <c r="D534">
        <v>21</v>
      </c>
      <c r="E534" t="s">
        <v>21</v>
      </c>
      <c r="F534">
        <v>444</v>
      </c>
      <c r="G534">
        <v>41.92</v>
      </c>
      <c r="H534">
        <v>3</v>
      </c>
    </row>
    <row r="535" spans="1:8">
      <c r="A535" s="1" t="s">
        <v>551</v>
      </c>
      <c r="B535" t="s">
        <v>585</v>
      </c>
      <c r="C535" t="s">
        <v>40</v>
      </c>
      <c r="D535">
        <v>17</v>
      </c>
      <c r="E535" t="s">
        <v>11</v>
      </c>
      <c r="F535">
        <v>175</v>
      </c>
      <c r="G535">
        <v>24.95</v>
      </c>
      <c r="H535">
        <v>4</v>
      </c>
    </row>
    <row r="536" spans="1:8">
      <c r="A536" s="1" t="s">
        <v>551</v>
      </c>
      <c r="B536" t="s">
        <v>586</v>
      </c>
      <c r="C536" t="s">
        <v>61</v>
      </c>
      <c r="D536">
        <v>47</v>
      </c>
      <c r="E536" t="s">
        <v>32</v>
      </c>
      <c r="F536">
        <v>350</v>
      </c>
      <c r="G536">
        <v>80.48</v>
      </c>
      <c r="H536">
        <v>3</v>
      </c>
    </row>
    <row r="537" spans="1:8">
      <c r="A537" s="1" t="s">
        <v>551</v>
      </c>
      <c r="B537" t="s">
        <v>587</v>
      </c>
      <c r="C537" t="s">
        <v>10</v>
      </c>
      <c r="D537">
        <v>110</v>
      </c>
      <c r="E537" t="s">
        <v>14</v>
      </c>
      <c r="F537">
        <v>132</v>
      </c>
      <c r="G537">
        <v>21.31</v>
      </c>
      <c r="H537">
        <v>5</v>
      </c>
    </row>
    <row r="538" spans="1:8">
      <c r="A538" s="1" t="s">
        <v>551</v>
      </c>
      <c r="B538" t="s">
        <v>588</v>
      </c>
      <c r="C538" t="s">
        <v>111</v>
      </c>
      <c r="D538">
        <v>66</v>
      </c>
      <c r="E538" t="s">
        <v>11</v>
      </c>
      <c r="F538">
        <v>152</v>
      </c>
      <c r="G538">
        <v>95.71</v>
      </c>
      <c r="H538">
        <v>3</v>
      </c>
    </row>
    <row r="539" spans="1:8">
      <c r="A539" s="1" t="s">
        <v>551</v>
      </c>
      <c r="B539" t="s">
        <v>589</v>
      </c>
      <c r="C539" t="s">
        <v>18</v>
      </c>
      <c r="D539">
        <v>88</v>
      </c>
      <c r="E539" t="s">
        <v>32</v>
      </c>
      <c r="F539">
        <v>219</v>
      </c>
      <c r="G539">
        <v>59.15</v>
      </c>
      <c r="H539">
        <v>0</v>
      </c>
    </row>
    <row r="540" spans="1:8">
      <c r="A540" s="1" t="s">
        <v>551</v>
      </c>
      <c r="B540" t="s">
        <v>590</v>
      </c>
      <c r="C540" t="s">
        <v>10</v>
      </c>
      <c r="D540">
        <v>57</v>
      </c>
      <c r="E540" t="s">
        <v>14</v>
      </c>
      <c r="F540">
        <v>447</v>
      </c>
      <c r="G540">
        <v>23.27</v>
      </c>
      <c r="H540">
        <v>3</v>
      </c>
    </row>
    <row r="541" spans="1:8">
      <c r="A541" s="1" t="s">
        <v>551</v>
      </c>
      <c r="B541" t="s">
        <v>591</v>
      </c>
      <c r="C541" t="s">
        <v>71</v>
      </c>
      <c r="D541">
        <v>38</v>
      </c>
      <c r="E541" t="s">
        <v>14</v>
      </c>
      <c r="F541">
        <v>108</v>
      </c>
      <c r="G541">
        <v>72.7</v>
      </c>
      <c r="H541">
        <v>3</v>
      </c>
    </row>
    <row r="542" spans="1:8">
      <c r="A542" s="1" t="s">
        <v>551</v>
      </c>
      <c r="B542" t="s">
        <v>592</v>
      </c>
      <c r="C542" t="s">
        <v>13</v>
      </c>
      <c r="D542">
        <v>34</v>
      </c>
      <c r="E542" t="s">
        <v>21</v>
      </c>
      <c r="F542">
        <v>401</v>
      </c>
      <c r="G542">
        <v>68.400000000000006</v>
      </c>
      <c r="H542">
        <v>5</v>
      </c>
    </row>
    <row r="543" spans="1:8">
      <c r="A543" s="1" t="s">
        <v>551</v>
      </c>
      <c r="B543" t="s">
        <v>593</v>
      </c>
      <c r="C543" t="s">
        <v>36</v>
      </c>
      <c r="D543">
        <v>46</v>
      </c>
      <c r="E543" t="s">
        <v>11</v>
      </c>
      <c r="F543">
        <v>216</v>
      </c>
      <c r="G543">
        <v>63.74</v>
      </c>
      <c r="H543">
        <v>4</v>
      </c>
    </row>
    <row r="544" spans="1:8">
      <c r="A544" s="1" t="s">
        <v>551</v>
      </c>
      <c r="B544" t="s">
        <v>594</v>
      </c>
      <c r="C544" t="s">
        <v>31</v>
      </c>
      <c r="D544">
        <v>47</v>
      </c>
      <c r="E544" t="s">
        <v>32</v>
      </c>
      <c r="F544">
        <v>457</v>
      </c>
      <c r="G544">
        <v>84.93</v>
      </c>
      <c r="H544">
        <v>2</v>
      </c>
    </row>
    <row r="545" spans="1:8">
      <c r="A545" s="1" t="s">
        <v>551</v>
      </c>
      <c r="B545" t="s">
        <v>595</v>
      </c>
      <c r="C545" t="s">
        <v>52</v>
      </c>
      <c r="D545">
        <v>84</v>
      </c>
      <c r="E545" t="s">
        <v>14</v>
      </c>
      <c r="F545">
        <v>364</v>
      </c>
      <c r="G545">
        <v>87.79</v>
      </c>
      <c r="H545">
        <v>3</v>
      </c>
    </row>
    <row r="546" spans="1:8">
      <c r="A546" s="1" t="s">
        <v>551</v>
      </c>
      <c r="B546" t="s">
        <v>596</v>
      </c>
      <c r="C546" t="s">
        <v>45</v>
      </c>
      <c r="D546">
        <v>119</v>
      </c>
      <c r="E546" t="s">
        <v>21</v>
      </c>
      <c r="F546">
        <v>231</v>
      </c>
      <c r="G546">
        <v>20.22</v>
      </c>
      <c r="H546">
        <v>2</v>
      </c>
    </row>
    <row r="547" spans="1:8">
      <c r="A547" s="1" t="s">
        <v>551</v>
      </c>
      <c r="B547" t="s">
        <v>597</v>
      </c>
      <c r="C547" t="s">
        <v>40</v>
      </c>
      <c r="D547">
        <v>48</v>
      </c>
      <c r="E547" t="s">
        <v>14</v>
      </c>
      <c r="F547">
        <v>482</v>
      </c>
      <c r="G547">
        <v>83.24</v>
      </c>
      <c r="H547">
        <v>0</v>
      </c>
    </row>
    <row r="548" spans="1:8">
      <c r="A548" s="1" t="s">
        <v>551</v>
      </c>
      <c r="B548" t="s">
        <v>598</v>
      </c>
      <c r="C548" t="s">
        <v>76</v>
      </c>
      <c r="D548">
        <v>99</v>
      </c>
      <c r="E548" t="s">
        <v>11</v>
      </c>
      <c r="F548">
        <v>42</v>
      </c>
      <c r="G548">
        <v>98.77</v>
      </c>
      <c r="H548">
        <v>3</v>
      </c>
    </row>
    <row r="549" spans="1:8">
      <c r="A549" s="1" t="s">
        <v>551</v>
      </c>
      <c r="B549" t="s">
        <v>599</v>
      </c>
      <c r="C549" t="s">
        <v>16</v>
      </c>
      <c r="D549">
        <v>73</v>
      </c>
      <c r="E549" t="s">
        <v>11</v>
      </c>
      <c r="F549">
        <v>268</v>
      </c>
      <c r="G549">
        <v>56.86</v>
      </c>
      <c r="H549">
        <v>5</v>
      </c>
    </row>
    <row r="550" spans="1:8">
      <c r="A550" s="1" t="s">
        <v>551</v>
      </c>
      <c r="B550" t="s">
        <v>600</v>
      </c>
      <c r="C550" t="s">
        <v>57</v>
      </c>
      <c r="D550">
        <v>10</v>
      </c>
      <c r="E550" t="s">
        <v>11</v>
      </c>
      <c r="F550">
        <v>129</v>
      </c>
      <c r="G550">
        <v>70.12</v>
      </c>
      <c r="H550">
        <v>0</v>
      </c>
    </row>
    <row r="551" spans="1:8">
      <c r="A551" s="1" t="s">
        <v>551</v>
      </c>
      <c r="B551" t="s">
        <v>601</v>
      </c>
      <c r="C551" t="s">
        <v>63</v>
      </c>
      <c r="D551">
        <v>80</v>
      </c>
      <c r="E551" t="s">
        <v>21</v>
      </c>
      <c r="F551">
        <v>101</v>
      </c>
      <c r="G551">
        <v>61.92</v>
      </c>
      <c r="H551">
        <v>4</v>
      </c>
    </row>
    <row r="552" spans="1:8">
      <c r="A552" s="1" t="s">
        <v>602</v>
      </c>
      <c r="B552" t="s">
        <v>603</v>
      </c>
      <c r="C552" t="s">
        <v>95</v>
      </c>
      <c r="D552">
        <v>17</v>
      </c>
      <c r="E552" t="s">
        <v>32</v>
      </c>
      <c r="F552">
        <v>499</v>
      </c>
      <c r="G552">
        <v>27.81</v>
      </c>
      <c r="H552">
        <v>2</v>
      </c>
    </row>
    <row r="553" spans="1:8">
      <c r="A553" s="1" t="s">
        <v>602</v>
      </c>
      <c r="B553" t="s">
        <v>604</v>
      </c>
      <c r="C553" t="s">
        <v>76</v>
      </c>
      <c r="D553">
        <v>12</v>
      </c>
      <c r="E553" t="s">
        <v>11</v>
      </c>
      <c r="F553">
        <v>42</v>
      </c>
      <c r="G553">
        <v>48.64</v>
      </c>
      <c r="H553">
        <v>0</v>
      </c>
    </row>
    <row r="554" spans="1:8">
      <c r="A554" s="1" t="s">
        <v>602</v>
      </c>
      <c r="B554" t="s">
        <v>605</v>
      </c>
      <c r="C554" t="s">
        <v>36</v>
      </c>
      <c r="D554">
        <v>42</v>
      </c>
      <c r="E554" t="s">
        <v>11</v>
      </c>
      <c r="F554">
        <v>167</v>
      </c>
      <c r="G554">
        <v>45.85</v>
      </c>
      <c r="H554">
        <v>2</v>
      </c>
    </row>
    <row r="555" spans="1:8">
      <c r="A555" s="1" t="s">
        <v>602</v>
      </c>
      <c r="B555" t="s">
        <v>606</v>
      </c>
      <c r="C555" t="s">
        <v>76</v>
      </c>
      <c r="D555">
        <v>12</v>
      </c>
      <c r="E555" t="s">
        <v>21</v>
      </c>
      <c r="F555">
        <v>112</v>
      </c>
      <c r="G555">
        <v>82.81</v>
      </c>
      <c r="H555">
        <v>0</v>
      </c>
    </row>
    <row r="556" spans="1:8">
      <c r="A556" s="1" t="s">
        <v>602</v>
      </c>
      <c r="B556" t="s">
        <v>607</v>
      </c>
      <c r="C556" t="s">
        <v>52</v>
      </c>
      <c r="D556">
        <v>81</v>
      </c>
      <c r="E556" t="s">
        <v>21</v>
      </c>
      <c r="F556">
        <v>11</v>
      </c>
      <c r="G556">
        <v>41.76</v>
      </c>
      <c r="H556">
        <v>5</v>
      </c>
    </row>
    <row r="557" spans="1:8">
      <c r="A557" s="1" t="s">
        <v>602</v>
      </c>
      <c r="B557" t="s">
        <v>608</v>
      </c>
      <c r="C557" t="s">
        <v>40</v>
      </c>
      <c r="D557">
        <v>55</v>
      </c>
      <c r="E557" t="s">
        <v>21</v>
      </c>
      <c r="F557">
        <v>60</v>
      </c>
      <c r="G557">
        <v>32.51</v>
      </c>
      <c r="H557">
        <v>4</v>
      </c>
    </row>
    <row r="558" spans="1:8">
      <c r="A558" s="1" t="s">
        <v>602</v>
      </c>
      <c r="B558" t="s">
        <v>609</v>
      </c>
      <c r="C558" t="s">
        <v>92</v>
      </c>
      <c r="D558">
        <v>56</v>
      </c>
      <c r="E558" t="s">
        <v>32</v>
      </c>
      <c r="F558">
        <v>354</v>
      </c>
      <c r="G558">
        <v>32.08</v>
      </c>
      <c r="H558">
        <v>1</v>
      </c>
    </row>
    <row r="559" spans="1:8">
      <c r="A559" s="1" t="s">
        <v>602</v>
      </c>
      <c r="B559" t="s">
        <v>610</v>
      </c>
      <c r="C559" t="s">
        <v>20</v>
      </c>
      <c r="D559">
        <v>67</v>
      </c>
      <c r="E559" t="s">
        <v>21</v>
      </c>
      <c r="F559">
        <v>81</v>
      </c>
      <c r="G559">
        <v>28.52</v>
      </c>
      <c r="H559">
        <v>4</v>
      </c>
    </row>
    <row r="560" spans="1:8">
      <c r="A560" s="1" t="s">
        <v>602</v>
      </c>
      <c r="B560" t="s">
        <v>611</v>
      </c>
      <c r="C560" t="s">
        <v>31</v>
      </c>
      <c r="D560">
        <v>7</v>
      </c>
      <c r="E560" t="s">
        <v>11</v>
      </c>
      <c r="F560">
        <v>323</v>
      </c>
      <c r="G560">
        <v>82.81</v>
      </c>
      <c r="H560">
        <v>5</v>
      </c>
    </row>
    <row r="561" spans="1:8">
      <c r="A561" s="1" t="s">
        <v>602</v>
      </c>
      <c r="B561" t="s">
        <v>612</v>
      </c>
      <c r="C561" t="s">
        <v>65</v>
      </c>
      <c r="D561">
        <v>118</v>
      </c>
      <c r="E561" t="s">
        <v>14</v>
      </c>
      <c r="F561">
        <v>186</v>
      </c>
      <c r="G561">
        <v>46.88</v>
      </c>
      <c r="H561">
        <v>1</v>
      </c>
    </row>
    <row r="562" spans="1:8">
      <c r="A562" s="1" t="s">
        <v>602</v>
      </c>
      <c r="B562" t="s">
        <v>613</v>
      </c>
      <c r="C562" t="s">
        <v>79</v>
      </c>
      <c r="D562">
        <v>17</v>
      </c>
      <c r="E562" t="s">
        <v>21</v>
      </c>
      <c r="F562">
        <v>310</v>
      </c>
      <c r="G562">
        <v>19.68</v>
      </c>
      <c r="H562">
        <v>5</v>
      </c>
    </row>
    <row r="563" spans="1:8">
      <c r="A563" s="1" t="s">
        <v>602</v>
      </c>
      <c r="B563" t="s">
        <v>614</v>
      </c>
      <c r="C563" t="s">
        <v>20</v>
      </c>
      <c r="D563">
        <v>71</v>
      </c>
      <c r="E563" t="s">
        <v>11</v>
      </c>
      <c r="F563">
        <v>111</v>
      </c>
      <c r="G563">
        <v>95.53</v>
      </c>
      <c r="H563">
        <v>3</v>
      </c>
    </row>
    <row r="564" spans="1:8">
      <c r="A564" s="1" t="s">
        <v>602</v>
      </c>
      <c r="B564" t="s">
        <v>615</v>
      </c>
      <c r="C564" t="s">
        <v>24</v>
      </c>
      <c r="D564">
        <v>101</v>
      </c>
      <c r="E564" t="s">
        <v>14</v>
      </c>
      <c r="F564">
        <v>262</v>
      </c>
      <c r="G564">
        <v>83.74</v>
      </c>
      <c r="H564">
        <v>5</v>
      </c>
    </row>
    <row r="565" spans="1:8">
      <c r="A565" s="1" t="s">
        <v>602</v>
      </c>
      <c r="B565" t="s">
        <v>616</v>
      </c>
      <c r="C565" t="s">
        <v>57</v>
      </c>
      <c r="D565">
        <v>50</v>
      </c>
      <c r="E565" t="s">
        <v>21</v>
      </c>
      <c r="F565">
        <v>177</v>
      </c>
      <c r="G565">
        <v>74.569999999999993</v>
      </c>
      <c r="H565">
        <v>4</v>
      </c>
    </row>
    <row r="566" spans="1:8">
      <c r="A566" s="1" t="s">
        <v>602</v>
      </c>
      <c r="B566" t="s">
        <v>617</v>
      </c>
      <c r="C566" t="s">
        <v>107</v>
      </c>
      <c r="D566">
        <v>51</v>
      </c>
      <c r="E566" t="s">
        <v>14</v>
      </c>
      <c r="F566">
        <v>337</v>
      </c>
      <c r="G566">
        <v>68.67</v>
      </c>
      <c r="H566">
        <v>5</v>
      </c>
    </row>
    <row r="567" spans="1:8">
      <c r="A567" s="1" t="s">
        <v>602</v>
      </c>
      <c r="B567" t="s">
        <v>618</v>
      </c>
      <c r="C567" t="s">
        <v>24</v>
      </c>
      <c r="D567">
        <v>81</v>
      </c>
      <c r="E567" t="s">
        <v>21</v>
      </c>
      <c r="F567">
        <v>64</v>
      </c>
      <c r="G567">
        <v>43.45</v>
      </c>
      <c r="H567">
        <v>2</v>
      </c>
    </row>
    <row r="568" spans="1:8">
      <c r="A568" s="1" t="s">
        <v>602</v>
      </c>
      <c r="B568" t="s">
        <v>619</v>
      </c>
      <c r="C568" t="s">
        <v>20</v>
      </c>
      <c r="D568">
        <v>74</v>
      </c>
      <c r="E568" t="s">
        <v>21</v>
      </c>
      <c r="F568">
        <v>16</v>
      </c>
      <c r="G568">
        <v>93.01</v>
      </c>
      <c r="H568">
        <v>3</v>
      </c>
    </row>
    <row r="569" spans="1:8">
      <c r="A569" s="1" t="s">
        <v>602</v>
      </c>
      <c r="B569" t="s">
        <v>620</v>
      </c>
      <c r="C569" t="s">
        <v>40</v>
      </c>
      <c r="D569">
        <v>108</v>
      </c>
      <c r="E569" t="s">
        <v>14</v>
      </c>
      <c r="F569">
        <v>460</v>
      </c>
      <c r="G569">
        <v>88.95</v>
      </c>
      <c r="H569">
        <v>3</v>
      </c>
    </row>
    <row r="570" spans="1:8">
      <c r="A570" s="1" t="s">
        <v>602</v>
      </c>
      <c r="B570" t="s">
        <v>621</v>
      </c>
      <c r="C570" t="s">
        <v>43</v>
      </c>
      <c r="D570">
        <v>103</v>
      </c>
      <c r="E570" t="s">
        <v>32</v>
      </c>
      <c r="F570">
        <v>310</v>
      </c>
      <c r="G570">
        <v>49.25</v>
      </c>
      <c r="H570">
        <v>2</v>
      </c>
    </row>
    <row r="571" spans="1:8">
      <c r="A571" s="1" t="s">
        <v>602</v>
      </c>
      <c r="B571" t="s">
        <v>622</v>
      </c>
      <c r="C571" t="s">
        <v>40</v>
      </c>
      <c r="D571">
        <v>16</v>
      </c>
      <c r="E571" t="s">
        <v>32</v>
      </c>
      <c r="F571">
        <v>274</v>
      </c>
      <c r="G571">
        <v>27.97</v>
      </c>
      <c r="H571">
        <v>4</v>
      </c>
    </row>
    <row r="572" spans="1:8">
      <c r="A572" s="1" t="s">
        <v>602</v>
      </c>
      <c r="B572" t="s">
        <v>623</v>
      </c>
      <c r="C572" t="s">
        <v>38</v>
      </c>
      <c r="D572">
        <v>94</v>
      </c>
      <c r="E572" t="s">
        <v>11</v>
      </c>
      <c r="F572">
        <v>247</v>
      </c>
      <c r="G572">
        <v>96.57</v>
      </c>
      <c r="H572">
        <v>0</v>
      </c>
    </row>
    <row r="573" spans="1:8">
      <c r="A573" s="1" t="s">
        <v>602</v>
      </c>
      <c r="B573" t="s">
        <v>624</v>
      </c>
      <c r="C573" t="s">
        <v>16</v>
      </c>
      <c r="D573">
        <v>74</v>
      </c>
      <c r="E573" t="s">
        <v>14</v>
      </c>
      <c r="F573">
        <v>265</v>
      </c>
      <c r="G573">
        <v>90.81</v>
      </c>
      <c r="H573">
        <v>3</v>
      </c>
    </row>
    <row r="574" spans="1:8">
      <c r="A574" s="1" t="s">
        <v>602</v>
      </c>
      <c r="B574" t="s">
        <v>625</v>
      </c>
      <c r="C574" t="s">
        <v>40</v>
      </c>
      <c r="D574">
        <v>21</v>
      </c>
      <c r="E574" t="s">
        <v>14</v>
      </c>
      <c r="F574">
        <v>267</v>
      </c>
      <c r="G574">
        <v>74.989999999999995</v>
      </c>
      <c r="H574">
        <v>1</v>
      </c>
    </row>
    <row r="575" spans="1:8">
      <c r="A575" s="1" t="s">
        <v>602</v>
      </c>
      <c r="B575" t="s">
        <v>626</v>
      </c>
      <c r="C575" t="s">
        <v>52</v>
      </c>
      <c r="D575">
        <v>2</v>
      </c>
      <c r="E575" t="s">
        <v>11</v>
      </c>
      <c r="F575">
        <v>481</v>
      </c>
      <c r="G575">
        <v>29.37</v>
      </c>
      <c r="H575">
        <v>4</v>
      </c>
    </row>
    <row r="576" spans="1:8">
      <c r="A576" s="1" t="s">
        <v>602</v>
      </c>
      <c r="B576" t="s">
        <v>627</v>
      </c>
      <c r="C576" t="s">
        <v>52</v>
      </c>
      <c r="D576">
        <v>82</v>
      </c>
      <c r="E576" t="s">
        <v>21</v>
      </c>
      <c r="F576">
        <v>175</v>
      </c>
      <c r="G576">
        <v>86.14</v>
      </c>
      <c r="H576">
        <v>1</v>
      </c>
    </row>
    <row r="577" spans="1:8">
      <c r="A577" s="1" t="s">
        <v>602</v>
      </c>
      <c r="B577" t="s">
        <v>628</v>
      </c>
      <c r="C577" t="s">
        <v>71</v>
      </c>
      <c r="D577">
        <v>34</v>
      </c>
      <c r="E577" t="s">
        <v>11</v>
      </c>
      <c r="F577">
        <v>58</v>
      </c>
      <c r="G577">
        <v>64.349999999999994</v>
      </c>
      <c r="H577">
        <v>0</v>
      </c>
    </row>
    <row r="578" spans="1:8">
      <c r="A578" s="1" t="s">
        <v>602</v>
      </c>
      <c r="B578" t="s">
        <v>629</v>
      </c>
      <c r="C578" t="s">
        <v>79</v>
      </c>
      <c r="D578">
        <v>91</v>
      </c>
      <c r="E578" t="s">
        <v>14</v>
      </c>
      <c r="F578">
        <v>62</v>
      </c>
      <c r="G578">
        <v>34.450000000000003</v>
      </c>
      <c r="H578">
        <v>5</v>
      </c>
    </row>
    <row r="579" spans="1:8">
      <c r="A579" s="1" t="s">
        <v>602</v>
      </c>
      <c r="B579" t="s">
        <v>630</v>
      </c>
      <c r="C579" t="s">
        <v>24</v>
      </c>
      <c r="D579">
        <v>56</v>
      </c>
      <c r="E579" t="s">
        <v>14</v>
      </c>
      <c r="F579">
        <v>379</v>
      </c>
      <c r="G579">
        <v>49.01</v>
      </c>
      <c r="H579">
        <v>0</v>
      </c>
    </row>
    <row r="580" spans="1:8">
      <c r="A580" s="1" t="s">
        <v>602</v>
      </c>
      <c r="B580" t="s">
        <v>631</v>
      </c>
      <c r="C580" t="s">
        <v>10</v>
      </c>
      <c r="D580">
        <v>27</v>
      </c>
      <c r="E580" t="s">
        <v>14</v>
      </c>
      <c r="F580">
        <v>70</v>
      </c>
      <c r="G580">
        <v>20.32</v>
      </c>
      <c r="H580">
        <v>3</v>
      </c>
    </row>
    <row r="581" spans="1:8">
      <c r="A581" s="1" t="s">
        <v>602</v>
      </c>
      <c r="B581" t="s">
        <v>632</v>
      </c>
      <c r="C581" t="s">
        <v>61</v>
      </c>
      <c r="D581">
        <v>21</v>
      </c>
      <c r="E581" t="s">
        <v>14</v>
      </c>
      <c r="F581">
        <v>15</v>
      </c>
      <c r="G581">
        <v>57.74</v>
      </c>
      <c r="H581">
        <v>0</v>
      </c>
    </row>
    <row r="582" spans="1:8">
      <c r="A582" s="1" t="s">
        <v>602</v>
      </c>
      <c r="B582" t="s">
        <v>633</v>
      </c>
      <c r="C582" t="s">
        <v>18</v>
      </c>
      <c r="D582">
        <v>107</v>
      </c>
      <c r="E582" t="s">
        <v>21</v>
      </c>
      <c r="F582">
        <v>290</v>
      </c>
      <c r="G582">
        <v>52.03</v>
      </c>
      <c r="H582">
        <v>0</v>
      </c>
    </row>
    <row r="583" spans="1:8">
      <c r="A583" s="1" t="s">
        <v>602</v>
      </c>
      <c r="B583" t="s">
        <v>634</v>
      </c>
      <c r="C583" t="s">
        <v>61</v>
      </c>
      <c r="D583">
        <v>30</v>
      </c>
      <c r="E583" t="s">
        <v>14</v>
      </c>
      <c r="F583">
        <v>130</v>
      </c>
      <c r="G583">
        <v>50.15</v>
      </c>
      <c r="H583">
        <v>4</v>
      </c>
    </row>
    <row r="584" spans="1:8">
      <c r="A584" s="1" t="s">
        <v>602</v>
      </c>
      <c r="B584" t="s">
        <v>635</v>
      </c>
      <c r="C584" t="s">
        <v>18</v>
      </c>
      <c r="D584">
        <v>120</v>
      </c>
      <c r="E584" t="s">
        <v>21</v>
      </c>
      <c r="F584">
        <v>437</v>
      </c>
      <c r="G584">
        <v>95.17</v>
      </c>
      <c r="H584">
        <v>1</v>
      </c>
    </row>
    <row r="585" spans="1:8">
      <c r="A585" s="1" t="s">
        <v>602</v>
      </c>
      <c r="B585" t="s">
        <v>636</v>
      </c>
      <c r="C585" t="s">
        <v>107</v>
      </c>
      <c r="D585">
        <v>116</v>
      </c>
      <c r="E585" t="s">
        <v>32</v>
      </c>
      <c r="F585">
        <v>279</v>
      </c>
      <c r="G585">
        <v>62.88</v>
      </c>
      <c r="H585">
        <v>4</v>
      </c>
    </row>
    <row r="586" spans="1:8">
      <c r="A586" s="1" t="s">
        <v>602</v>
      </c>
      <c r="B586" t="s">
        <v>637</v>
      </c>
      <c r="C586" t="s">
        <v>40</v>
      </c>
      <c r="D586">
        <v>23</v>
      </c>
      <c r="E586" t="s">
        <v>32</v>
      </c>
      <c r="F586">
        <v>314</v>
      </c>
      <c r="G586">
        <v>19.260000000000002</v>
      </c>
      <c r="H586">
        <v>3</v>
      </c>
    </row>
    <row r="587" spans="1:8">
      <c r="A587" s="1" t="s">
        <v>602</v>
      </c>
      <c r="B587" t="s">
        <v>638</v>
      </c>
      <c r="C587" t="s">
        <v>65</v>
      </c>
      <c r="D587">
        <v>41</v>
      </c>
      <c r="E587" t="s">
        <v>14</v>
      </c>
      <c r="F587">
        <v>2</v>
      </c>
      <c r="G587">
        <v>24.91</v>
      </c>
      <c r="H587">
        <v>1</v>
      </c>
    </row>
    <row r="588" spans="1:8">
      <c r="A588" s="1" t="s">
        <v>602</v>
      </c>
      <c r="B588" t="s">
        <v>639</v>
      </c>
      <c r="C588" t="s">
        <v>65</v>
      </c>
      <c r="D588">
        <v>81</v>
      </c>
      <c r="E588" t="s">
        <v>11</v>
      </c>
      <c r="F588">
        <v>443</v>
      </c>
      <c r="G588">
        <v>32.78</v>
      </c>
      <c r="H588">
        <v>1</v>
      </c>
    </row>
    <row r="589" spans="1:8">
      <c r="A589" s="1" t="s">
        <v>602</v>
      </c>
      <c r="B589" t="s">
        <v>640</v>
      </c>
      <c r="C589" t="s">
        <v>13</v>
      </c>
      <c r="D589">
        <v>4</v>
      </c>
      <c r="E589" t="s">
        <v>11</v>
      </c>
      <c r="F589">
        <v>372</v>
      </c>
      <c r="G589">
        <v>26.73</v>
      </c>
      <c r="H589">
        <v>3</v>
      </c>
    </row>
    <row r="590" spans="1:8">
      <c r="A590" s="1" t="s">
        <v>602</v>
      </c>
      <c r="B590" t="s">
        <v>641</v>
      </c>
      <c r="C590" t="s">
        <v>29</v>
      </c>
      <c r="D590">
        <v>13</v>
      </c>
      <c r="E590" t="s">
        <v>11</v>
      </c>
      <c r="F590">
        <v>474</v>
      </c>
      <c r="G590">
        <v>63.67</v>
      </c>
      <c r="H590">
        <v>2</v>
      </c>
    </row>
    <row r="591" spans="1:8">
      <c r="A591" s="1" t="s">
        <v>602</v>
      </c>
      <c r="B591" t="s">
        <v>642</v>
      </c>
      <c r="C591" t="s">
        <v>65</v>
      </c>
      <c r="D591">
        <v>51</v>
      </c>
      <c r="E591" t="s">
        <v>11</v>
      </c>
      <c r="F591">
        <v>389</v>
      </c>
      <c r="G591">
        <v>50.45</v>
      </c>
      <c r="H591">
        <v>3</v>
      </c>
    </row>
    <row r="592" spans="1:8">
      <c r="A592" s="1" t="s">
        <v>602</v>
      </c>
      <c r="B592" t="s">
        <v>643</v>
      </c>
      <c r="C592" t="s">
        <v>52</v>
      </c>
      <c r="D592">
        <v>108</v>
      </c>
      <c r="E592" t="s">
        <v>32</v>
      </c>
      <c r="F592">
        <v>78</v>
      </c>
      <c r="G592">
        <v>90.05</v>
      </c>
      <c r="H592">
        <v>2</v>
      </c>
    </row>
    <row r="593" spans="1:8">
      <c r="A593" s="1" t="s">
        <v>602</v>
      </c>
      <c r="B593" t="s">
        <v>644</v>
      </c>
      <c r="C593" t="s">
        <v>111</v>
      </c>
      <c r="D593">
        <v>25</v>
      </c>
      <c r="E593" t="s">
        <v>14</v>
      </c>
      <c r="F593">
        <v>5</v>
      </c>
      <c r="G593">
        <v>27.93</v>
      </c>
      <c r="H593">
        <v>0</v>
      </c>
    </row>
    <row r="594" spans="1:8">
      <c r="A594" s="1" t="s">
        <v>602</v>
      </c>
      <c r="B594" t="s">
        <v>645</v>
      </c>
      <c r="C594" t="s">
        <v>45</v>
      </c>
      <c r="D594">
        <v>98</v>
      </c>
      <c r="E594" t="s">
        <v>21</v>
      </c>
      <c r="F594">
        <v>110</v>
      </c>
      <c r="G594">
        <v>96.23</v>
      </c>
      <c r="H594">
        <v>2</v>
      </c>
    </row>
    <row r="595" spans="1:8">
      <c r="A595" s="1" t="s">
        <v>602</v>
      </c>
      <c r="B595" t="s">
        <v>646</v>
      </c>
      <c r="C595" t="s">
        <v>36</v>
      </c>
      <c r="D595">
        <v>52</v>
      </c>
      <c r="E595" t="s">
        <v>14</v>
      </c>
      <c r="F595">
        <v>307</v>
      </c>
      <c r="G595">
        <v>81.38</v>
      </c>
      <c r="H595">
        <v>2</v>
      </c>
    </row>
    <row r="596" spans="1:8">
      <c r="A596" s="1" t="s">
        <v>602</v>
      </c>
      <c r="B596" t="s">
        <v>647</v>
      </c>
      <c r="C596" t="s">
        <v>24</v>
      </c>
      <c r="D596">
        <v>51</v>
      </c>
      <c r="E596" t="s">
        <v>21</v>
      </c>
      <c r="F596">
        <v>152</v>
      </c>
      <c r="G596">
        <v>34.630000000000003</v>
      </c>
      <c r="H596">
        <v>2</v>
      </c>
    </row>
    <row r="597" spans="1:8">
      <c r="A597" s="1" t="s">
        <v>602</v>
      </c>
      <c r="B597" t="s">
        <v>648</v>
      </c>
      <c r="C597" t="s">
        <v>63</v>
      </c>
      <c r="D597">
        <v>83</v>
      </c>
      <c r="E597" t="s">
        <v>11</v>
      </c>
      <c r="F597">
        <v>91</v>
      </c>
      <c r="G597">
        <v>73.73</v>
      </c>
      <c r="H597">
        <v>2</v>
      </c>
    </row>
    <row r="598" spans="1:8">
      <c r="A598" s="1" t="s">
        <v>602</v>
      </c>
      <c r="B598" t="s">
        <v>649</v>
      </c>
      <c r="C598" t="s">
        <v>63</v>
      </c>
      <c r="D598">
        <v>99</v>
      </c>
      <c r="E598" t="s">
        <v>21</v>
      </c>
      <c r="F598">
        <v>137</v>
      </c>
      <c r="G598">
        <v>23.05</v>
      </c>
      <c r="H598">
        <v>4</v>
      </c>
    </row>
    <row r="599" spans="1:8">
      <c r="A599" s="1" t="s">
        <v>602</v>
      </c>
      <c r="B599" t="s">
        <v>650</v>
      </c>
      <c r="C599" t="s">
        <v>95</v>
      </c>
      <c r="D599">
        <v>79</v>
      </c>
      <c r="E599" t="s">
        <v>14</v>
      </c>
      <c r="F599">
        <v>462</v>
      </c>
      <c r="G599">
        <v>18.28</v>
      </c>
      <c r="H599">
        <v>0</v>
      </c>
    </row>
    <row r="600" spans="1:8">
      <c r="A600" s="1" t="s">
        <v>602</v>
      </c>
      <c r="B600" t="s">
        <v>651</v>
      </c>
      <c r="C600" t="s">
        <v>29</v>
      </c>
      <c r="D600">
        <v>65</v>
      </c>
      <c r="E600" t="s">
        <v>32</v>
      </c>
      <c r="F600">
        <v>15</v>
      </c>
      <c r="G600">
        <v>44.47</v>
      </c>
      <c r="H600">
        <v>0</v>
      </c>
    </row>
    <row r="601" spans="1:8">
      <c r="A601" s="1" t="s">
        <v>602</v>
      </c>
      <c r="B601" t="s">
        <v>652</v>
      </c>
      <c r="C601" t="s">
        <v>16</v>
      </c>
      <c r="D601">
        <v>103</v>
      </c>
      <c r="E601" t="s">
        <v>14</v>
      </c>
      <c r="F601">
        <v>98</v>
      </c>
      <c r="G601">
        <v>38.69</v>
      </c>
      <c r="H601">
        <v>4</v>
      </c>
    </row>
    <row r="602" spans="1:8">
      <c r="A602" s="1" t="s">
        <v>653</v>
      </c>
      <c r="B602" t="s">
        <v>654</v>
      </c>
      <c r="C602" t="s">
        <v>18</v>
      </c>
      <c r="D602">
        <v>18</v>
      </c>
      <c r="E602" t="s">
        <v>11</v>
      </c>
      <c r="F602">
        <v>216</v>
      </c>
      <c r="G602">
        <v>33.74</v>
      </c>
      <c r="H602">
        <v>5</v>
      </c>
    </row>
    <row r="603" spans="1:8">
      <c r="A603" s="1" t="s">
        <v>653</v>
      </c>
      <c r="B603" t="s">
        <v>655</v>
      </c>
      <c r="C603" t="s">
        <v>45</v>
      </c>
      <c r="D603">
        <v>25</v>
      </c>
      <c r="E603" t="s">
        <v>14</v>
      </c>
      <c r="F603">
        <v>95</v>
      </c>
      <c r="G603">
        <v>15.93</v>
      </c>
      <c r="H603">
        <v>4</v>
      </c>
    </row>
    <row r="604" spans="1:8">
      <c r="A604" s="1" t="s">
        <v>653</v>
      </c>
      <c r="B604" t="s">
        <v>656</v>
      </c>
      <c r="C604" t="s">
        <v>38</v>
      </c>
      <c r="D604">
        <v>35</v>
      </c>
      <c r="E604" t="s">
        <v>32</v>
      </c>
      <c r="F604">
        <v>332</v>
      </c>
      <c r="G604">
        <v>11.15</v>
      </c>
      <c r="H604">
        <v>0</v>
      </c>
    </row>
    <row r="605" spans="1:8">
      <c r="A605" s="1" t="s">
        <v>653</v>
      </c>
      <c r="B605" t="s">
        <v>657</v>
      </c>
      <c r="C605" t="s">
        <v>76</v>
      </c>
      <c r="D605">
        <v>43</v>
      </c>
      <c r="E605" t="s">
        <v>32</v>
      </c>
      <c r="F605">
        <v>27</v>
      </c>
      <c r="G605">
        <v>31.48</v>
      </c>
      <c r="H605">
        <v>5</v>
      </c>
    </row>
    <row r="606" spans="1:8">
      <c r="A606" s="1" t="s">
        <v>653</v>
      </c>
      <c r="B606" t="s">
        <v>658</v>
      </c>
      <c r="C606" t="s">
        <v>71</v>
      </c>
      <c r="D606">
        <v>22</v>
      </c>
      <c r="E606" t="s">
        <v>11</v>
      </c>
      <c r="F606">
        <v>457</v>
      </c>
      <c r="G606">
        <v>13.21</v>
      </c>
      <c r="H606">
        <v>1</v>
      </c>
    </row>
    <row r="607" spans="1:8">
      <c r="A607" s="1" t="s">
        <v>653</v>
      </c>
      <c r="B607" t="s">
        <v>659</v>
      </c>
      <c r="C607" t="s">
        <v>43</v>
      </c>
      <c r="D607">
        <v>1</v>
      </c>
      <c r="E607" t="s">
        <v>14</v>
      </c>
      <c r="F607">
        <v>135</v>
      </c>
      <c r="G607">
        <v>89.16</v>
      </c>
      <c r="H607">
        <v>3</v>
      </c>
    </row>
    <row r="608" spans="1:8">
      <c r="A608" s="1" t="s">
        <v>653</v>
      </c>
      <c r="B608" t="s">
        <v>660</v>
      </c>
      <c r="C608" t="s">
        <v>63</v>
      </c>
      <c r="D608">
        <v>93</v>
      </c>
      <c r="E608" t="s">
        <v>32</v>
      </c>
      <c r="F608">
        <v>136</v>
      </c>
      <c r="G608">
        <v>19.09</v>
      </c>
      <c r="H608">
        <v>1</v>
      </c>
    </row>
    <row r="609" spans="1:8">
      <c r="A609" s="1" t="s">
        <v>653</v>
      </c>
      <c r="B609" t="s">
        <v>661</v>
      </c>
      <c r="C609" t="s">
        <v>57</v>
      </c>
      <c r="D609">
        <v>119</v>
      </c>
      <c r="E609" t="s">
        <v>21</v>
      </c>
      <c r="F609">
        <v>475</v>
      </c>
      <c r="G609">
        <v>25.98</v>
      </c>
      <c r="H609">
        <v>4</v>
      </c>
    </row>
    <row r="610" spans="1:8">
      <c r="A610" s="1" t="s">
        <v>653</v>
      </c>
      <c r="B610" t="s">
        <v>662</v>
      </c>
      <c r="C610" t="s">
        <v>20</v>
      </c>
      <c r="D610">
        <v>75</v>
      </c>
      <c r="E610" t="s">
        <v>21</v>
      </c>
      <c r="F610">
        <v>99</v>
      </c>
      <c r="G610">
        <v>16.93</v>
      </c>
      <c r="H610">
        <v>5</v>
      </c>
    </row>
    <row r="611" spans="1:8">
      <c r="A611" s="1" t="s">
        <v>653</v>
      </c>
      <c r="B611" t="s">
        <v>663</v>
      </c>
      <c r="C611" t="s">
        <v>57</v>
      </c>
      <c r="D611">
        <v>105</v>
      </c>
      <c r="E611" t="s">
        <v>21</v>
      </c>
      <c r="F611">
        <v>271</v>
      </c>
      <c r="G611">
        <v>45.27</v>
      </c>
      <c r="H611">
        <v>2</v>
      </c>
    </row>
    <row r="612" spans="1:8">
      <c r="A612" s="1" t="s">
        <v>653</v>
      </c>
      <c r="B612" t="s">
        <v>664</v>
      </c>
      <c r="C612" t="s">
        <v>111</v>
      </c>
      <c r="D612">
        <v>34</v>
      </c>
      <c r="E612" t="s">
        <v>32</v>
      </c>
      <c r="F612">
        <v>170</v>
      </c>
      <c r="G612">
        <v>91.6</v>
      </c>
      <c r="H612">
        <v>2</v>
      </c>
    </row>
    <row r="613" spans="1:8">
      <c r="A613" s="1" t="s">
        <v>653</v>
      </c>
      <c r="B613" t="s">
        <v>665</v>
      </c>
      <c r="C613" t="s">
        <v>26</v>
      </c>
      <c r="D613">
        <v>39</v>
      </c>
      <c r="E613" t="s">
        <v>32</v>
      </c>
      <c r="F613">
        <v>220</v>
      </c>
      <c r="G613">
        <v>52.91</v>
      </c>
      <c r="H613">
        <v>0</v>
      </c>
    </row>
    <row r="614" spans="1:8">
      <c r="A614" s="1" t="s">
        <v>653</v>
      </c>
      <c r="B614" t="s">
        <v>666</v>
      </c>
      <c r="C614" t="s">
        <v>95</v>
      </c>
      <c r="D614">
        <v>56</v>
      </c>
      <c r="E614" t="s">
        <v>32</v>
      </c>
      <c r="F614">
        <v>123</v>
      </c>
      <c r="G614">
        <v>29.76</v>
      </c>
      <c r="H614">
        <v>5</v>
      </c>
    </row>
    <row r="615" spans="1:8">
      <c r="A615" s="1" t="s">
        <v>653</v>
      </c>
      <c r="B615" t="s">
        <v>667</v>
      </c>
      <c r="C615" t="s">
        <v>10</v>
      </c>
      <c r="D615">
        <v>79</v>
      </c>
      <c r="E615" t="s">
        <v>21</v>
      </c>
      <c r="F615">
        <v>139</v>
      </c>
      <c r="G615">
        <v>16.25</v>
      </c>
      <c r="H615">
        <v>4</v>
      </c>
    </row>
    <row r="616" spans="1:8">
      <c r="A616" s="1" t="s">
        <v>653</v>
      </c>
      <c r="B616" t="s">
        <v>668</v>
      </c>
      <c r="C616" t="s">
        <v>20</v>
      </c>
      <c r="D616">
        <v>15</v>
      </c>
      <c r="E616" t="s">
        <v>11</v>
      </c>
      <c r="F616">
        <v>203</v>
      </c>
      <c r="G616">
        <v>55.29</v>
      </c>
      <c r="H616">
        <v>2</v>
      </c>
    </row>
    <row r="617" spans="1:8">
      <c r="A617" s="1" t="s">
        <v>653</v>
      </c>
      <c r="B617" t="s">
        <v>669</v>
      </c>
      <c r="C617" t="s">
        <v>65</v>
      </c>
      <c r="D617">
        <v>93</v>
      </c>
      <c r="E617" t="s">
        <v>11</v>
      </c>
      <c r="F617">
        <v>56</v>
      </c>
      <c r="G617">
        <v>96.31</v>
      </c>
      <c r="H617">
        <v>4</v>
      </c>
    </row>
    <row r="618" spans="1:8">
      <c r="A618" s="1" t="s">
        <v>653</v>
      </c>
      <c r="B618" t="s">
        <v>670</v>
      </c>
      <c r="C618" t="s">
        <v>24</v>
      </c>
      <c r="D618">
        <v>41</v>
      </c>
      <c r="E618" t="s">
        <v>21</v>
      </c>
      <c r="F618">
        <v>90</v>
      </c>
      <c r="G618">
        <v>97.26</v>
      </c>
      <c r="H618">
        <v>1</v>
      </c>
    </row>
    <row r="619" spans="1:8">
      <c r="A619" s="1" t="s">
        <v>653</v>
      </c>
      <c r="B619" t="s">
        <v>671</v>
      </c>
      <c r="C619" t="s">
        <v>107</v>
      </c>
      <c r="D619">
        <v>104</v>
      </c>
      <c r="E619" t="s">
        <v>21</v>
      </c>
      <c r="F619">
        <v>50</v>
      </c>
      <c r="G619" t="s">
        <v>672</v>
      </c>
      <c r="H619">
        <v>4</v>
      </c>
    </row>
    <row r="620" spans="1:8">
      <c r="A620" s="1" t="s">
        <v>653</v>
      </c>
      <c r="B620" t="s">
        <v>673</v>
      </c>
      <c r="C620" t="s">
        <v>76</v>
      </c>
      <c r="D620">
        <v>101</v>
      </c>
      <c r="E620" t="s">
        <v>11</v>
      </c>
      <c r="F620">
        <v>108</v>
      </c>
      <c r="G620">
        <v>76.05</v>
      </c>
      <c r="H620">
        <v>3</v>
      </c>
    </row>
    <row r="621" spans="1:8">
      <c r="A621" s="1" t="s">
        <v>653</v>
      </c>
      <c r="B621" t="s">
        <v>674</v>
      </c>
      <c r="C621" t="s">
        <v>29</v>
      </c>
      <c r="D621">
        <v>34</v>
      </c>
      <c r="E621" t="s">
        <v>21</v>
      </c>
      <c r="F621">
        <v>181</v>
      </c>
      <c r="G621">
        <v>35.92</v>
      </c>
      <c r="H621">
        <v>2</v>
      </c>
    </row>
    <row r="622" spans="1:8">
      <c r="A622" s="1" t="s">
        <v>653</v>
      </c>
      <c r="B622" t="s">
        <v>675</v>
      </c>
      <c r="C622" t="s">
        <v>65</v>
      </c>
      <c r="D622">
        <v>14</v>
      </c>
      <c r="E622" t="s">
        <v>11</v>
      </c>
      <c r="F622">
        <v>236</v>
      </c>
      <c r="G622">
        <v>54.43</v>
      </c>
      <c r="H622">
        <v>3</v>
      </c>
    </row>
    <row r="623" spans="1:8">
      <c r="A623" s="1" t="s">
        <v>653</v>
      </c>
      <c r="B623" t="s">
        <v>676</v>
      </c>
      <c r="C623" t="s">
        <v>18</v>
      </c>
      <c r="D623">
        <v>16</v>
      </c>
      <c r="E623" t="s">
        <v>32</v>
      </c>
      <c r="F623">
        <v>96</v>
      </c>
      <c r="G623">
        <v>86.78</v>
      </c>
      <c r="H623">
        <v>1</v>
      </c>
    </row>
    <row r="624" spans="1:8">
      <c r="A624" s="1" t="s">
        <v>653</v>
      </c>
      <c r="B624" t="s">
        <v>677</v>
      </c>
      <c r="C624" t="s">
        <v>29</v>
      </c>
      <c r="D624">
        <v>49</v>
      </c>
      <c r="E624" t="s">
        <v>21</v>
      </c>
      <c r="F624">
        <v>25</v>
      </c>
      <c r="G624">
        <v>22.77</v>
      </c>
      <c r="H624">
        <v>3</v>
      </c>
    </row>
    <row r="625" spans="1:8">
      <c r="A625" s="1" t="s">
        <v>653</v>
      </c>
      <c r="B625" t="s">
        <v>678</v>
      </c>
      <c r="C625" t="s">
        <v>36</v>
      </c>
      <c r="D625">
        <v>7</v>
      </c>
      <c r="E625" t="s">
        <v>14</v>
      </c>
      <c r="F625">
        <v>43</v>
      </c>
      <c r="G625">
        <v>41.29</v>
      </c>
      <c r="H625">
        <v>4</v>
      </c>
    </row>
    <row r="626" spans="1:8">
      <c r="A626" s="1" t="s">
        <v>653</v>
      </c>
      <c r="B626" t="s">
        <v>679</v>
      </c>
      <c r="C626" t="s">
        <v>43</v>
      </c>
      <c r="D626">
        <v>89</v>
      </c>
      <c r="E626" t="s">
        <v>11</v>
      </c>
      <c r="F626">
        <v>225</v>
      </c>
      <c r="G626">
        <v>38.36</v>
      </c>
      <c r="H626">
        <v>2</v>
      </c>
    </row>
    <row r="627" spans="1:8">
      <c r="A627" s="1" t="s">
        <v>653</v>
      </c>
      <c r="B627" t="s">
        <v>680</v>
      </c>
      <c r="C627" t="s">
        <v>111</v>
      </c>
      <c r="D627">
        <v>6</v>
      </c>
      <c r="E627" t="s">
        <v>21</v>
      </c>
      <c r="F627">
        <v>77</v>
      </c>
      <c r="G627">
        <v>18.48</v>
      </c>
      <c r="H627">
        <v>2</v>
      </c>
    </row>
    <row r="628" spans="1:8">
      <c r="A628" s="1" t="s">
        <v>653</v>
      </c>
      <c r="B628" t="s">
        <v>681</v>
      </c>
      <c r="C628" t="s">
        <v>57</v>
      </c>
      <c r="D628">
        <v>42</v>
      </c>
      <c r="E628" t="s">
        <v>14</v>
      </c>
      <c r="F628">
        <v>448</v>
      </c>
      <c r="G628">
        <v>49.02</v>
      </c>
      <c r="H628">
        <v>0</v>
      </c>
    </row>
    <row r="629" spans="1:8">
      <c r="A629" s="1" t="s">
        <v>653</v>
      </c>
      <c r="B629" t="s">
        <v>682</v>
      </c>
      <c r="C629" t="s">
        <v>61</v>
      </c>
      <c r="D629">
        <v>116</v>
      </c>
      <c r="E629" t="s">
        <v>32</v>
      </c>
      <c r="F629">
        <v>14</v>
      </c>
      <c r="G629">
        <v>30.38</v>
      </c>
      <c r="H629">
        <v>1</v>
      </c>
    </row>
    <row r="630" spans="1:8">
      <c r="A630" s="1" t="s">
        <v>653</v>
      </c>
      <c r="B630" t="s">
        <v>683</v>
      </c>
      <c r="C630" t="s">
        <v>79</v>
      </c>
      <c r="D630">
        <v>114</v>
      </c>
      <c r="E630" t="s">
        <v>11</v>
      </c>
      <c r="F630">
        <v>220</v>
      </c>
      <c r="G630">
        <v>63.67</v>
      </c>
      <c r="H630">
        <v>5</v>
      </c>
    </row>
    <row r="631" spans="1:8">
      <c r="A631" s="1" t="s">
        <v>653</v>
      </c>
      <c r="B631" t="s">
        <v>684</v>
      </c>
      <c r="C631" t="s">
        <v>40</v>
      </c>
      <c r="D631">
        <v>111</v>
      </c>
      <c r="E631" t="s">
        <v>21</v>
      </c>
      <c r="F631">
        <v>54</v>
      </c>
      <c r="G631">
        <v>71.3</v>
      </c>
      <c r="H631">
        <v>0</v>
      </c>
    </row>
    <row r="632" spans="1:8">
      <c r="A632" s="1" t="s">
        <v>653</v>
      </c>
      <c r="B632" t="s">
        <v>685</v>
      </c>
      <c r="C632" t="s">
        <v>26</v>
      </c>
      <c r="D632">
        <v>69</v>
      </c>
      <c r="E632" t="s">
        <v>14</v>
      </c>
      <c r="F632">
        <v>180</v>
      </c>
      <c r="G632">
        <v>76.05</v>
      </c>
      <c r="H632">
        <v>2</v>
      </c>
    </row>
    <row r="633" spans="1:8">
      <c r="A633" s="1" t="s">
        <v>653</v>
      </c>
      <c r="B633" t="s">
        <v>686</v>
      </c>
      <c r="C633" t="s">
        <v>63</v>
      </c>
      <c r="D633">
        <v>10</v>
      </c>
      <c r="E633" t="s">
        <v>21</v>
      </c>
      <c r="F633">
        <v>260</v>
      </c>
      <c r="G633">
        <v>37.479999999999997</v>
      </c>
      <c r="H633">
        <v>2</v>
      </c>
    </row>
    <row r="634" spans="1:8">
      <c r="A634" s="1" t="s">
        <v>653</v>
      </c>
      <c r="B634" t="s">
        <v>687</v>
      </c>
      <c r="C634" t="s">
        <v>10</v>
      </c>
      <c r="D634">
        <v>59</v>
      </c>
      <c r="E634" t="s">
        <v>14</v>
      </c>
      <c r="F634">
        <v>150</v>
      </c>
      <c r="G634">
        <v>71.13</v>
      </c>
      <c r="H634">
        <v>0</v>
      </c>
    </row>
    <row r="635" spans="1:8">
      <c r="A635" s="1" t="s">
        <v>653</v>
      </c>
      <c r="B635" t="s">
        <v>688</v>
      </c>
      <c r="C635" t="s">
        <v>45</v>
      </c>
      <c r="D635">
        <v>111</v>
      </c>
      <c r="E635" t="s">
        <v>32</v>
      </c>
      <c r="F635">
        <v>304</v>
      </c>
      <c r="G635">
        <v>62.48</v>
      </c>
      <c r="H635">
        <v>5</v>
      </c>
    </row>
    <row r="636" spans="1:8">
      <c r="A636" s="1" t="s">
        <v>653</v>
      </c>
      <c r="B636" t="s">
        <v>689</v>
      </c>
      <c r="C636" t="s">
        <v>45</v>
      </c>
      <c r="D636">
        <v>102</v>
      </c>
      <c r="E636" t="s">
        <v>14</v>
      </c>
      <c r="F636">
        <v>189</v>
      </c>
      <c r="G636">
        <v>26.86</v>
      </c>
      <c r="H636">
        <v>5</v>
      </c>
    </row>
    <row r="637" spans="1:8">
      <c r="A637" s="1" t="s">
        <v>653</v>
      </c>
      <c r="B637" t="s">
        <v>690</v>
      </c>
      <c r="C637" t="s">
        <v>29</v>
      </c>
      <c r="D637">
        <v>18</v>
      </c>
      <c r="E637" t="s">
        <v>11</v>
      </c>
      <c r="F637">
        <v>75</v>
      </c>
      <c r="G637">
        <v>57.66</v>
      </c>
      <c r="H637">
        <v>1</v>
      </c>
    </row>
    <row r="638" spans="1:8">
      <c r="A638" s="1" t="s">
        <v>653</v>
      </c>
      <c r="B638" t="s">
        <v>691</v>
      </c>
      <c r="C638" t="s">
        <v>18</v>
      </c>
      <c r="D638">
        <v>120</v>
      </c>
      <c r="E638" t="s">
        <v>11</v>
      </c>
      <c r="F638">
        <v>60</v>
      </c>
      <c r="G638">
        <v>34.14</v>
      </c>
      <c r="H638">
        <v>3</v>
      </c>
    </row>
    <row r="639" spans="1:8">
      <c r="A639" s="1" t="s">
        <v>653</v>
      </c>
      <c r="B639" t="s">
        <v>692</v>
      </c>
      <c r="C639" t="s">
        <v>29</v>
      </c>
      <c r="D639">
        <v>29</v>
      </c>
      <c r="E639" t="s">
        <v>32</v>
      </c>
      <c r="F639">
        <v>8</v>
      </c>
      <c r="G639">
        <v>14.78</v>
      </c>
      <c r="H639">
        <v>2</v>
      </c>
    </row>
    <row r="640" spans="1:8">
      <c r="A640" s="1" t="s">
        <v>653</v>
      </c>
      <c r="B640" t="s">
        <v>693</v>
      </c>
      <c r="C640" t="s">
        <v>107</v>
      </c>
      <c r="D640">
        <v>12</v>
      </c>
      <c r="E640" t="s">
        <v>21</v>
      </c>
      <c r="F640">
        <v>235</v>
      </c>
      <c r="G640">
        <v>33.96</v>
      </c>
      <c r="H640">
        <v>4</v>
      </c>
    </row>
    <row r="641" spans="1:8">
      <c r="A641" s="1" t="s">
        <v>653</v>
      </c>
      <c r="B641" t="s">
        <v>694</v>
      </c>
      <c r="C641" t="s">
        <v>76</v>
      </c>
      <c r="D641">
        <v>48</v>
      </c>
      <c r="E641" t="s">
        <v>32</v>
      </c>
      <c r="F641">
        <v>338</v>
      </c>
      <c r="G641">
        <v>74.42</v>
      </c>
      <c r="H641">
        <v>0</v>
      </c>
    </row>
    <row r="642" spans="1:8">
      <c r="A642" s="1" t="s">
        <v>653</v>
      </c>
      <c r="B642" t="s">
        <v>695</v>
      </c>
      <c r="C642" t="s">
        <v>43</v>
      </c>
      <c r="D642">
        <v>22</v>
      </c>
      <c r="E642" t="s">
        <v>11</v>
      </c>
      <c r="F642">
        <v>374</v>
      </c>
      <c r="G642">
        <v>40.06</v>
      </c>
      <c r="H642">
        <v>5</v>
      </c>
    </row>
    <row r="643" spans="1:8">
      <c r="A643" s="1" t="s">
        <v>653</v>
      </c>
      <c r="B643" t="s">
        <v>696</v>
      </c>
      <c r="C643" t="s">
        <v>107</v>
      </c>
      <c r="D643">
        <v>7</v>
      </c>
      <c r="E643" t="s">
        <v>14</v>
      </c>
      <c r="F643">
        <v>257</v>
      </c>
      <c r="G643">
        <v>73.040000000000006</v>
      </c>
      <c r="H643">
        <v>3</v>
      </c>
    </row>
    <row r="644" spans="1:8">
      <c r="A644" s="1" t="s">
        <v>653</v>
      </c>
      <c r="B644" t="s">
        <v>697</v>
      </c>
      <c r="C644" t="s">
        <v>45</v>
      </c>
      <c r="D644">
        <v>104</v>
      </c>
      <c r="E644" t="s">
        <v>14</v>
      </c>
      <c r="F644">
        <v>243</v>
      </c>
      <c r="G644">
        <v>65.819999999999993</v>
      </c>
      <c r="H644">
        <v>0</v>
      </c>
    </row>
    <row r="645" spans="1:8">
      <c r="A645" s="1" t="s">
        <v>653</v>
      </c>
      <c r="B645" t="s">
        <v>698</v>
      </c>
      <c r="C645" t="s">
        <v>95</v>
      </c>
      <c r="D645">
        <v>90</v>
      </c>
      <c r="E645" t="s">
        <v>11</v>
      </c>
      <c r="F645">
        <v>195</v>
      </c>
      <c r="G645">
        <v>52.71</v>
      </c>
      <c r="H645">
        <v>2</v>
      </c>
    </row>
    <row r="646" spans="1:8">
      <c r="A646" s="1" t="s">
        <v>653</v>
      </c>
      <c r="B646" t="s">
        <v>699</v>
      </c>
      <c r="C646" t="s">
        <v>52</v>
      </c>
      <c r="D646">
        <v>112</v>
      </c>
      <c r="E646" t="s">
        <v>21</v>
      </c>
      <c r="F646">
        <v>281</v>
      </c>
      <c r="G646">
        <v>80.72</v>
      </c>
      <c r="H646">
        <v>2</v>
      </c>
    </row>
    <row r="647" spans="1:8">
      <c r="A647" s="1" t="s">
        <v>653</v>
      </c>
      <c r="B647" t="s">
        <v>700</v>
      </c>
      <c r="C647" t="s">
        <v>40</v>
      </c>
      <c r="D647">
        <v>89</v>
      </c>
      <c r="E647" t="s">
        <v>14</v>
      </c>
      <c r="F647">
        <v>474</v>
      </c>
      <c r="G647">
        <v>28.51</v>
      </c>
      <c r="H647">
        <v>5</v>
      </c>
    </row>
    <row r="648" spans="1:8">
      <c r="A648" s="1" t="s">
        <v>653</v>
      </c>
      <c r="B648" t="s">
        <v>701</v>
      </c>
      <c r="C648" t="s">
        <v>65</v>
      </c>
      <c r="D648">
        <v>116</v>
      </c>
      <c r="E648" t="s">
        <v>21</v>
      </c>
      <c r="F648">
        <v>231</v>
      </c>
      <c r="G648">
        <v>19.12</v>
      </c>
      <c r="H648">
        <v>5</v>
      </c>
    </row>
    <row r="649" spans="1:8">
      <c r="A649" s="1" t="s">
        <v>653</v>
      </c>
      <c r="B649" t="s">
        <v>702</v>
      </c>
      <c r="C649" t="s">
        <v>92</v>
      </c>
      <c r="D649">
        <v>89</v>
      </c>
      <c r="E649" t="s">
        <v>11</v>
      </c>
      <c r="F649">
        <v>381</v>
      </c>
      <c r="G649">
        <v>68.17</v>
      </c>
      <c r="H649">
        <v>0</v>
      </c>
    </row>
    <row r="650" spans="1:8">
      <c r="A650" s="1" t="s">
        <v>653</v>
      </c>
      <c r="B650" t="s">
        <v>703</v>
      </c>
      <c r="C650" t="s">
        <v>65</v>
      </c>
      <c r="D650">
        <v>17</v>
      </c>
      <c r="E650" t="s">
        <v>11</v>
      </c>
      <c r="F650">
        <v>206</v>
      </c>
      <c r="G650">
        <v>63.46</v>
      </c>
      <c r="H650">
        <v>3</v>
      </c>
    </row>
    <row r="651" spans="1:8">
      <c r="A651" s="1" t="s">
        <v>653</v>
      </c>
      <c r="B651" t="s">
        <v>704</v>
      </c>
      <c r="C651" t="s">
        <v>65</v>
      </c>
      <c r="D651">
        <v>19</v>
      </c>
      <c r="E651" t="s">
        <v>14</v>
      </c>
      <c r="F651">
        <v>141</v>
      </c>
      <c r="G651">
        <v>53.95</v>
      </c>
      <c r="H651">
        <v>1</v>
      </c>
    </row>
    <row r="652" spans="1:8">
      <c r="A652" s="1" t="s">
        <v>705</v>
      </c>
      <c r="B652" t="s">
        <v>706</v>
      </c>
      <c r="C652" t="s">
        <v>16</v>
      </c>
      <c r="D652">
        <v>2</v>
      </c>
      <c r="E652" t="s">
        <v>32</v>
      </c>
      <c r="F652">
        <v>201</v>
      </c>
      <c r="G652">
        <v>71.900000000000006</v>
      </c>
      <c r="H652">
        <v>2</v>
      </c>
    </row>
    <row r="653" spans="1:8">
      <c r="A653" s="1" t="s">
        <v>705</v>
      </c>
      <c r="B653" t="s">
        <v>707</v>
      </c>
      <c r="C653" t="s">
        <v>38</v>
      </c>
      <c r="D653">
        <v>33</v>
      </c>
      <c r="E653" t="s">
        <v>14</v>
      </c>
      <c r="F653">
        <v>54</v>
      </c>
      <c r="G653">
        <v>71.319999999999993</v>
      </c>
      <c r="H653">
        <v>4</v>
      </c>
    </row>
    <row r="654" spans="1:8">
      <c r="A654" s="1" t="s">
        <v>705</v>
      </c>
      <c r="B654" t="s">
        <v>708</v>
      </c>
      <c r="C654" t="s">
        <v>95</v>
      </c>
      <c r="D654">
        <v>6</v>
      </c>
      <c r="E654" t="s">
        <v>11</v>
      </c>
      <c r="F654">
        <v>206</v>
      </c>
      <c r="G654">
        <v>10</v>
      </c>
      <c r="H654">
        <v>5</v>
      </c>
    </row>
    <row r="655" spans="1:8">
      <c r="A655" s="1" t="s">
        <v>705</v>
      </c>
      <c r="B655" t="s">
        <v>709</v>
      </c>
      <c r="C655" t="s">
        <v>16</v>
      </c>
      <c r="D655">
        <v>19</v>
      </c>
      <c r="E655" t="s">
        <v>14</v>
      </c>
      <c r="F655">
        <v>345</v>
      </c>
      <c r="G655">
        <v>54.37</v>
      </c>
      <c r="H655">
        <v>2</v>
      </c>
    </row>
    <row r="656" spans="1:8">
      <c r="A656" s="1" t="s">
        <v>705</v>
      </c>
      <c r="B656" t="s">
        <v>710</v>
      </c>
      <c r="C656" t="s">
        <v>79</v>
      </c>
      <c r="D656">
        <v>56</v>
      </c>
      <c r="E656" t="s">
        <v>14</v>
      </c>
      <c r="F656">
        <v>27</v>
      </c>
      <c r="G656">
        <v>46.41</v>
      </c>
      <c r="H656">
        <v>3</v>
      </c>
    </row>
    <row r="657" spans="1:8">
      <c r="A657" s="1" t="s">
        <v>705</v>
      </c>
      <c r="B657" t="s">
        <v>711</v>
      </c>
      <c r="C657" t="s">
        <v>31</v>
      </c>
      <c r="D657">
        <v>39</v>
      </c>
      <c r="E657" t="s">
        <v>11</v>
      </c>
      <c r="F657">
        <v>289</v>
      </c>
      <c r="G657">
        <v>86.7</v>
      </c>
      <c r="H657">
        <v>3</v>
      </c>
    </row>
    <row r="658" spans="1:8">
      <c r="A658" s="1" t="s">
        <v>705</v>
      </c>
      <c r="B658" t="s">
        <v>712</v>
      </c>
      <c r="C658" t="s">
        <v>16</v>
      </c>
      <c r="D658">
        <v>56</v>
      </c>
      <c r="E658" t="s">
        <v>21</v>
      </c>
      <c r="F658">
        <v>367</v>
      </c>
      <c r="G658">
        <v>72.790000000000006</v>
      </c>
      <c r="H658">
        <v>1</v>
      </c>
    </row>
    <row r="659" spans="1:8">
      <c r="A659" s="1" t="s">
        <v>705</v>
      </c>
      <c r="B659" t="s">
        <v>713</v>
      </c>
      <c r="C659" t="s">
        <v>107</v>
      </c>
      <c r="D659">
        <v>63</v>
      </c>
      <c r="E659" t="s">
        <v>11</v>
      </c>
      <c r="F659">
        <v>449</v>
      </c>
      <c r="G659">
        <v>37.08</v>
      </c>
      <c r="H659">
        <v>0</v>
      </c>
    </row>
    <row r="660" spans="1:8">
      <c r="A660" s="1" t="s">
        <v>705</v>
      </c>
      <c r="B660" t="s">
        <v>714</v>
      </c>
      <c r="C660" t="s">
        <v>57</v>
      </c>
      <c r="D660">
        <v>37</v>
      </c>
      <c r="E660" t="s">
        <v>11</v>
      </c>
      <c r="F660">
        <v>150</v>
      </c>
      <c r="G660">
        <v>37.979999999999997</v>
      </c>
      <c r="H660">
        <v>4</v>
      </c>
    </row>
    <row r="661" spans="1:8">
      <c r="A661" s="1" t="s">
        <v>705</v>
      </c>
      <c r="B661" t="s">
        <v>715</v>
      </c>
      <c r="C661" t="s">
        <v>16</v>
      </c>
      <c r="D661">
        <v>76</v>
      </c>
      <c r="E661" t="s">
        <v>32</v>
      </c>
      <c r="F661">
        <v>413</v>
      </c>
      <c r="G661">
        <v>28.39</v>
      </c>
      <c r="H661">
        <v>3</v>
      </c>
    </row>
    <row r="662" spans="1:8">
      <c r="A662" s="1" t="s">
        <v>705</v>
      </c>
      <c r="B662" t="s">
        <v>716</v>
      </c>
      <c r="C662" t="s">
        <v>18</v>
      </c>
      <c r="D662">
        <v>113</v>
      </c>
      <c r="E662" t="s">
        <v>32</v>
      </c>
      <c r="F662">
        <v>49</v>
      </c>
      <c r="G662">
        <v>48.91</v>
      </c>
      <c r="H662">
        <v>5</v>
      </c>
    </row>
    <row r="663" spans="1:8">
      <c r="A663" s="1" t="s">
        <v>705</v>
      </c>
      <c r="B663" t="s">
        <v>717</v>
      </c>
      <c r="C663" t="s">
        <v>10</v>
      </c>
      <c r="D663">
        <v>45</v>
      </c>
      <c r="E663" t="s">
        <v>11</v>
      </c>
      <c r="F663">
        <v>304</v>
      </c>
      <c r="G663">
        <v>65.540000000000006</v>
      </c>
      <c r="H663">
        <v>2</v>
      </c>
    </row>
    <row r="664" spans="1:8">
      <c r="A664" s="1" t="s">
        <v>705</v>
      </c>
      <c r="B664" t="s">
        <v>718</v>
      </c>
      <c r="C664" t="s">
        <v>63</v>
      </c>
      <c r="D664">
        <v>59</v>
      </c>
      <c r="E664" t="s">
        <v>21</v>
      </c>
      <c r="F664">
        <v>64</v>
      </c>
      <c r="G664">
        <v>20.32</v>
      </c>
      <c r="H664">
        <v>0</v>
      </c>
    </row>
    <row r="665" spans="1:8">
      <c r="A665" s="1" t="s">
        <v>705</v>
      </c>
      <c r="B665" t="s">
        <v>719</v>
      </c>
      <c r="C665" t="s">
        <v>29</v>
      </c>
      <c r="D665">
        <v>20</v>
      </c>
      <c r="E665" t="s">
        <v>11</v>
      </c>
      <c r="F665">
        <v>31</v>
      </c>
      <c r="G665">
        <v>52.85</v>
      </c>
      <c r="H665">
        <v>2</v>
      </c>
    </row>
    <row r="666" spans="1:8">
      <c r="A666" s="1" t="s">
        <v>705</v>
      </c>
      <c r="B666" t="s">
        <v>720</v>
      </c>
      <c r="C666" t="s">
        <v>61</v>
      </c>
      <c r="D666">
        <v>28</v>
      </c>
      <c r="E666" t="s">
        <v>32</v>
      </c>
      <c r="F666">
        <v>343</v>
      </c>
      <c r="G666">
        <v>64.34</v>
      </c>
      <c r="H666">
        <v>5</v>
      </c>
    </row>
    <row r="667" spans="1:8">
      <c r="A667" s="1" t="s">
        <v>705</v>
      </c>
      <c r="B667" t="s">
        <v>721</v>
      </c>
      <c r="C667" t="s">
        <v>20</v>
      </c>
      <c r="D667">
        <v>16</v>
      </c>
      <c r="E667" t="s">
        <v>21</v>
      </c>
      <c r="F667">
        <v>390</v>
      </c>
      <c r="G667">
        <v>52.64</v>
      </c>
      <c r="H667">
        <v>0</v>
      </c>
    </row>
    <row r="668" spans="1:8">
      <c r="A668" s="1" t="s">
        <v>705</v>
      </c>
      <c r="B668" t="s">
        <v>722</v>
      </c>
      <c r="C668" t="s">
        <v>20</v>
      </c>
      <c r="D668">
        <v>72</v>
      </c>
      <c r="E668" t="s">
        <v>11</v>
      </c>
      <c r="F668">
        <v>442</v>
      </c>
      <c r="G668">
        <v>59.2</v>
      </c>
      <c r="H668">
        <v>1</v>
      </c>
    </row>
    <row r="669" spans="1:8">
      <c r="A669" s="1" t="s">
        <v>705</v>
      </c>
      <c r="B669" t="s">
        <v>723</v>
      </c>
      <c r="C669" t="s">
        <v>18</v>
      </c>
      <c r="D669">
        <v>12</v>
      </c>
      <c r="E669" t="s">
        <v>14</v>
      </c>
      <c r="F669">
        <v>62</v>
      </c>
      <c r="G669">
        <v>36.1</v>
      </c>
      <c r="H669">
        <v>5</v>
      </c>
    </row>
    <row r="670" spans="1:8">
      <c r="A670" s="1" t="s">
        <v>705</v>
      </c>
      <c r="B670" t="s">
        <v>724</v>
      </c>
      <c r="C670" t="s">
        <v>38</v>
      </c>
      <c r="D670">
        <v>67</v>
      </c>
      <c r="E670" t="s">
        <v>32</v>
      </c>
      <c r="F670">
        <v>262</v>
      </c>
      <c r="G670">
        <v>28.46</v>
      </c>
      <c r="H670">
        <v>3</v>
      </c>
    </row>
    <row r="671" spans="1:8">
      <c r="A671" s="1" t="s">
        <v>705</v>
      </c>
      <c r="B671" t="s">
        <v>725</v>
      </c>
      <c r="C671" t="s">
        <v>71</v>
      </c>
      <c r="D671">
        <v>94</v>
      </c>
      <c r="E671" t="s">
        <v>21</v>
      </c>
      <c r="F671">
        <v>261</v>
      </c>
      <c r="G671">
        <v>70.09</v>
      </c>
      <c r="H671">
        <v>3</v>
      </c>
    </row>
    <row r="672" spans="1:8">
      <c r="A672" s="1" t="s">
        <v>705</v>
      </c>
      <c r="B672" t="s">
        <v>726</v>
      </c>
      <c r="C672" t="s">
        <v>43</v>
      </c>
      <c r="D672">
        <v>35</v>
      </c>
      <c r="E672" t="s">
        <v>11</v>
      </c>
      <c r="F672">
        <v>299</v>
      </c>
      <c r="G672">
        <v>96.32</v>
      </c>
      <c r="H672">
        <v>4</v>
      </c>
    </row>
    <row r="673" spans="1:8">
      <c r="A673" s="1" t="s">
        <v>705</v>
      </c>
      <c r="B673" t="s">
        <v>727</v>
      </c>
      <c r="C673" t="s">
        <v>52</v>
      </c>
      <c r="D673">
        <v>37</v>
      </c>
      <c r="E673" t="s">
        <v>32</v>
      </c>
      <c r="F673">
        <v>420</v>
      </c>
      <c r="G673">
        <v>67.260000000000005</v>
      </c>
      <c r="H673">
        <v>4</v>
      </c>
    </row>
    <row r="674" spans="1:8">
      <c r="A674" s="1" t="s">
        <v>705</v>
      </c>
      <c r="B674" t="s">
        <v>728</v>
      </c>
      <c r="C674" t="s">
        <v>40</v>
      </c>
      <c r="D674">
        <v>86</v>
      </c>
      <c r="E674" t="s">
        <v>11</v>
      </c>
      <c r="F674">
        <v>353</v>
      </c>
      <c r="G674">
        <v>25.37</v>
      </c>
      <c r="H674">
        <v>1</v>
      </c>
    </row>
    <row r="675" spans="1:8">
      <c r="A675" s="1" t="s">
        <v>705</v>
      </c>
      <c r="B675" t="s">
        <v>729</v>
      </c>
      <c r="C675" t="s">
        <v>95</v>
      </c>
      <c r="D675">
        <v>110</v>
      </c>
      <c r="E675" t="s">
        <v>32</v>
      </c>
      <c r="F675">
        <v>289</v>
      </c>
      <c r="G675">
        <v>83.67</v>
      </c>
      <c r="H675">
        <v>4</v>
      </c>
    </row>
    <row r="676" spans="1:8">
      <c r="A676" s="1" t="s">
        <v>705</v>
      </c>
      <c r="B676" t="s">
        <v>730</v>
      </c>
      <c r="C676" t="s">
        <v>92</v>
      </c>
      <c r="D676">
        <v>1</v>
      </c>
      <c r="E676" t="s">
        <v>11</v>
      </c>
      <c r="F676">
        <v>424</v>
      </c>
      <c r="G676">
        <v>59.2</v>
      </c>
      <c r="H676">
        <v>2</v>
      </c>
    </row>
    <row r="677" spans="1:8">
      <c r="A677" s="1" t="s">
        <v>705</v>
      </c>
      <c r="B677" t="s">
        <v>731</v>
      </c>
      <c r="C677" t="s">
        <v>13</v>
      </c>
      <c r="D677">
        <v>37</v>
      </c>
      <c r="E677" t="s">
        <v>21</v>
      </c>
      <c r="F677">
        <v>3</v>
      </c>
      <c r="G677">
        <v>20.89</v>
      </c>
      <c r="H677">
        <v>5</v>
      </c>
    </row>
    <row r="678" spans="1:8">
      <c r="A678" s="1" t="s">
        <v>705</v>
      </c>
      <c r="B678" t="s">
        <v>732</v>
      </c>
      <c r="C678" t="s">
        <v>36</v>
      </c>
      <c r="D678">
        <v>20</v>
      </c>
      <c r="E678" t="s">
        <v>14</v>
      </c>
      <c r="F678">
        <v>297</v>
      </c>
      <c r="G678">
        <v>14.77</v>
      </c>
      <c r="H678">
        <v>0</v>
      </c>
    </row>
    <row r="679" spans="1:8">
      <c r="A679" s="1" t="s">
        <v>705</v>
      </c>
      <c r="B679" t="s">
        <v>733</v>
      </c>
      <c r="C679" t="s">
        <v>92</v>
      </c>
      <c r="D679">
        <v>40</v>
      </c>
      <c r="E679" t="s">
        <v>32</v>
      </c>
      <c r="F679">
        <v>235</v>
      </c>
      <c r="G679">
        <v>15.01</v>
      </c>
      <c r="H679">
        <v>3</v>
      </c>
    </row>
    <row r="680" spans="1:8">
      <c r="A680" s="1" t="s">
        <v>705</v>
      </c>
      <c r="B680" t="s">
        <v>734</v>
      </c>
      <c r="C680" t="s">
        <v>65</v>
      </c>
      <c r="D680">
        <v>92</v>
      </c>
      <c r="E680" t="s">
        <v>14</v>
      </c>
      <c r="F680">
        <v>379</v>
      </c>
      <c r="G680">
        <v>70.08</v>
      </c>
      <c r="H680">
        <v>5</v>
      </c>
    </row>
    <row r="681" spans="1:8">
      <c r="A681" s="1" t="s">
        <v>705</v>
      </c>
      <c r="B681" t="s">
        <v>735</v>
      </c>
      <c r="C681" t="s">
        <v>40</v>
      </c>
      <c r="D681">
        <v>99</v>
      </c>
      <c r="E681" t="s">
        <v>11</v>
      </c>
      <c r="F681">
        <v>169</v>
      </c>
      <c r="G681">
        <v>76.75</v>
      </c>
      <c r="H681">
        <v>5</v>
      </c>
    </row>
    <row r="682" spans="1:8">
      <c r="A682" s="1" t="s">
        <v>705</v>
      </c>
      <c r="B682" t="s">
        <v>736</v>
      </c>
      <c r="C682" t="s">
        <v>20</v>
      </c>
      <c r="D682">
        <v>80</v>
      </c>
      <c r="E682" t="s">
        <v>14</v>
      </c>
      <c r="F682">
        <v>65</v>
      </c>
      <c r="G682">
        <v>76.64</v>
      </c>
      <c r="H682">
        <v>3</v>
      </c>
    </row>
    <row r="683" spans="1:8">
      <c r="A683" s="1" t="s">
        <v>705</v>
      </c>
      <c r="B683" t="s">
        <v>737</v>
      </c>
      <c r="C683" t="s">
        <v>52</v>
      </c>
      <c r="D683">
        <v>38</v>
      </c>
      <c r="E683" t="s">
        <v>21</v>
      </c>
      <c r="F683">
        <v>191</v>
      </c>
      <c r="G683">
        <v>22.97</v>
      </c>
      <c r="H683">
        <v>3</v>
      </c>
    </row>
    <row r="684" spans="1:8">
      <c r="A684" s="1" t="s">
        <v>705</v>
      </c>
      <c r="B684" t="s">
        <v>738</v>
      </c>
      <c r="C684" t="s">
        <v>107</v>
      </c>
      <c r="D684">
        <v>63</v>
      </c>
      <c r="E684" t="s">
        <v>21</v>
      </c>
      <c r="F684">
        <v>265</v>
      </c>
      <c r="G684">
        <v>49.94</v>
      </c>
      <c r="H684">
        <v>1</v>
      </c>
    </row>
    <row r="685" spans="1:8">
      <c r="A685" s="1" t="s">
        <v>705</v>
      </c>
      <c r="B685" t="s">
        <v>739</v>
      </c>
      <c r="C685" t="s">
        <v>79</v>
      </c>
      <c r="D685">
        <v>106</v>
      </c>
      <c r="E685" t="s">
        <v>21</v>
      </c>
      <c r="F685">
        <v>236</v>
      </c>
      <c r="G685">
        <v>18.72</v>
      </c>
      <c r="H685">
        <v>4</v>
      </c>
    </row>
    <row r="686" spans="1:8">
      <c r="A686" s="1" t="s">
        <v>705</v>
      </c>
      <c r="B686" t="s">
        <v>740</v>
      </c>
      <c r="C686" t="s">
        <v>52</v>
      </c>
      <c r="D686">
        <v>1</v>
      </c>
      <c r="E686" t="s">
        <v>32</v>
      </c>
      <c r="F686">
        <v>429</v>
      </c>
      <c r="G686">
        <v>20.96</v>
      </c>
      <c r="H686">
        <v>5</v>
      </c>
    </row>
    <row r="687" spans="1:8">
      <c r="A687" s="1" t="s">
        <v>705</v>
      </c>
      <c r="B687" t="s">
        <v>741</v>
      </c>
      <c r="C687" t="s">
        <v>36</v>
      </c>
      <c r="D687">
        <v>86</v>
      </c>
      <c r="E687" t="s">
        <v>32</v>
      </c>
      <c r="F687">
        <v>278</v>
      </c>
      <c r="G687">
        <v>30.12</v>
      </c>
      <c r="H687">
        <v>0</v>
      </c>
    </row>
    <row r="688" spans="1:8">
      <c r="A688" s="1" t="s">
        <v>705</v>
      </c>
      <c r="B688" t="s">
        <v>742</v>
      </c>
      <c r="C688" t="s">
        <v>31</v>
      </c>
      <c r="D688">
        <v>85</v>
      </c>
      <c r="E688" t="s">
        <v>11</v>
      </c>
      <c r="F688">
        <v>28</v>
      </c>
      <c r="G688">
        <v>83.82</v>
      </c>
      <c r="H688">
        <v>0</v>
      </c>
    </row>
    <row r="689" spans="1:8">
      <c r="A689" s="1" t="s">
        <v>705</v>
      </c>
      <c r="B689" t="s">
        <v>743</v>
      </c>
      <c r="C689" t="s">
        <v>76</v>
      </c>
      <c r="D689">
        <v>18</v>
      </c>
      <c r="E689" t="s">
        <v>21</v>
      </c>
      <c r="F689">
        <v>170</v>
      </c>
      <c r="G689">
        <v>87.34</v>
      </c>
      <c r="H689">
        <v>1</v>
      </c>
    </row>
    <row r="690" spans="1:8">
      <c r="A690" s="1" t="s">
        <v>705</v>
      </c>
      <c r="B690" t="s">
        <v>744</v>
      </c>
      <c r="C690" t="s">
        <v>45</v>
      </c>
      <c r="D690">
        <v>107</v>
      </c>
      <c r="E690" t="s">
        <v>21</v>
      </c>
      <c r="F690">
        <v>138</v>
      </c>
      <c r="G690">
        <v>85.75</v>
      </c>
      <c r="H690">
        <v>1</v>
      </c>
    </row>
    <row r="691" spans="1:8">
      <c r="A691" s="1" t="s">
        <v>705</v>
      </c>
      <c r="B691" t="s">
        <v>745</v>
      </c>
      <c r="C691" t="s">
        <v>76</v>
      </c>
      <c r="D691">
        <v>7</v>
      </c>
      <c r="E691" t="s">
        <v>11</v>
      </c>
      <c r="F691">
        <v>447</v>
      </c>
      <c r="G691">
        <v>84.95</v>
      </c>
      <c r="H691">
        <v>2</v>
      </c>
    </row>
    <row r="692" spans="1:8">
      <c r="A692" s="1" t="s">
        <v>705</v>
      </c>
      <c r="B692" t="s">
        <v>746</v>
      </c>
      <c r="C692" t="s">
        <v>40</v>
      </c>
      <c r="D692">
        <v>101</v>
      </c>
      <c r="E692" t="s">
        <v>11</v>
      </c>
      <c r="F692">
        <v>148</v>
      </c>
      <c r="G692">
        <v>26.63</v>
      </c>
      <c r="H692">
        <v>3</v>
      </c>
    </row>
    <row r="693" spans="1:8">
      <c r="A693" s="1" t="s">
        <v>705</v>
      </c>
      <c r="B693" t="s">
        <v>747</v>
      </c>
      <c r="C693" t="s">
        <v>31</v>
      </c>
      <c r="D693">
        <v>72</v>
      </c>
      <c r="E693" t="s">
        <v>11</v>
      </c>
      <c r="F693">
        <v>317</v>
      </c>
      <c r="G693">
        <v>54.58</v>
      </c>
      <c r="H693">
        <v>1</v>
      </c>
    </row>
    <row r="694" spans="1:8">
      <c r="A694" s="1" t="s">
        <v>705</v>
      </c>
      <c r="B694" t="s">
        <v>748</v>
      </c>
      <c r="C694" t="s">
        <v>26</v>
      </c>
      <c r="D694">
        <v>21</v>
      </c>
      <c r="E694" t="s">
        <v>21</v>
      </c>
      <c r="F694">
        <v>460</v>
      </c>
      <c r="G694">
        <v>70.81</v>
      </c>
      <c r="H694">
        <v>2</v>
      </c>
    </row>
    <row r="695" spans="1:8">
      <c r="A695" s="1" t="s">
        <v>705</v>
      </c>
      <c r="B695" t="s">
        <v>749</v>
      </c>
      <c r="C695" t="s">
        <v>79</v>
      </c>
      <c r="D695">
        <v>103</v>
      </c>
      <c r="E695" t="s">
        <v>32</v>
      </c>
      <c r="F695">
        <v>386</v>
      </c>
      <c r="G695">
        <v>10.58</v>
      </c>
      <c r="H695">
        <v>0</v>
      </c>
    </row>
    <row r="696" spans="1:8">
      <c r="A696" s="1" t="s">
        <v>705</v>
      </c>
      <c r="B696" t="s">
        <v>750</v>
      </c>
      <c r="C696" t="s">
        <v>18</v>
      </c>
      <c r="D696">
        <v>9</v>
      </c>
      <c r="E696" t="s">
        <v>14</v>
      </c>
      <c r="F696">
        <v>27</v>
      </c>
      <c r="G696">
        <v>99.02</v>
      </c>
      <c r="H696">
        <v>3</v>
      </c>
    </row>
    <row r="697" spans="1:8">
      <c r="A697" s="1" t="s">
        <v>705</v>
      </c>
      <c r="B697" t="s">
        <v>751</v>
      </c>
      <c r="C697" t="s">
        <v>29</v>
      </c>
      <c r="D697">
        <v>46</v>
      </c>
      <c r="E697" t="s">
        <v>32</v>
      </c>
      <c r="F697">
        <v>43</v>
      </c>
      <c r="G697">
        <v>98.44</v>
      </c>
      <c r="H697">
        <v>2</v>
      </c>
    </row>
    <row r="698" spans="1:8">
      <c r="A698" s="1" t="s">
        <v>705</v>
      </c>
      <c r="B698" t="s">
        <v>752</v>
      </c>
      <c r="C698" t="s">
        <v>95</v>
      </c>
      <c r="D698">
        <v>26</v>
      </c>
      <c r="E698" t="s">
        <v>32</v>
      </c>
      <c r="F698">
        <v>378</v>
      </c>
      <c r="G698">
        <v>45.21</v>
      </c>
      <c r="H698">
        <v>5</v>
      </c>
    </row>
    <row r="699" spans="1:8">
      <c r="A699" s="1" t="s">
        <v>705</v>
      </c>
      <c r="B699" t="s">
        <v>753</v>
      </c>
      <c r="C699" t="s">
        <v>57</v>
      </c>
      <c r="D699">
        <v>38</v>
      </c>
      <c r="E699" t="s">
        <v>32</v>
      </c>
      <c r="F699">
        <v>432</v>
      </c>
      <c r="G699">
        <v>53.65</v>
      </c>
      <c r="H699">
        <v>4</v>
      </c>
    </row>
    <row r="700" spans="1:8">
      <c r="A700" s="1" t="s">
        <v>705</v>
      </c>
      <c r="B700" t="s">
        <v>754</v>
      </c>
      <c r="C700" t="s">
        <v>92</v>
      </c>
      <c r="D700">
        <v>65</v>
      </c>
      <c r="E700" t="s">
        <v>11</v>
      </c>
      <c r="F700">
        <v>246</v>
      </c>
      <c r="G700">
        <v>69.17</v>
      </c>
      <c r="H700">
        <v>0</v>
      </c>
    </row>
    <row r="701" spans="1:8">
      <c r="A701" s="1" t="s">
        <v>705</v>
      </c>
      <c r="B701" t="s">
        <v>755</v>
      </c>
      <c r="C701" t="s">
        <v>61</v>
      </c>
      <c r="D701">
        <v>7</v>
      </c>
      <c r="E701" t="s">
        <v>11</v>
      </c>
      <c r="F701">
        <v>332</v>
      </c>
      <c r="G701">
        <v>83.95</v>
      </c>
      <c r="H701">
        <v>4</v>
      </c>
    </row>
    <row r="702" spans="1:8">
      <c r="A702" s="1" t="s">
        <v>756</v>
      </c>
      <c r="B702" t="s">
        <v>757</v>
      </c>
      <c r="C702" t="s">
        <v>76</v>
      </c>
      <c r="D702">
        <v>119</v>
      </c>
      <c r="E702" t="s">
        <v>11</v>
      </c>
      <c r="F702">
        <v>31</v>
      </c>
      <c r="G702">
        <v>21.27</v>
      </c>
      <c r="H702">
        <v>5</v>
      </c>
    </row>
    <row r="703" spans="1:8">
      <c r="A703" s="1" t="s">
        <v>756</v>
      </c>
      <c r="B703" t="s">
        <v>758</v>
      </c>
      <c r="C703" t="s">
        <v>71</v>
      </c>
      <c r="D703">
        <v>108</v>
      </c>
      <c r="E703" t="s">
        <v>14</v>
      </c>
      <c r="F703">
        <v>467</v>
      </c>
      <c r="G703">
        <v>44.84</v>
      </c>
      <c r="H703">
        <v>4</v>
      </c>
    </row>
    <row r="704" spans="1:8">
      <c r="A704" s="1" t="s">
        <v>756</v>
      </c>
      <c r="B704" t="s">
        <v>759</v>
      </c>
      <c r="C704" t="s">
        <v>18</v>
      </c>
      <c r="D704">
        <v>57</v>
      </c>
      <c r="E704" t="s">
        <v>32</v>
      </c>
      <c r="F704">
        <v>36</v>
      </c>
      <c r="G704">
        <v>82.7</v>
      </c>
      <c r="H704">
        <v>2</v>
      </c>
    </row>
    <row r="705" spans="1:8">
      <c r="A705" s="1" t="s">
        <v>756</v>
      </c>
      <c r="B705" t="s">
        <v>760</v>
      </c>
      <c r="C705" t="s">
        <v>16</v>
      </c>
      <c r="D705">
        <v>37</v>
      </c>
      <c r="E705" t="s">
        <v>32</v>
      </c>
      <c r="F705">
        <v>213</v>
      </c>
      <c r="G705">
        <v>14.12</v>
      </c>
      <c r="H705">
        <v>1</v>
      </c>
    </row>
    <row r="706" spans="1:8">
      <c r="A706" s="1" t="s">
        <v>756</v>
      </c>
      <c r="B706" t="s">
        <v>761</v>
      </c>
      <c r="C706" t="s">
        <v>40</v>
      </c>
      <c r="D706">
        <v>105</v>
      </c>
      <c r="E706" t="s">
        <v>32</v>
      </c>
      <c r="F706">
        <v>454</v>
      </c>
      <c r="G706">
        <v>49.47</v>
      </c>
      <c r="H706">
        <v>4</v>
      </c>
    </row>
    <row r="707" spans="1:8">
      <c r="A707" s="1" t="s">
        <v>756</v>
      </c>
      <c r="B707" t="s">
        <v>762</v>
      </c>
      <c r="C707" t="s">
        <v>79</v>
      </c>
      <c r="D707">
        <v>81</v>
      </c>
      <c r="E707" t="s">
        <v>21</v>
      </c>
      <c r="F707">
        <v>339</v>
      </c>
      <c r="G707">
        <v>53.4</v>
      </c>
      <c r="H707">
        <v>2</v>
      </c>
    </row>
    <row r="708" spans="1:8">
      <c r="A708" s="1" t="s">
        <v>756</v>
      </c>
      <c r="B708" t="s">
        <v>763</v>
      </c>
      <c r="C708" t="s">
        <v>24</v>
      </c>
      <c r="D708">
        <v>21</v>
      </c>
      <c r="E708" t="s">
        <v>14</v>
      </c>
      <c r="F708">
        <v>475</v>
      </c>
      <c r="G708">
        <v>15.12</v>
      </c>
      <c r="H708">
        <v>2</v>
      </c>
    </row>
    <row r="709" spans="1:8">
      <c r="A709" s="1" t="s">
        <v>756</v>
      </c>
      <c r="B709" t="s">
        <v>764</v>
      </c>
      <c r="C709" t="s">
        <v>107</v>
      </c>
      <c r="D709">
        <v>49</v>
      </c>
      <c r="E709" t="s">
        <v>14</v>
      </c>
      <c r="F709">
        <v>288</v>
      </c>
      <c r="G709">
        <v>91.32</v>
      </c>
      <c r="H709">
        <v>4</v>
      </c>
    </row>
    <row r="710" spans="1:8">
      <c r="A710" s="1" t="s">
        <v>756</v>
      </c>
      <c r="B710" t="s">
        <v>765</v>
      </c>
      <c r="C710" t="s">
        <v>36</v>
      </c>
      <c r="D710">
        <v>75</v>
      </c>
      <c r="E710" t="s">
        <v>14</v>
      </c>
      <c r="F710">
        <v>370</v>
      </c>
      <c r="G710">
        <v>21.67</v>
      </c>
      <c r="H710">
        <v>0</v>
      </c>
    </row>
    <row r="711" spans="1:8">
      <c r="A711" s="1" t="s">
        <v>756</v>
      </c>
      <c r="B711" t="s">
        <v>766</v>
      </c>
      <c r="C711" t="s">
        <v>76</v>
      </c>
      <c r="D711">
        <v>26</v>
      </c>
      <c r="E711" t="s">
        <v>21</v>
      </c>
      <c r="F711">
        <v>378</v>
      </c>
      <c r="G711">
        <v>88.59</v>
      </c>
      <c r="H711">
        <v>4</v>
      </c>
    </row>
    <row r="712" spans="1:8">
      <c r="A712" s="1" t="s">
        <v>756</v>
      </c>
      <c r="B712" t="s">
        <v>767</v>
      </c>
      <c r="C712" t="s">
        <v>13</v>
      </c>
      <c r="D712">
        <v>26</v>
      </c>
      <c r="E712" t="s">
        <v>32</v>
      </c>
      <c r="F712">
        <v>391</v>
      </c>
      <c r="G712">
        <v>18.28</v>
      </c>
      <c r="H712">
        <v>3</v>
      </c>
    </row>
    <row r="713" spans="1:8">
      <c r="A713" s="1" t="s">
        <v>756</v>
      </c>
      <c r="B713" t="s">
        <v>768</v>
      </c>
      <c r="C713" t="s">
        <v>107</v>
      </c>
      <c r="D713">
        <v>4</v>
      </c>
      <c r="E713" t="s">
        <v>14</v>
      </c>
      <c r="F713">
        <v>21</v>
      </c>
      <c r="G713">
        <v>45.8</v>
      </c>
      <c r="H713">
        <v>1</v>
      </c>
    </row>
    <row r="714" spans="1:8">
      <c r="A714" s="1" t="s">
        <v>756</v>
      </c>
      <c r="B714" t="s">
        <v>769</v>
      </c>
      <c r="C714" t="s">
        <v>92</v>
      </c>
      <c r="D714">
        <v>96</v>
      </c>
      <c r="E714" t="s">
        <v>11</v>
      </c>
      <c r="F714">
        <v>280</v>
      </c>
      <c r="G714">
        <v>80.36</v>
      </c>
      <c r="H714">
        <v>5</v>
      </c>
    </row>
    <row r="715" spans="1:8">
      <c r="A715" s="1" t="s">
        <v>756</v>
      </c>
      <c r="B715" t="s">
        <v>770</v>
      </c>
      <c r="C715" t="s">
        <v>26</v>
      </c>
      <c r="D715">
        <v>119</v>
      </c>
      <c r="E715" t="s">
        <v>14</v>
      </c>
      <c r="F715">
        <v>133</v>
      </c>
      <c r="G715">
        <v>30.27</v>
      </c>
      <c r="H715">
        <v>5</v>
      </c>
    </row>
    <row r="716" spans="1:8">
      <c r="A716" s="1" t="s">
        <v>756</v>
      </c>
      <c r="B716" t="s">
        <v>771</v>
      </c>
      <c r="C716" t="s">
        <v>26</v>
      </c>
      <c r="D716">
        <v>18</v>
      </c>
      <c r="E716" t="s">
        <v>14</v>
      </c>
      <c r="F716">
        <v>463</v>
      </c>
      <c r="G716">
        <v>41.66</v>
      </c>
      <c r="H716">
        <v>4</v>
      </c>
    </row>
    <row r="717" spans="1:8">
      <c r="A717" s="1" t="s">
        <v>756</v>
      </c>
      <c r="B717" t="s">
        <v>772</v>
      </c>
      <c r="C717" t="s">
        <v>107</v>
      </c>
      <c r="D717">
        <v>54</v>
      </c>
      <c r="E717" t="s">
        <v>21</v>
      </c>
      <c r="F717">
        <v>215</v>
      </c>
      <c r="G717">
        <v>54.69</v>
      </c>
      <c r="H717">
        <v>0</v>
      </c>
    </row>
    <row r="718" spans="1:8">
      <c r="A718" s="1" t="s">
        <v>756</v>
      </c>
      <c r="B718" t="s">
        <v>773</v>
      </c>
      <c r="C718" t="s">
        <v>111</v>
      </c>
      <c r="D718">
        <v>95</v>
      </c>
      <c r="E718" t="s">
        <v>32</v>
      </c>
      <c r="F718">
        <v>313</v>
      </c>
      <c r="G718">
        <v>32.49</v>
      </c>
      <c r="H718">
        <v>1</v>
      </c>
    </row>
    <row r="719" spans="1:8">
      <c r="A719" s="1" t="s">
        <v>756</v>
      </c>
      <c r="B719" t="s">
        <v>774</v>
      </c>
      <c r="C719" t="s">
        <v>24</v>
      </c>
      <c r="D719">
        <v>26</v>
      </c>
      <c r="E719" t="s">
        <v>14</v>
      </c>
      <c r="F719">
        <v>413</v>
      </c>
      <c r="G719">
        <v>10.9</v>
      </c>
      <c r="H719">
        <v>5</v>
      </c>
    </row>
    <row r="720" spans="1:8">
      <c r="A720" s="1" t="s">
        <v>756</v>
      </c>
      <c r="B720" t="s">
        <v>775</v>
      </c>
      <c r="C720" t="s">
        <v>18</v>
      </c>
      <c r="D720">
        <v>25</v>
      </c>
      <c r="E720" t="s">
        <v>11</v>
      </c>
      <c r="F720">
        <v>66</v>
      </c>
      <c r="G720">
        <v>90.14</v>
      </c>
      <c r="H720">
        <v>5</v>
      </c>
    </row>
    <row r="721" spans="1:8">
      <c r="A721" s="1" t="s">
        <v>756</v>
      </c>
      <c r="B721" t="s">
        <v>776</v>
      </c>
      <c r="C721" t="s">
        <v>43</v>
      </c>
      <c r="D721">
        <v>29</v>
      </c>
      <c r="E721" t="s">
        <v>14</v>
      </c>
      <c r="F721">
        <v>306</v>
      </c>
      <c r="G721">
        <v>82.16</v>
      </c>
      <c r="H721">
        <v>1</v>
      </c>
    </row>
    <row r="722" spans="1:8">
      <c r="A722" s="1" t="s">
        <v>756</v>
      </c>
      <c r="B722" t="s">
        <v>777</v>
      </c>
      <c r="C722" t="s">
        <v>45</v>
      </c>
      <c r="D722">
        <v>82</v>
      </c>
      <c r="E722" t="s">
        <v>11</v>
      </c>
      <c r="F722">
        <v>312</v>
      </c>
      <c r="G722">
        <v>40.880000000000003</v>
      </c>
      <c r="H722">
        <v>0</v>
      </c>
    </row>
    <row r="723" spans="1:8">
      <c r="A723" s="1" t="s">
        <v>756</v>
      </c>
      <c r="B723" t="s">
        <v>778</v>
      </c>
      <c r="C723" t="s">
        <v>13</v>
      </c>
      <c r="D723">
        <v>109</v>
      </c>
      <c r="E723" t="s">
        <v>21</v>
      </c>
      <c r="F723">
        <v>104</v>
      </c>
      <c r="G723">
        <v>12.37</v>
      </c>
      <c r="H723">
        <v>5</v>
      </c>
    </row>
    <row r="724" spans="1:8">
      <c r="A724" s="1" t="s">
        <v>756</v>
      </c>
      <c r="B724" t="s">
        <v>779</v>
      </c>
      <c r="C724" t="s">
        <v>61</v>
      </c>
      <c r="D724">
        <v>78</v>
      </c>
      <c r="E724" t="s">
        <v>32</v>
      </c>
      <c r="F724">
        <v>387</v>
      </c>
      <c r="G724">
        <v>11.63</v>
      </c>
      <c r="H724">
        <v>2</v>
      </c>
    </row>
    <row r="725" spans="1:8">
      <c r="A725" s="1" t="s">
        <v>756</v>
      </c>
      <c r="B725" t="s">
        <v>780</v>
      </c>
      <c r="C725" t="s">
        <v>57</v>
      </c>
      <c r="D725">
        <v>9</v>
      </c>
      <c r="E725" t="s">
        <v>21</v>
      </c>
      <c r="F725">
        <v>102</v>
      </c>
      <c r="G725">
        <v>41.52</v>
      </c>
      <c r="H725">
        <v>0</v>
      </c>
    </row>
    <row r="726" spans="1:8">
      <c r="A726" s="1" t="s">
        <v>756</v>
      </c>
      <c r="B726" t="s">
        <v>781</v>
      </c>
      <c r="C726" t="s">
        <v>111</v>
      </c>
      <c r="D726">
        <v>56</v>
      </c>
      <c r="E726" t="s">
        <v>21</v>
      </c>
      <c r="F726">
        <v>41</v>
      </c>
      <c r="G726">
        <v>15.1</v>
      </c>
      <c r="H726">
        <v>5</v>
      </c>
    </row>
    <row r="727" spans="1:8">
      <c r="A727" s="1" t="s">
        <v>756</v>
      </c>
      <c r="B727" t="s">
        <v>782</v>
      </c>
      <c r="C727" t="s">
        <v>38</v>
      </c>
      <c r="D727">
        <v>4</v>
      </c>
      <c r="E727" t="s">
        <v>11</v>
      </c>
      <c r="F727">
        <v>449</v>
      </c>
      <c r="G727">
        <v>43.95</v>
      </c>
      <c r="H727">
        <v>2</v>
      </c>
    </row>
    <row r="728" spans="1:8">
      <c r="A728" s="1" t="s">
        <v>756</v>
      </c>
      <c r="B728" t="s">
        <v>783</v>
      </c>
      <c r="C728" t="s">
        <v>92</v>
      </c>
      <c r="D728">
        <v>90</v>
      </c>
      <c r="E728" t="s">
        <v>21</v>
      </c>
      <c r="F728">
        <v>412</v>
      </c>
      <c r="G728">
        <v>20.62</v>
      </c>
      <c r="H728">
        <v>2</v>
      </c>
    </row>
    <row r="729" spans="1:8">
      <c r="A729" s="1" t="s">
        <v>756</v>
      </c>
      <c r="B729" t="s">
        <v>784</v>
      </c>
      <c r="C729" t="s">
        <v>43</v>
      </c>
      <c r="D729">
        <v>33</v>
      </c>
      <c r="E729" t="s">
        <v>11</v>
      </c>
      <c r="F729">
        <v>391</v>
      </c>
      <c r="G729">
        <v>88.88</v>
      </c>
      <c r="H729">
        <v>4</v>
      </c>
    </row>
    <row r="730" spans="1:8">
      <c r="A730" s="1" t="s">
        <v>756</v>
      </c>
      <c r="B730" t="s">
        <v>785</v>
      </c>
      <c r="C730" t="s">
        <v>92</v>
      </c>
      <c r="D730">
        <v>42</v>
      </c>
      <c r="E730" t="s">
        <v>14</v>
      </c>
      <c r="F730">
        <v>252</v>
      </c>
      <c r="G730">
        <v>59.46</v>
      </c>
      <c r="H730">
        <v>4</v>
      </c>
    </row>
    <row r="731" spans="1:8">
      <c r="A731" s="1" t="s">
        <v>756</v>
      </c>
      <c r="B731" t="s">
        <v>786</v>
      </c>
      <c r="C731" t="s">
        <v>43</v>
      </c>
      <c r="D731">
        <v>8</v>
      </c>
      <c r="E731" t="s">
        <v>14</v>
      </c>
      <c r="F731">
        <v>171</v>
      </c>
      <c r="G731">
        <v>52.98</v>
      </c>
      <c r="H731">
        <v>0</v>
      </c>
    </row>
    <row r="732" spans="1:8">
      <c r="A732" s="1" t="s">
        <v>756</v>
      </c>
      <c r="B732" t="s">
        <v>787</v>
      </c>
      <c r="C732" t="s">
        <v>36</v>
      </c>
      <c r="D732">
        <v>68</v>
      </c>
      <c r="E732" t="s">
        <v>11</v>
      </c>
      <c r="F732">
        <v>282</v>
      </c>
      <c r="G732">
        <v>35.43</v>
      </c>
      <c r="H732">
        <v>1</v>
      </c>
    </row>
    <row r="733" spans="1:8">
      <c r="A733" s="1" t="s">
        <v>756</v>
      </c>
      <c r="B733" t="s">
        <v>788</v>
      </c>
      <c r="C733" t="s">
        <v>111</v>
      </c>
      <c r="D733">
        <v>98</v>
      </c>
      <c r="E733" t="s">
        <v>11</v>
      </c>
      <c r="F733">
        <v>168</v>
      </c>
      <c r="G733">
        <v>44.14</v>
      </c>
      <c r="H733">
        <v>3</v>
      </c>
    </row>
    <row r="734" spans="1:8">
      <c r="A734" s="1" t="s">
        <v>756</v>
      </c>
      <c r="B734" t="s">
        <v>789</v>
      </c>
      <c r="C734" t="s">
        <v>107</v>
      </c>
      <c r="D734">
        <v>79</v>
      </c>
      <c r="E734" t="s">
        <v>32</v>
      </c>
      <c r="F734">
        <v>454</v>
      </c>
      <c r="G734">
        <v>80.34</v>
      </c>
      <c r="H734">
        <v>2</v>
      </c>
    </row>
    <row r="735" spans="1:8">
      <c r="A735" s="1" t="s">
        <v>756</v>
      </c>
      <c r="B735" t="s">
        <v>790</v>
      </c>
      <c r="C735" t="s">
        <v>16</v>
      </c>
      <c r="D735">
        <v>48</v>
      </c>
      <c r="E735" t="s">
        <v>32</v>
      </c>
      <c r="F735">
        <v>473</v>
      </c>
      <c r="G735">
        <v>71.52</v>
      </c>
      <c r="H735">
        <v>5</v>
      </c>
    </row>
    <row r="736" spans="1:8">
      <c r="A736" s="1" t="s">
        <v>756</v>
      </c>
      <c r="B736" t="s">
        <v>791</v>
      </c>
      <c r="C736" t="s">
        <v>29</v>
      </c>
      <c r="D736">
        <v>97</v>
      </c>
      <c r="E736" t="s">
        <v>14</v>
      </c>
      <c r="F736">
        <v>173</v>
      </c>
      <c r="G736">
        <v>19.37</v>
      </c>
      <c r="H736">
        <v>5</v>
      </c>
    </row>
    <row r="737" spans="1:8">
      <c r="A737" s="1" t="s">
        <v>756</v>
      </c>
      <c r="B737" t="s">
        <v>792</v>
      </c>
      <c r="C737" t="s">
        <v>13</v>
      </c>
      <c r="D737">
        <v>12</v>
      </c>
      <c r="E737" t="s">
        <v>32</v>
      </c>
      <c r="F737">
        <v>138</v>
      </c>
      <c r="G737">
        <v>99.83</v>
      </c>
      <c r="H737">
        <v>1</v>
      </c>
    </row>
    <row r="738" spans="1:8">
      <c r="A738" s="1" t="s">
        <v>756</v>
      </c>
      <c r="B738" t="s">
        <v>793</v>
      </c>
      <c r="C738" t="s">
        <v>16</v>
      </c>
      <c r="D738">
        <v>63</v>
      </c>
      <c r="E738" t="s">
        <v>32</v>
      </c>
      <c r="F738">
        <v>177</v>
      </c>
      <c r="G738">
        <v>77.73</v>
      </c>
      <c r="H738">
        <v>3</v>
      </c>
    </row>
    <row r="739" spans="1:8">
      <c r="A739" s="1" t="s">
        <v>756</v>
      </c>
      <c r="B739" t="s">
        <v>794</v>
      </c>
      <c r="C739" t="s">
        <v>24</v>
      </c>
      <c r="D739">
        <v>102</v>
      </c>
      <c r="E739" t="s">
        <v>14</v>
      </c>
      <c r="F739">
        <v>484</v>
      </c>
      <c r="G739">
        <v>64.22</v>
      </c>
      <c r="H739">
        <v>2</v>
      </c>
    </row>
    <row r="740" spans="1:8">
      <c r="A740" s="1" t="s">
        <v>756</v>
      </c>
      <c r="B740" t="s">
        <v>795</v>
      </c>
      <c r="C740" t="s">
        <v>36</v>
      </c>
      <c r="D740">
        <v>72</v>
      </c>
      <c r="E740" t="s">
        <v>14</v>
      </c>
      <c r="F740">
        <v>427</v>
      </c>
      <c r="G740">
        <v>31.44</v>
      </c>
      <c r="H740">
        <v>2</v>
      </c>
    </row>
    <row r="741" spans="1:8">
      <c r="A741" s="1" t="s">
        <v>756</v>
      </c>
      <c r="B741" t="s">
        <v>796</v>
      </c>
      <c r="C741" t="s">
        <v>18</v>
      </c>
      <c r="D741">
        <v>33</v>
      </c>
      <c r="E741" t="s">
        <v>21</v>
      </c>
      <c r="F741">
        <v>18</v>
      </c>
      <c r="G741">
        <v>47.18</v>
      </c>
      <c r="H741">
        <v>4</v>
      </c>
    </row>
    <row r="742" spans="1:8">
      <c r="A742" s="1" t="s">
        <v>756</v>
      </c>
      <c r="B742" t="s">
        <v>797</v>
      </c>
      <c r="C742" t="s">
        <v>20</v>
      </c>
      <c r="D742">
        <v>14</v>
      </c>
      <c r="E742" t="s">
        <v>14</v>
      </c>
      <c r="F742">
        <v>37</v>
      </c>
      <c r="G742">
        <v>20.399999999999999</v>
      </c>
      <c r="H742">
        <v>2</v>
      </c>
    </row>
    <row r="743" spans="1:8">
      <c r="A743" s="1" t="s">
        <v>756</v>
      </c>
      <c r="B743" t="s">
        <v>798</v>
      </c>
      <c r="C743" t="s">
        <v>43</v>
      </c>
      <c r="D743">
        <v>87</v>
      </c>
      <c r="E743" t="s">
        <v>11</v>
      </c>
      <c r="F743">
        <v>486</v>
      </c>
      <c r="G743">
        <v>58.26</v>
      </c>
      <c r="H743">
        <v>0</v>
      </c>
    </row>
    <row r="744" spans="1:8">
      <c r="A744" s="1" t="s">
        <v>756</v>
      </c>
      <c r="B744" t="s">
        <v>799</v>
      </c>
      <c r="C744" t="s">
        <v>61</v>
      </c>
      <c r="D744">
        <v>57</v>
      </c>
      <c r="E744" t="s">
        <v>21</v>
      </c>
      <c r="F744">
        <v>375</v>
      </c>
      <c r="G744">
        <v>64.73</v>
      </c>
      <c r="H744">
        <v>1</v>
      </c>
    </row>
    <row r="745" spans="1:8">
      <c r="A745" s="1" t="s">
        <v>756</v>
      </c>
      <c r="B745" t="s">
        <v>800</v>
      </c>
      <c r="C745" t="s">
        <v>10</v>
      </c>
      <c r="D745">
        <v>15</v>
      </c>
      <c r="E745" t="s">
        <v>14</v>
      </c>
      <c r="F745">
        <v>30</v>
      </c>
      <c r="G745">
        <v>30.5</v>
      </c>
      <c r="H745">
        <v>1</v>
      </c>
    </row>
    <row r="746" spans="1:8">
      <c r="A746" s="1" t="s">
        <v>756</v>
      </c>
      <c r="B746" t="s">
        <v>801</v>
      </c>
      <c r="C746" t="s">
        <v>40</v>
      </c>
      <c r="D746">
        <v>104</v>
      </c>
      <c r="E746" t="s">
        <v>14</v>
      </c>
      <c r="F746">
        <v>245</v>
      </c>
      <c r="G746">
        <v>38.270000000000003</v>
      </c>
      <c r="H746">
        <v>0</v>
      </c>
    </row>
    <row r="747" spans="1:8">
      <c r="A747" s="1" t="s">
        <v>756</v>
      </c>
      <c r="B747" t="s">
        <v>802</v>
      </c>
      <c r="C747" t="s">
        <v>92</v>
      </c>
      <c r="D747">
        <v>23</v>
      </c>
      <c r="E747" t="s">
        <v>11</v>
      </c>
      <c r="F747">
        <v>120</v>
      </c>
      <c r="G747">
        <v>73.12</v>
      </c>
      <c r="H747">
        <v>1</v>
      </c>
    </row>
    <row r="748" spans="1:8">
      <c r="A748" s="1" t="s">
        <v>756</v>
      </c>
      <c r="B748" t="s">
        <v>803</v>
      </c>
      <c r="C748" t="s">
        <v>65</v>
      </c>
      <c r="D748">
        <v>74</v>
      </c>
      <c r="E748" t="s">
        <v>21</v>
      </c>
      <c r="F748">
        <v>359</v>
      </c>
      <c r="G748">
        <v>92.63</v>
      </c>
      <c r="H748">
        <v>0</v>
      </c>
    </row>
    <row r="749" spans="1:8">
      <c r="A749" s="1" t="s">
        <v>756</v>
      </c>
      <c r="B749" t="s">
        <v>804</v>
      </c>
      <c r="C749" t="s">
        <v>10</v>
      </c>
      <c r="D749">
        <v>58</v>
      </c>
      <c r="E749" t="s">
        <v>32</v>
      </c>
      <c r="F749">
        <v>485</v>
      </c>
      <c r="G749">
        <v>65.41</v>
      </c>
      <c r="H749">
        <v>5</v>
      </c>
    </row>
    <row r="750" spans="1:8">
      <c r="A750" s="1" t="s">
        <v>756</v>
      </c>
      <c r="B750" t="s">
        <v>805</v>
      </c>
      <c r="C750" t="s">
        <v>38</v>
      </c>
      <c r="D750">
        <v>10</v>
      </c>
      <c r="E750" t="s">
        <v>21</v>
      </c>
      <c r="F750">
        <v>418</v>
      </c>
      <c r="G750">
        <v>27.66</v>
      </c>
      <c r="H750">
        <v>2</v>
      </c>
    </row>
    <row r="751" spans="1:8">
      <c r="A751" s="1" t="s">
        <v>756</v>
      </c>
      <c r="B751" t="s">
        <v>806</v>
      </c>
      <c r="C751" t="s">
        <v>16</v>
      </c>
      <c r="D751">
        <v>5</v>
      </c>
      <c r="E751" t="s">
        <v>32</v>
      </c>
      <c r="F751">
        <v>71</v>
      </c>
      <c r="G751">
        <v>93.81</v>
      </c>
      <c r="H751">
        <v>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231E0-C305-4F94-A7DD-A032F14E526C}">
  <dimension ref="A1:I674"/>
  <sheetViews>
    <sheetView workbookViewId="0">
      <selection activeCell="J2" sqref="J2"/>
    </sheetView>
  </sheetViews>
  <sheetFormatPr baseColWidth="10" defaultRowHeight="14.5"/>
  <cols>
    <col min="1" max="1" width="23.6328125" bestFit="1" customWidth="1"/>
    <col min="2" max="2" width="10.7265625" bestFit="1" customWidth="1"/>
    <col min="3" max="3" width="16.08984375" bestFit="1" customWidth="1"/>
    <col min="4" max="4" width="17.6328125" bestFit="1" customWidth="1"/>
    <col min="5" max="5" width="17" bestFit="1" customWidth="1"/>
    <col min="6" max="6" width="27.26953125" bestFit="1" customWidth="1"/>
    <col min="7" max="7" width="19.08984375" bestFit="1" customWidth="1"/>
    <col min="8" max="8" width="22.4531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807</v>
      </c>
    </row>
    <row r="2" spans="1:9">
      <c r="A2" s="1" t="s">
        <v>140</v>
      </c>
      <c r="B2" t="s">
        <v>185</v>
      </c>
      <c r="C2" t="s">
        <v>79</v>
      </c>
      <c r="D2">
        <v>1</v>
      </c>
      <c r="E2" t="s">
        <v>11</v>
      </c>
      <c r="F2">
        <v>326</v>
      </c>
      <c r="G2">
        <v>54.63</v>
      </c>
      <c r="H2">
        <v>3</v>
      </c>
      <c r="I2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" spans="1:9">
      <c r="A3" s="1" t="s">
        <v>447</v>
      </c>
      <c r="B3" t="s">
        <v>481</v>
      </c>
      <c r="C3" t="s">
        <v>13</v>
      </c>
      <c r="D3">
        <v>1</v>
      </c>
      <c r="E3" t="s">
        <v>32</v>
      </c>
      <c r="F3">
        <v>368</v>
      </c>
      <c r="G3">
        <v>35.17</v>
      </c>
      <c r="H3">
        <v>1</v>
      </c>
      <c r="I3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" spans="1:9">
      <c r="A4" s="1" t="s">
        <v>499</v>
      </c>
      <c r="B4" t="s">
        <v>526</v>
      </c>
      <c r="C4" t="s">
        <v>38</v>
      </c>
      <c r="D4">
        <v>1</v>
      </c>
      <c r="E4" t="s">
        <v>21</v>
      </c>
      <c r="F4">
        <v>213</v>
      </c>
      <c r="G4">
        <v>52.16</v>
      </c>
      <c r="H4">
        <v>3</v>
      </c>
      <c r="I4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" spans="1:9">
      <c r="A5" s="1" t="s">
        <v>653</v>
      </c>
      <c r="B5" t="s">
        <v>659</v>
      </c>
      <c r="C5" t="s">
        <v>43</v>
      </c>
      <c r="D5">
        <v>1</v>
      </c>
      <c r="E5" t="s">
        <v>14</v>
      </c>
      <c r="F5">
        <v>135</v>
      </c>
      <c r="G5">
        <v>89.16</v>
      </c>
      <c r="H5">
        <v>3</v>
      </c>
      <c r="I5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6" spans="1:9">
      <c r="A6" s="1" t="s">
        <v>705</v>
      </c>
      <c r="B6" t="s">
        <v>740</v>
      </c>
      <c r="C6" t="s">
        <v>52</v>
      </c>
      <c r="D6">
        <v>1</v>
      </c>
      <c r="E6" t="s">
        <v>32</v>
      </c>
      <c r="F6">
        <v>429</v>
      </c>
      <c r="G6">
        <v>20.96</v>
      </c>
      <c r="H6">
        <v>5</v>
      </c>
      <c r="I6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7" spans="1:9">
      <c r="A7" s="1" t="s">
        <v>344</v>
      </c>
      <c r="B7" t="s">
        <v>349</v>
      </c>
      <c r="C7" t="s">
        <v>57</v>
      </c>
      <c r="D7">
        <v>2</v>
      </c>
      <c r="E7" t="s">
        <v>11</v>
      </c>
      <c r="F7">
        <v>496</v>
      </c>
      <c r="G7">
        <v>15.71</v>
      </c>
      <c r="H7">
        <v>3</v>
      </c>
      <c r="I7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8" spans="1:9">
      <c r="A8" s="1" t="s">
        <v>395</v>
      </c>
      <c r="B8" t="s">
        <v>428</v>
      </c>
      <c r="C8" t="s">
        <v>71</v>
      </c>
      <c r="D8">
        <v>2</v>
      </c>
      <c r="E8" t="s">
        <v>32</v>
      </c>
      <c r="F8">
        <v>21</v>
      </c>
      <c r="G8">
        <v>51.68</v>
      </c>
      <c r="H8">
        <v>3</v>
      </c>
      <c r="I8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9" spans="1:9">
      <c r="A9" s="1" t="s">
        <v>447</v>
      </c>
      <c r="B9" t="s">
        <v>486</v>
      </c>
      <c r="C9" t="s">
        <v>61</v>
      </c>
      <c r="D9">
        <v>2</v>
      </c>
      <c r="E9" t="s">
        <v>14</v>
      </c>
      <c r="F9">
        <v>142</v>
      </c>
      <c r="G9">
        <v>49.05</v>
      </c>
      <c r="H9">
        <v>4</v>
      </c>
      <c r="I9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0" spans="1:9">
      <c r="A10" s="1" t="s">
        <v>602</v>
      </c>
      <c r="B10" t="s">
        <v>626</v>
      </c>
      <c r="C10" t="s">
        <v>52</v>
      </c>
      <c r="D10">
        <v>2</v>
      </c>
      <c r="E10" t="s">
        <v>11</v>
      </c>
      <c r="F10">
        <v>481</v>
      </c>
      <c r="G10">
        <v>29.37</v>
      </c>
      <c r="H10">
        <v>4</v>
      </c>
      <c r="I10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1" spans="1:9">
      <c r="A11" s="1" t="s">
        <v>85</v>
      </c>
      <c r="B11" t="s">
        <v>137</v>
      </c>
      <c r="C11" t="s">
        <v>45</v>
      </c>
      <c r="D11">
        <v>4</v>
      </c>
      <c r="E11" t="s">
        <v>14</v>
      </c>
      <c r="F11">
        <v>453</v>
      </c>
      <c r="G11">
        <v>75.260000000000005</v>
      </c>
      <c r="H11">
        <v>5</v>
      </c>
      <c r="I11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2" spans="1:9">
      <c r="A12" s="1" t="s">
        <v>140</v>
      </c>
      <c r="B12" t="s">
        <v>160</v>
      </c>
      <c r="C12" t="s">
        <v>16</v>
      </c>
      <c r="D12">
        <v>4</v>
      </c>
      <c r="E12" t="s">
        <v>14</v>
      </c>
      <c r="F12">
        <v>227</v>
      </c>
      <c r="G12">
        <v>83.32</v>
      </c>
      <c r="H12">
        <v>2</v>
      </c>
      <c r="I12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3" spans="1:9">
      <c r="A13" s="1" t="s">
        <v>242</v>
      </c>
      <c r="B13" t="s">
        <v>244</v>
      </c>
      <c r="C13" t="s">
        <v>13</v>
      </c>
      <c r="D13">
        <v>4</v>
      </c>
      <c r="E13" t="s">
        <v>14</v>
      </c>
      <c r="F13">
        <v>182</v>
      </c>
      <c r="G13">
        <v>89.56</v>
      </c>
      <c r="H13">
        <v>4</v>
      </c>
      <c r="I13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4" spans="1:9">
      <c r="A14" s="1" t="s">
        <v>293</v>
      </c>
      <c r="B14" t="s">
        <v>306</v>
      </c>
      <c r="C14" t="s">
        <v>107</v>
      </c>
      <c r="D14">
        <v>4</v>
      </c>
      <c r="E14" t="s">
        <v>11</v>
      </c>
      <c r="F14">
        <v>49</v>
      </c>
      <c r="G14">
        <v>41.35</v>
      </c>
      <c r="H14">
        <v>5</v>
      </c>
      <c r="I14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5" spans="1:9">
      <c r="A15" s="1" t="s">
        <v>602</v>
      </c>
      <c r="B15" t="s">
        <v>640</v>
      </c>
      <c r="C15" t="s">
        <v>13</v>
      </c>
      <c r="D15">
        <v>4</v>
      </c>
      <c r="E15" t="s">
        <v>11</v>
      </c>
      <c r="F15">
        <v>372</v>
      </c>
      <c r="G15">
        <v>26.73</v>
      </c>
      <c r="H15">
        <v>3</v>
      </c>
      <c r="I15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6" spans="1:9">
      <c r="A16" s="1" t="s">
        <v>756</v>
      </c>
      <c r="B16" t="s">
        <v>782</v>
      </c>
      <c r="C16" t="s">
        <v>38</v>
      </c>
      <c r="D16">
        <v>4</v>
      </c>
      <c r="E16" t="s">
        <v>11</v>
      </c>
      <c r="F16">
        <v>449</v>
      </c>
      <c r="G16">
        <v>43.95</v>
      </c>
      <c r="H16">
        <v>2</v>
      </c>
      <c r="I16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7" spans="1:9">
      <c r="A17" s="1" t="s">
        <v>191</v>
      </c>
      <c r="B17" t="s">
        <v>214</v>
      </c>
      <c r="C17" t="s">
        <v>71</v>
      </c>
      <c r="D17">
        <v>5</v>
      </c>
      <c r="E17" t="s">
        <v>14</v>
      </c>
      <c r="F17">
        <v>239</v>
      </c>
      <c r="G17">
        <v>26.95</v>
      </c>
      <c r="H17">
        <v>2</v>
      </c>
      <c r="I17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8" spans="1:9">
      <c r="A18" s="1" t="s">
        <v>242</v>
      </c>
      <c r="B18" t="s">
        <v>271</v>
      </c>
      <c r="C18" t="s">
        <v>107</v>
      </c>
      <c r="D18">
        <v>5</v>
      </c>
      <c r="E18" t="s">
        <v>32</v>
      </c>
      <c r="F18">
        <v>417</v>
      </c>
      <c r="G18">
        <v>90.71</v>
      </c>
      <c r="H18">
        <v>1</v>
      </c>
      <c r="I18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9" spans="1:9">
      <c r="A19" s="1" t="s">
        <v>293</v>
      </c>
      <c r="B19" t="s">
        <v>309</v>
      </c>
      <c r="C19" t="s">
        <v>111</v>
      </c>
      <c r="D19">
        <v>5</v>
      </c>
      <c r="E19" t="s">
        <v>11</v>
      </c>
      <c r="F19">
        <v>98</v>
      </c>
      <c r="G19">
        <v>71.37</v>
      </c>
      <c r="H19">
        <v>1</v>
      </c>
      <c r="I19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0" spans="1:9">
      <c r="A20" s="1" t="s">
        <v>293</v>
      </c>
      <c r="B20" t="s">
        <v>336</v>
      </c>
      <c r="C20" t="s">
        <v>61</v>
      </c>
      <c r="D20">
        <v>5</v>
      </c>
      <c r="E20" t="s">
        <v>32</v>
      </c>
      <c r="F20">
        <v>384</v>
      </c>
      <c r="G20">
        <v>97.26</v>
      </c>
      <c r="H20">
        <v>3</v>
      </c>
      <c r="I20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1" spans="1:9">
      <c r="A21" s="1" t="s">
        <v>344</v>
      </c>
      <c r="B21" t="s">
        <v>364</v>
      </c>
      <c r="C21" t="s">
        <v>107</v>
      </c>
      <c r="D21">
        <v>5</v>
      </c>
      <c r="E21" t="s">
        <v>21</v>
      </c>
      <c r="F21">
        <v>337</v>
      </c>
      <c r="G21">
        <v>21.07</v>
      </c>
      <c r="H21">
        <v>4</v>
      </c>
      <c r="I21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2" spans="1:9">
      <c r="A22" s="1" t="s">
        <v>756</v>
      </c>
      <c r="B22" t="s">
        <v>806</v>
      </c>
      <c r="C22" t="s">
        <v>16</v>
      </c>
      <c r="D22">
        <v>5</v>
      </c>
      <c r="E22" t="s">
        <v>32</v>
      </c>
      <c r="F22">
        <v>71</v>
      </c>
      <c r="G22">
        <v>93.81</v>
      </c>
      <c r="H22">
        <v>3</v>
      </c>
      <c r="I22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3" spans="1:9">
      <c r="A23" s="1" t="s">
        <v>8</v>
      </c>
      <c r="B23" t="s">
        <v>60</v>
      </c>
      <c r="C23" t="s">
        <v>61</v>
      </c>
      <c r="D23">
        <v>6</v>
      </c>
      <c r="E23" t="s">
        <v>32</v>
      </c>
      <c r="F23">
        <v>207</v>
      </c>
      <c r="G23">
        <v>61.55</v>
      </c>
      <c r="H23">
        <v>0</v>
      </c>
      <c r="I23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4" spans="1:9">
      <c r="A24" s="1" t="s">
        <v>8</v>
      </c>
      <c r="B24" t="s">
        <v>72</v>
      </c>
      <c r="C24" t="s">
        <v>40</v>
      </c>
      <c r="D24">
        <v>6</v>
      </c>
      <c r="E24" t="s">
        <v>21</v>
      </c>
      <c r="F24">
        <v>155</v>
      </c>
      <c r="G24">
        <v>40.659999999999997</v>
      </c>
      <c r="H24">
        <v>1</v>
      </c>
      <c r="I24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5" spans="1:9">
      <c r="A25" s="1" t="s">
        <v>85</v>
      </c>
      <c r="B25" t="s">
        <v>130</v>
      </c>
      <c r="C25" t="s">
        <v>29</v>
      </c>
      <c r="D25">
        <v>6</v>
      </c>
      <c r="E25" t="s">
        <v>32</v>
      </c>
      <c r="F25">
        <v>162</v>
      </c>
      <c r="G25">
        <v>99.93</v>
      </c>
      <c r="H25">
        <v>0</v>
      </c>
      <c r="I25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6" spans="1:9">
      <c r="A26" s="1" t="s">
        <v>140</v>
      </c>
      <c r="B26" t="s">
        <v>172</v>
      </c>
      <c r="C26" t="s">
        <v>16</v>
      </c>
      <c r="D26">
        <v>6</v>
      </c>
      <c r="E26" t="s">
        <v>14</v>
      </c>
      <c r="F26">
        <v>6</v>
      </c>
      <c r="G26">
        <v>72.27</v>
      </c>
      <c r="H26">
        <v>4</v>
      </c>
      <c r="I26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7" spans="1:9">
      <c r="A27" s="1" t="s">
        <v>242</v>
      </c>
      <c r="B27" t="s">
        <v>265</v>
      </c>
      <c r="C27" t="s">
        <v>10</v>
      </c>
      <c r="D27">
        <v>6</v>
      </c>
      <c r="E27" t="s">
        <v>11</v>
      </c>
      <c r="F27">
        <v>109</v>
      </c>
      <c r="G27">
        <v>39.880000000000003</v>
      </c>
      <c r="H27">
        <v>4</v>
      </c>
      <c r="I27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8" spans="1:9">
      <c r="A28" s="1" t="s">
        <v>447</v>
      </c>
      <c r="B28" t="s">
        <v>457</v>
      </c>
      <c r="C28" t="s">
        <v>10</v>
      </c>
      <c r="D28">
        <v>6</v>
      </c>
      <c r="E28" t="s">
        <v>32</v>
      </c>
      <c r="F28">
        <v>362</v>
      </c>
      <c r="G28">
        <v>75.739999999999995</v>
      </c>
      <c r="H28">
        <v>4</v>
      </c>
      <c r="I28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9" spans="1:9">
      <c r="A29" s="1" t="s">
        <v>551</v>
      </c>
      <c r="B29" t="s">
        <v>567</v>
      </c>
      <c r="C29" t="s">
        <v>24</v>
      </c>
      <c r="D29">
        <v>6</v>
      </c>
      <c r="E29" t="s">
        <v>11</v>
      </c>
      <c r="F29">
        <v>342</v>
      </c>
      <c r="G29">
        <v>50.55</v>
      </c>
      <c r="H29">
        <v>5</v>
      </c>
      <c r="I29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0" spans="1:9">
      <c r="A30" s="1" t="s">
        <v>653</v>
      </c>
      <c r="B30" t="s">
        <v>680</v>
      </c>
      <c r="C30" t="s">
        <v>111</v>
      </c>
      <c r="D30">
        <v>6</v>
      </c>
      <c r="E30" t="s">
        <v>21</v>
      </c>
      <c r="F30">
        <v>77</v>
      </c>
      <c r="G30">
        <v>18.48</v>
      </c>
      <c r="H30">
        <v>2</v>
      </c>
      <c r="I30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1" spans="1:9">
      <c r="A31" s="1" t="s">
        <v>8</v>
      </c>
      <c r="B31" t="s">
        <v>42</v>
      </c>
      <c r="C31" t="s">
        <v>43</v>
      </c>
      <c r="D31">
        <v>7</v>
      </c>
      <c r="E31" t="s">
        <v>32</v>
      </c>
      <c r="F31">
        <v>206</v>
      </c>
      <c r="G31">
        <v>78.09</v>
      </c>
      <c r="H31">
        <v>3</v>
      </c>
      <c r="I31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2" spans="1:9">
      <c r="A32" s="1" t="s">
        <v>140</v>
      </c>
      <c r="B32" t="s">
        <v>151</v>
      </c>
      <c r="C32" t="s">
        <v>13</v>
      </c>
      <c r="D32">
        <v>7</v>
      </c>
      <c r="E32" t="s">
        <v>32</v>
      </c>
      <c r="F32">
        <v>303</v>
      </c>
      <c r="G32">
        <v>60.95</v>
      </c>
      <c r="H32">
        <v>0</v>
      </c>
      <c r="I32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3" spans="1:9">
      <c r="A33" s="1" t="s">
        <v>140</v>
      </c>
      <c r="B33" t="s">
        <v>162</v>
      </c>
      <c r="C33" t="s">
        <v>65</v>
      </c>
      <c r="D33">
        <v>7</v>
      </c>
      <c r="E33" t="s">
        <v>32</v>
      </c>
      <c r="F33">
        <v>317</v>
      </c>
      <c r="G33">
        <v>97.32</v>
      </c>
      <c r="H33">
        <v>1</v>
      </c>
      <c r="I33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4" spans="1:9">
      <c r="A34" s="1" t="s">
        <v>395</v>
      </c>
      <c r="B34" t="s">
        <v>407</v>
      </c>
      <c r="C34" t="s">
        <v>18</v>
      </c>
      <c r="D34">
        <v>7</v>
      </c>
      <c r="E34" t="s">
        <v>11</v>
      </c>
      <c r="F34">
        <v>347</v>
      </c>
      <c r="G34">
        <v>41.84</v>
      </c>
      <c r="H34">
        <v>2</v>
      </c>
      <c r="I34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5" spans="1:9">
      <c r="A35" s="1" t="s">
        <v>447</v>
      </c>
      <c r="B35" t="s">
        <v>471</v>
      </c>
      <c r="C35" t="s">
        <v>79</v>
      </c>
      <c r="D35">
        <v>7</v>
      </c>
      <c r="E35" t="s">
        <v>21</v>
      </c>
      <c r="F35">
        <v>94</v>
      </c>
      <c r="G35">
        <v>68.38</v>
      </c>
      <c r="H35">
        <v>3</v>
      </c>
      <c r="I35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6" spans="1:9">
      <c r="A36" s="1" t="s">
        <v>447</v>
      </c>
      <c r="B36" t="s">
        <v>494</v>
      </c>
      <c r="C36" t="s">
        <v>36</v>
      </c>
      <c r="D36">
        <v>7</v>
      </c>
      <c r="E36" t="s">
        <v>14</v>
      </c>
      <c r="F36">
        <v>233</v>
      </c>
      <c r="G36">
        <v>10.94</v>
      </c>
      <c r="H36">
        <v>0</v>
      </c>
      <c r="I36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7" spans="1:9">
      <c r="A37" s="1" t="s">
        <v>447</v>
      </c>
      <c r="B37" t="s">
        <v>496</v>
      </c>
      <c r="C37" t="s">
        <v>31</v>
      </c>
      <c r="D37">
        <v>7</v>
      </c>
      <c r="E37" t="s">
        <v>11</v>
      </c>
      <c r="F37">
        <v>268</v>
      </c>
      <c r="G37">
        <v>33.04</v>
      </c>
      <c r="H37">
        <v>5</v>
      </c>
      <c r="I37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8" spans="1:9">
      <c r="A38" s="1" t="s">
        <v>602</v>
      </c>
      <c r="B38" t="s">
        <v>611</v>
      </c>
      <c r="C38" t="s">
        <v>31</v>
      </c>
      <c r="D38">
        <v>7</v>
      </c>
      <c r="E38" t="s">
        <v>11</v>
      </c>
      <c r="F38">
        <v>323</v>
      </c>
      <c r="G38">
        <v>82.81</v>
      </c>
      <c r="H38">
        <v>5</v>
      </c>
      <c r="I38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9" spans="1:9">
      <c r="A39" s="1" t="s">
        <v>653</v>
      </c>
      <c r="B39" t="s">
        <v>678</v>
      </c>
      <c r="C39" t="s">
        <v>36</v>
      </c>
      <c r="D39">
        <v>7</v>
      </c>
      <c r="E39" t="s">
        <v>14</v>
      </c>
      <c r="F39">
        <v>43</v>
      </c>
      <c r="G39">
        <v>41.29</v>
      </c>
      <c r="H39">
        <v>4</v>
      </c>
      <c r="I39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0" spans="1:9">
      <c r="A40" s="1" t="s">
        <v>653</v>
      </c>
      <c r="B40" t="s">
        <v>696</v>
      </c>
      <c r="C40" t="s">
        <v>107</v>
      </c>
      <c r="D40">
        <v>7</v>
      </c>
      <c r="E40" t="s">
        <v>14</v>
      </c>
      <c r="F40">
        <v>257</v>
      </c>
      <c r="G40">
        <v>73.040000000000006</v>
      </c>
      <c r="H40">
        <v>3</v>
      </c>
      <c r="I40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1" spans="1:9">
      <c r="A41" s="1" t="s">
        <v>705</v>
      </c>
      <c r="B41" t="s">
        <v>745</v>
      </c>
      <c r="C41" t="s">
        <v>76</v>
      </c>
      <c r="D41">
        <v>7</v>
      </c>
      <c r="E41" t="s">
        <v>11</v>
      </c>
      <c r="F41">
        <v>447</v>
      </c>
      <c r="G41">
        <v>84.95</v>
      </c>
      <c r="H41">
        <v>2</v>
      </c>
      <c r="I41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2" spans="1:9">
      <c r="A42" s="1" t="s">
        <v>705</v>
      </c>
      <c r="B42" t="s">
        <v>755</v>
      </c>
      <c r="C42" t="s">
        <v>61</v>
      </c>
      <c r="D42">
        <v>7</v>
      </c>
      <c r="E42" t="s">
        <v>11</v>
      </c>
      <c r="F42">
        <v>332</v>
      </c>
      <c r="G42">
        <v>83.95</v>
      </c>
      <c r="H42">
        <v>4</v>
      </c>
      <c r="I42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3" spans="1:9">
      <c r="A43" s="1" t="s">
        <v>293</v>
      </c>
      <c r="B43" t="s">
        <v>304</v>
      </c>
      <c r="C43" t="s">
        <v>76</v>
      </c>
      <c r="D43">
        <v>8</v>
      </c>
      <c r="E43" t="s">
        <v>14</v>
      </c>
      <c r="F43">
        <v>120</v>
      </c>
      <c r="G43">
        <v>88.29</v>
      </c>
      <c r="H43">
        <v>5</v>
      </c>
      <c r="I43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4" spans="1:9">
      <c r="A44" s="1" t="s">
        <v>756</v>
      </c>
      <c r="B44" t="s">
        <v>786</v>
      </c>
      <c r="C44" t="s">
        <v>43</v>
      </c>
      <c r="D44">
        <v>8</v>
      </c>
      <c r="E44" t="s">
        <v>14</v>
      </c>
      <c r="F44">
        <v>171</v>
      </c>
      <c r="G44">
        <v>52.98</v>
      </c>
      <c r="H44">
        <v>0</v>
      </c>
      <c r="I44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5" spans="1:9">
      <c r="A45" s="1" t="s">
        <v>242</v>
      </c>
      <c r="B45" t="s">
        <v>283</v>
      </c>
      <c r="C45" t="s">
        <v>36</v>
      </c>
      <c r="D45">
        <v>9</v>
      </c>
      <c r="E45" t="s">
        <v>11</v>
      </c>
      <c r="F45">
        <v>255</v>
      </c>
      <c r="G45">
        <v>95.13</v>
      </c>
      <c r="H45">
        <v>1</v>
      </c>
      <c r="I45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6" spans="1:9">
      <c r="A46" s="1" t="s">
        <v>499</v>
      </c>
      <c r="B46" t="s">
        <v>548</v>
      </c>
      <c r="C46" t="s">
        <v>10</v>
      </c>
      <c r="D46">
        <v>9</v>
      </c>
      <c r="E46" t="s">
        <v>21</v>
      </c>
      <c r="F46">
        <v>227</v>
      </c>
      <c r="G46">
        <v>63.74</v>
      </c>
      <c r="H46">
        <v>3</v>
      </c>
      <c r="I46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7" spans="1:9">
      <c r="A47" s="1" t="s">
        <v>551</v>
      </c>
      <c r="B47" t="s">
        <v>557</v>
      </c>
      <c r="C47" t="s">
        <v>38</v>
      </c>
      <c r="D47">
        <v>9</v>
      </c>
      <c r="E47" t="s">
        <v>14</v>
      </c>
      <c r="F47">
        <v>11</v>
      </c>
      <c r="G47">
        <v>72.36</v>
      </c>
      <c r="H47">
        <v>2</v>
      </c>
      <c r="I47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8" spans="1:9">
      <c r="A48" s="1" t="s">
        <v>705</v>
      </c>
      <c r="B48" t="s">
        <v>750</v>
      </c>
      <c r="C48" t="s">
        <v>18</v>
      </c>
      <c r="D48">
        <v>9</v>
      </c>
      <c r="E48" t="s">
        <v>14</v>
      </c>
      <c r="F48">
        <v>27</v>
      </c>
      <c r="G48">
        <v>99.02</v>
      </c>
      <c r="H48">
        <v>3</v>
      </c>
      <c r="I48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9" spans="1:9">
      <c r="A49" s="1" t="s">
        <v>756</v>
      </c>
      <c r="B49" t="s">
        <v>780</v>
      </c>
      <c r="C49" t="s">
        <v>57</v>
      </c>
      <c r="D49">
        <v>9</v>
      </c>
      <c r="E49" t="s">
        <v>21</v>
      </c>
      <c r="F49">
        <v>102</v>
      </c>
      <c r="G49">
        <v>41.52</v>
      </c>
      <c r="H49">
        <v>0</v>
      </c>
      <c r="I49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0" spans="1:9">
      <c r="A50" s="1" t="s">
        <v>242</v>
      </c>
      <c r="B50" t="s">
        <v>282</v>
      </c>
      <c r="C50" t="s">
        <v>52</v>
      </c>
      <c r="D50">
        <v>10</v>
      </c>
      <c r="E50" t="s">
        <v>14</v>
      </c>
      <c r="F50">
        <v>165</v>
      </c>
      <c r="G50">
        <v>38.619999999999997</v>
      </c>
      <c r="H50">
        <v>2</v>
      </c>
      <c r="I50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1" spans="1:9">
      <c r="A51" s="1" t="s">
        <v>293</v>
      </c>
      <c r="B51" t="s">
        <v>315</v>
      </c>
      <c r="C51" t="s">
        <v>40</v>
      </c>
      <c r="D51">
        <v>10</v>
      </c>
      <c r="E51" t="s">
        <v>14</v>
      </c>
      <c r="F51">
        <v>93</v>
      </c>
      <c r="G51">
        <v>78.12</v>
      </c>
      <c r="H51">
        <v>4</v>
      </c>
      <c r="I51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2" spans="1:9">
      <c r="A52" s="1" t="s">
        <v>499</v>
      </c>
      <c r="B52" t="s">
        <v>515</v>
      </c>
      <c r="C52" t="s">
        <v>107</v>
      </c>
      <c r="D52">
        <v>10</v>
      </c>
      <c r="E52" t="s">
        <v>32</v>
      </c>
      <c r="F52">
        <v>425</v>
      </c>
      <c r="G52">
        <v>85.75</v>
      </c>
      <c r="H52">
        <v>0</v>
      </c>
      <c r="I52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3" spans="1:9">
      <c r="A53" s="1" t="s">
        <v>551</v>
      </c>
      <c r="B53" t="s">
        <v>600</v>
      </c>
      <c r="C53" t="s">
        <v>57</v>
      </c>
      <c r="D53">
        <v>10</v>
      </c>
      <c r="E53" t="s">
        <v>11</v>
      </c>
      <c r="F53">
        <v>129</v>
      </c>
      <c r="G53">
        <v>70.12</v>
      </c>
      <c r="H53">
        <v>0</v>
      </c>
      <c r="I53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4" spans="1:9">
      <c r="A54" s="1" t="s">
        <v>653</v>
      </c>
      <c r="B54" t="s">
        <v>686</v>
      </c>
      <c r="C54" t="s">
        <v>63</v>
      </c>
      <c r="D54">
        <v>10</v>
      </c>
      <c r="E54" t="s">
        <v>21</v>
      </c>
      <c r="F54">
        <v>260</v>
      </c>
      <c r="G54">
        <v>37.479999999999997</v>
      </c>
      <c r="H54">
        <v>2</v>
      </c>
      <c r="I54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5" spans="1:9">
      <c r="A55" s="1" t="s">
        <v>756</v>
      </c>
      <c r="B55" t="s">
        <v>805</v>
      </c>
      <c r="C55" t="s">
        <v>38</v>
      </c>
      <c r="D55">
        <v>10</v>
      </c>
      <c r="E55" t="s">
        <v>21</v>
      </c>
      <c r="F55">
        <v>418</v>
      </c>
      <c r="G55">
        <v>27.66</v>
      </c>
      <c r="H55">
        <v>2</v>
      </c>
      <c r="I55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6" spans="1:9">
      <c r="A56" s="1" t="s">
        <v>140</v>
      </c>
      <c r="B56" t="s">
        <v>163</v>
      </c>
      <c r="C56" t="s">
        <v>36</v>
      </c>
      <c r="D56">
        <v>11</v>
      </c>
      <c r="E56" t="s">
        <v>14</v>
      </c>
      <c r="F56">
        <v>215</v>
      </c>
      <c r="G56">
        <v>51.99</v>
      </c>
      <c r="H56">
        <v>1</v>
      </c>
      <c r="I56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7" spans="1:9">
      <c r="A57" s="1" t="s">
        <v>191</v>
      </c>
      <c r="B57" t="s">
        <v>226</v>
      </c>
      <c r="C57" t="s">
        <v>61</v>
      </c>
      <c r="D57">
        <v>11</v>
      </c>
      <c r="E57" t="s">
        <v>32</v>
      </c>
      <c r="F57">
        <v>191</v>
      </c>
      <c r="G57">
        <v>87.37</v>
      </c>
      <c r="H57">
        <v>3</v>
      </c>
      <c r="I57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8" spans="1:9">
      <c r="A58" s="1" t="s">
        <v>242</v>
      </c>
      <c r="B58" t="s">
        <v>248</v>
      </c>
      <c r="C58" t="s">
        <v>31</v>
      </c>
      <c r="D58">
        <v>11</v>
      </c>
      <c r="E58" t="s">
        <v>14</v>
      </c>
      <c r="F58">
        <v>52</v>
      </c>
      <c r="G58">
        <v>76.53</v>
      </c>
      <c r="H58">
        <v>5</v>
      </c>
      <c r="I58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9" spans="1:9">
      <c r="A59" s="1" t="s">
        <v>551</v>
      </c>
      <c r="B59" t="s">
        <v>580</v>
      </c>
      <c r="C59" t="s">
        <v>26</v>
      </c>
      <c r="D59">
        <v>11</v>
      </c>
      <c r="E59" t="s">
        <v>11</v>
      </c>
      <c r="F59">
        <v>214</v>
      </c>
      <c r="G59">
        <v>11.46</v>
      </c>
      <c r="H59">
        <v>5</v>
      </c>
      <c r="I59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60" spans="1:9">
      <c r="A60" s="1" t="s">
        <v>85</v>
      </c>
      <c r="B60" t="s">
        <v>118</v>
      </c>
      <c r="C60" t="s">
        <v>20</v>
      </c>
      <c r="D60">
        <v>12</v>
      </c>
      <c r="E60" t="s">
        <v>11</v>
      </c>
      <c r="F60">
        <v>305</v>
      </c>
      <c r="G60">
        <v>59.96</v>
      </c>
      <c r="H60">
        <v>3</v>
      </c>
      <c r="I60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61" spans="1:9">
      <c r="A61" s="1" t="s">
        <v>85</v>
      </c>
      <c r="B61" t="s">
        <v>129</v>
      </c>
      <c r="C61" t="s">
        <v>18</v>
      </c>
      <c r="D61">
        <v>12</v>
      </c>
      <c r="E61" t="s">
        <v>32</v>
      </c>
      <c r="F61">
        <v>208</v>
      </c>
      <c r="G61">
        <v>16.29</v>
      </c>
      <c r="H61">
        <v>4</v>
      </c>
      <c r="I61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62" spans="1:9">
      <c r="A62" s="1" t="s">
        <v>395</v>
      </c>
      <c r="B62" t="s">
        <v>401</v>
      </c>
      <c r="C62" t="s">
        <v>79</v>
      </c>
      <c r="D62">
        <v>12</v>
      </c>
      <c r="E62" t="s">
        <v>11</v>
      </c>
      <c r="F62">
        <v>125</v>
      </c>
      <c r="G62">
        <v>36.93</v>
      </c>
      <c r="H62">
        <v>0</v>
      </c>
      <c r="I62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63" spans="1:9">
      <c r="A63" s="1" t="s">
        <v>602</v>
      </c>
      <c r="B63" t="s">
        <v>604</v>
      </c>
      <c r="C63" t="s">
        <v>76</v>
      </c>
      <c r="D63">
        <v>12</v>
      </c>
      <c r="E63" t="s">
        <v>11</v>
      </c>
      <c r="F63">
        <v>42</v>
      </c>
      <c r="G63">
        <v>48.64</v>
      </c>
      <c r="H63">
        <v>0</v>
      </c>
      <c r="I63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64" spans="1:9">
      <c r="A64" s="1" t="s">
        <v>602</v>
      </c>
      <c r="B64" t="s">
        <v>606</v>
      </c>
      <c r="C64" t="s">
        <v>76</v>
      </c>
      <c r="D64">
        <v>12</v>
      </c>
      <c r="E64" t="s">
        <v>21</v>
      </c>
      <c r="F64">
        <v>112</v>
      </c>
      <c r="G64">
        <v>82.81</v>
      </c>
      <c r="H64">
        <v>0</v>
      </c>
      <c r="I64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65" spans="1:9">
      <c r="A65" s="1" t="s">
        <v>653</v>
      </c>
      <c r="B65" t="s">
        <v>693</v>
      </c>
      <c r="C65" t="s">
        <v>107</v>
      </c>
      <c r="D65">
        <v>12</v>
      </c>
      <c r="E65" t="s">
        <v>21</v>
      </c>
      <c r="F65">
        <v>235</v>
      </c>
      <c r="G65">
        <v>33.96</v>
      </c>
      <c r="H65">
        <v>4</v>
      </c>
      <c r="I65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66" spans="1:9">
      <c r="A66" s="1" t="s">
        <v>756</v>
      </c>
      <c r="B66" t="s">
        <v>792</v>
      </c>
      <c r="C66" t="s">
        <v>13</v>
      </c>
      <c r="D66">
        <v>12</v>
      </c>
      <c r="E66" t="s">
        <v>32</v>
      </c>
      <c r="F66">
        <v>138</v>
      </c>
      <c r="G66">
        <v>99.83</v>
      </c>
      <c r="H66">
        <v>1</v>
      </c>
      <c r="I66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67" spans="1:9">
      <c r="A67" s="1" t="s">
        <v>242</v>
      </c>
      <c r="B67" t="s">
        <v>260</v>
      </c>
      <c r="C67" t="s">
        <v>13</v>
      </c>
      <c r="D67">
        <v>13</v>
      </c>
      <c r="E67" t="s">
        <v>11</v>
      </c>
      <c r="F67">
        <v>347</v>
      </c>
      <c r="G67">
        <v>32.35</v>
      </c>
      <c r="H67">
        <v>2</v>
      </c>
      <c r="I67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68" spans="1:9">
      <c r="A68" s="1" t="s">
        <v>395</v>
      </c>
      <c r="B68" t="s">
        <v>425</v>
      </c>
      <c r="C68" t="s">
        <v>26</v>
      </c>
      <c r="D68">
        <v>13</v>
      </c>
      <c r="E68" t="s">
        <v>11</v>
      </c>
      <c r="F68">
        <v>173</v>
      </c>
      <c r="G68">
        <v>85.54</v>
      </c>
      <c r="H68">
        <v>3</v>
      </c>
      <c r="I68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69" spans="1:9">
      <c r="A69" s="1" t="s">
        <v>395</v>
      </c>
      <c r="B69" t="s">
        <v>443</v>
      </c>
      <c r="C69" t="s">
        <v>13</v>
      </c>
      <c r="D69">
        <v>13</v>
      </c>
      <c r="E69" t="s">
        <v>14</v>
      </c>
      <c r="F69">
        <v>180</v>
      </c>
      <c r="G69">
        <v>24.01</v>
      </c>
      <c r="H69">
        <v>0</v>
      </c>
      <c r="I69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70" spans="1:9">
      <c r="A70" s="1" t="s">
        <v>447</v>
      </c>
      <c r="B70" t="s">
        <v>474</v>
      </c>
      <c r="C70" t="s">
        <v>107</v>
      </c>
      <c r="D70">
        <v>13</v>
      </c>
      <c r="E70" t="s">
        <v>21</v>
      </c>
      <c r="F70">
        <v>482</v>
      </c>
      <c r="G70">
        <v>50.15</v>
      </c>
      <c r="H70">
        <v>0</v>
      </c>
      <c r="I70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71" spans="1:9">
      <c r="A71" s="1" t="s">
        <v>447</v>
      </c>
      <c r="B71" t="s">
        <v>477</v>
      </c>
      <c r="C71" t="s">
        <v>79</v>
      </c>
      <c r="D71">
        <v>13</v>
      </c>
      <c r="E71" t="s">
        <v>11</v>
      </c>
      <c r="F71">
        <v>87</v>
      </c>
      <c r="G71">
        <v>66.36</v>
      </c>
      <c r="H71">
        <v>0</v>
      </c>
      <c r="I71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72" spans="1:9">
      <c r="A72" s="1" t="s">
        <v>602</v>
      </c>
      <c r="B72" t="s">
        <v>641</v>
      </c>
      <c r="C72" t="s">
        <v>29</v>
      </c>
      <c r="D72">
        <v>13</v>
      </c>
      <c r="E72" t="s">
        <v>11</v>
      </c>
      <c r="F72">
        <v>474</v>
      </c>
      <c r="G72">
        <v>63.67</v>
      </c>
      <c r="H72">
        <v>2</v>
      </c>
      <c r="I72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73" spans="1:9">
      <c r="A73" s="1" t="s">
        <v>8</v>
      </c>
      <c r="B73" t="s">
        <v>15</v>
      </c>
      <c r="C73" t="s">
        <v>16</v>
      </c>
      <c r="D73">
        <v>14</v>
      </c>
      <c r="E73" t="s">
        <v>14</v>
      </c>
      <c r="F73">
        <v>415</v>
      </c>
      <c r="G73">
        <v>36.93</v>
      </c>
      <c r="H73">
        <v>5</v>
      </c>
      <c r="I73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74" spans="1:9">
      <c r="A74" s="1" t="s">
        <v>8</v>
      </c>
      <c r="B74" t="s">
        <v>47</v>
      </c>
      <c r="C74" t="s">
        <v>40</v>
      </c>
      <c r="D74">
        <v>14</v>
      </c>
      <c r="E74" t="s">
        <v>11</v>
      </c>
      <c r="F74">
        <v>101</v>
      </c>
      <c r="G74">
        <v>43.99</v>
      </c>
      <c r="H74">
        <v>1</v>
      </c>
      <c r="I74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75" spans="1:9">
      <c r="A75" s="1" t="s">
        <v>8</v>
      </c>
      <c r="B75" t="s">
        <v>62</v>
      </c>
      <c r="C75" t="s">
        <v>63</v>
      </c>
      <c r="D75">
        <v>14</v>
      </c>
      <c r="E75" t="s">
        <v>11</v>
      </c>
      <c r="F75">
        <v>316</v>
      </c>
      <c r="G75">
        <v>62.34</v>
      </c>
      <c r="H75">
        <v>4</v>
      </c>
      <c r="I75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76" spans="1:9">
      <c r="A76" s="1" t="s">
        <v>8</v>
      </c>
      <c r="B76" t="s">
        <v>81</v>
      </c>
      <c r="C76" t="s">
        <v>13</v>
      </c>
      <c r="D76">
        <v>14</v>
      </c>
      <c r="E76" t="s">
        <v>32</v>
      </c>
      <c r="F76">
        <v>75</v>
      </c>
      <c r="G76">
        <v>55.67</v>
      </c>
      <c r="H76">
        <v>3</v>
      </c>
      <c r="I76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77" spans="1:9">
      <c r="A77" s="1" t="s">
        <v>344</v>
      </c>
      <c r="B77" t="s">
        <v>394</v>
      </c>
      <c r="C77" t="s">
        <v>107</v>
      </c>
      <c r="D77">
        <v>14</v>
      </c>
      <c r="E77" t="s">
        <v>11</v>
      </c>
      <c r="F77">
        <v>303</v>
      </c>
      <c r="G77">
        <v>61.43</v>
      </c>
      <c r="H77">
        <v>1</v>
      </c>
      <c r="I77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78" spans="1:9">
      <c r="A78" s="1" t="s">
        <v>395</v>
      </c>
      <c r="B78" t="s">
        <v>411</v>
      </c>
      <c r="C78" t="s">
        <v>36</v>
      </c>
      <c r="D78">
        <v>14</v>
      </c>
      <c r="E78" t="s">
        <v>11</v>
      </c>
      <c r="F78">
        <v>345</v>
      </c>
      <c r="G78">
        <v>39.57</v>
      </c>
      <c r="H78">
        <v>3</v>
      </c>
      <c r="I78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79" spans="1:9">
      <c r="A79" s="1" t="s">
        <v>499</v>
      </c>
      <c r="B79" t="s">
        <v>516</v>
      </c>
      <c r="C79" t="s">
        <v>65</v>
      </c>
      <c r="D79">
        <v>14</v>
      </c>
      <c r="E79" t="s">
        <v>21</v>
      </c>
      <c r="F79">
        <v>304</v>
      </c>
      <c r="G79">
        <v>48.13</v>
      </c>
      <c r="H79">
        <v>2</v>
      </c>
      <c r="I79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80" spans="1:9">
      <c r="A80" s="1" t="s">
        <v>653</v>
      </c>
      <c r="B80" t="s">
        <v>675</v>
      </c>
      <c r="C80" t="s">
        <v>65</v>
      </c>
      <c r="D80">
        <v>14</v>
      </c>
      <c r="E80" t="s">
        <v>11</v>
      </c>
      <c r="F80">
        <v>236</v>
      </c>
      <c r="G80">
        <v>54.43</v>
      </c>
      <c r="H80">
        <v>3</v>
      </c>
      <c r="I80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81" spans="1:9">
      <c r="A81" s="1" t="s">
        <v>8</v>
      </c>
      <c r="B81" t="s">
        <v>77</v>
      </c>
      <c r="C81" t="s">
        <v>31</v>
      </c>
      <c r="D81">
        <v>15</v>
      </c>
      <c r="E81" t="s">
        <v>11</v>
      </c>
      <c r="F81">
        <v>403</v>
      </c>
      <c r="G81">
        <v>77.12</v>
      </c>
      <c r="H81">
        <v>1</v>
      </c>
      <c r="I81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82" spans="1:9">
      <c r="A82" s="1" t="s">
        <v>242</v>
      </c>
      <c r="B82" t="s">
        <v>268</v>
      </c>
      <c r="C82" t="s">
        <v>24</v>
      </c>
      <c r="D82">
        <v>15</v>
      </c>
      <c r="E82" t="s">
        <v>14</v>
      </c>
      <c r="F82">
        <v>319</v>
      </c>
      <c r="G82">
        <v>78.150000000000006</v>
      </c>
      <c r="H82">
        <v>4</v>
      </c>
      <c r="I82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83" spans="1:9">
      <c r="A83" s="1" t="s">
        <v>447</v>
      </c>
      <c r="B83" t="s">
        <v>449</v>
      </c>
      <c r="C83" t="s">
        <v>45</v>
      </c>
      <c r="D83">
        <v>15</v>
      </c>
      <c r="E83" t="s">
        <v>32</v>
      </c>
      <c r="F83">
        <v>75</v>
      </c>
      <c r="G83">
        <v>45.59</v>
      </c>
      <c r="H83">
        <v>0</v>
      </c>
      <c r="I83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84" spans="1:9">
      <c r="A84" s="1" t="s">
        <v>499</v>
      </c>
      <c r="B84" t="s">
        <v>503</v>
      </c>
      <c r="C84" t="s">
        <v>71</v>
      </c>
      <c r="D84">
        <v>15</v>
      </c>
      <c r="E84" t="s">
        <v>14</v>
      </c>
      <c r="F84">
        <v>400</v>
      </c>
      <c r="G84">
        <v>78.09</v>
      </c>
      <c r="H84">
        <v>0</v>
      </c>
      <c r="I84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85" spans="1:9">
      <c r="A85" s="1" t="s">
        <v>653</v>
      </c>
      <c r="B85" t="s">
        <v>668</v>
      </c>
      <c r="C85" t="s">
        <v>20</v>
      </c>
      <c r="D85">
        <v>15</v>
      </c>
      <c r="E85" t="s">
        <v>11</v>
      </c>
      <c r="F85">
        <v>203</v>
      </c>
      <c r="G85">
        <v>55.29</v>
      </c>
      <c r="H85">
        <v>2</v>
      </c>
      <c r="I85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86" spans="1:9">
      <c r="A86" s="1" t="s">
        <v>8</v>
      </c>
      <c r="B86" t="s">
        <v>59</v>
      </c>
      <c r="C86" t="s">
        <v>52</v>
      </c>
      <c r="D86">
        <v>16</v>
      </c>
      <c r="E86" t="s">
        <v>14</v>
      </c>
      <c r="F86">
        <v>43</v>
      </c>
      <c r="G86">
        <v>56.48</v>
      </c>
      <c r="H86">
        <v>0</v>
      </c>
      <c r="I86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87" spans="1:9">
      <c r="A87" s="1" t="s">
        <v>85</v>
      </c>
      <c r="B87" t="s">
        <v>106</v>
      </c>
      <c r="C87" t="s">
        <v>107</v>
      </c>
      <c r="D87">
        <v>16</v>
      </c>
      <c r="E87" t="s">
        <v>14</v>
      </c>
      <c r="F87">
        <v>390</v>
      </c>
      <c r="G87">
        <v>98.17</v>
      </c>
      <c r="H87">
        <v>5</v>
      </c>
      <c r="I87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88" spans="1:9">
      <c r="A88" s="1" t="s">
        <v>140</v>
      </c>
      <c r="B88" t="s">
        <v>186</v>
      </c>
      <c r="C88" t="s">
        <v>61</v>
      </c>
      <c r="D88">
        <v>16</v>
      </c>
      <c r="E88" t="s">
        <v>14</v>
      </c>
      <c r="F88">
        <v>13</v>
      </c>
      <c r="G88">
        <v>14.91</v>
      </c>
      <c r="H88">
        <v>1</v>
      </c>
      <c r="I88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89" spans="1:9">
      <c r="A89" s="1" t="s">
        <v>293</v>
      </c>
      <c r="B89" t="s">
        <v>296</v>
      </c>
      <c r="C89" t="s">
        <v>52</v>
      </c>
      <c r="D89">
        <v>16</v>
      </c>
      <c r="E89" t="s">
        <v>14</v>
      </c>
      <c r="F89">
        <v>461</v>
      </c>
      <c r="G89">
        <v>38.369999999999997</v>
      </c>
      <c r="H89">
        <v>4</v>
      </c>
      <c r="I89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90" spans="1:9">
      <c r="A90" s="1" t="s">
        <v>395</v>
      </c>
      <c r="B90" t="s">
        <v>417</v>
      </c>
      <c r="C90" t="s">
        <v>38</v>
      </c>
      <c r="D90">
        <v>16</v>
      </c>
      <c r="E90" t="s">
        <v>32</v>
      </c>
      <c r="F90">
        <v>391</v>
      </c>
      <c r="G90">
        <v>90.12</v>
      </c>
      <c r="H90">
        <v>5</v>
      </c>
      <c r="I90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91" spans="1:9">
      <c r="A91" s="1" t="s">
        <v>551</v>
      </c>
      <c r="B91" t="s">
        <v>560</v>
      </c>
      <c r="C91" t="s">
        <v>111</v>
      </c>
      <c r="D91">
        <v>16</v>
      </c>
      <c r="E91" t="s">
        <v>11</v>
      </c>
      <c r="F91">
        <v>214</v>
      </c>
      <c r="G91">
        <v>46.57</v>
      </c>
      <c r="H91">
        <v>5</v>
      </c>
      <c r="I91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92" spans="1:9">
      <c r="A92" s="1" t="s">
        <v>602</v>
      </c>
      <c r="B92" t="s">
        <v>622</v>
      </c>
      <c r="C92" t="s">
        <v>40</v>
      </c>
      <c r="D92">
        <v>16</v>
      </c>
      <c r="E92" t="s">
        <v>32</v>
      </c>
      <c r="F92">
        <v>274</v>
      </c>
      <c r="G92">
        <v>27.97</v>
      </c>
      <c r="H92">
        <v>4</v>
      </c>
      <c r="I92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93" spans="1:9">
      <c r="A93" s="1" t="s">
        <v>653</v>
      </c>
      <c r="B93" t="s">
        <v>676</v>
      </c>
      <c r="C93" t="s">
        <v>18</v>
      </c>
      <c r="D93">
        <v>16</v>
      </c>
      <c r="E93" t="s">
        <v>32</v>
      </c>
      <c r="F93">
        <v>96</v>
      </c>
      <c r="G93">
        <v>86.78</v>
      </c>
      <c r="H93">
        <v>1</v>
      </c>
      <c r="I93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94" spans="1:9">
      <c r="A94" s="1" t="s">
        <v>705</v>
      </c>
      <c r="B94" t="s">
        <v>721</v>
      </c>
      <c r="C94" t="s">
        <v>20</v>
      </c>
      <c r="D94">
        <v>16</v>
      </c>
      <c r="E94" t="s">
        <v>21</v>
      </c>
      <c r="F94">
        <v>390</v>
      </c>
      <c r="G94">
        <v>52.64</v>
      </c>
      <c r="H94">
        <v>0</v>
      </c>
      <c r="I94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95" spans="1:9">
      <c r="A95" s="1" t="s">
        <v>344</v>
      </c>
      <c r="B95" t="s">
        <v>358</v>
      </c>
      <c r="C95" t="s">
        <v>76</v>
      </c>
      <c r="D95">
        <v>17</v>
      </c>
      <c r="E95" t="s">
        <v>21</v>
      </c>
      <c r="F95">
        <v>483</v>
      </c>
      <c r="G95">
        <v>77.08</v>
      </c>
      <c r="H95">
        <v>0</v>
      </c>
      <c r="I95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96" spans="1:9">
      <c r="A96" s="1" t="s">
        <v>551</v>
      </c>
      <c r="B96" t="s">
        <v>585</v>
      </c>
      <c r="C96" t="s">
        <v>40</v>
      </c>
      <c r="D96">
        <v>17</v>
      </c>
      <c r="E96" t="s">
        <v>11</v>
      </c>
      <c r="F96">
        <v>175</v>
      </c>
      <c r="G96">
        <v>24.95</v>
      </c>
      <c r="H96">
        <v>4</v>
      </c>
      <c r="I96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97" spans="1:9">
      <c r="A97" s="1" t="s">
        <v>602</v>
      </c>
      <c r="B97" t="s">
        <v>603</v>
      </c>
      <c r="C97" t="s">
        <v>95</v>
      </c>
      <c r="D97">
        <v>17</v>
      </c>
      <c r="E97" t="s">
        <v>32</v>
      </c>
      <c r="F97">
        <v>499</v>
      </c>
      <c r="G97">
        <v>27.81</v>
      </c>
      <c r="H97">
        <v>2</v>
      </c>
      <c r="I97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98" spans="1:9">
      <c r="A98" s="1" t="s">
        <v>602</v>
      </c>
      <c r="B98" t="s">
        <v>613</v>
      </c>
      <c r="C98" t="s">
        <v>79</v>
      </c>
      <c r="D98">
        <v>17</v>
      </c>
      <c r="E98" t="s">
        <v>21</v>
      </c>
      <c r="F98">
        <v>310</v>
      </c>
      <c r="G98">
        <v>19.68</v>
      </c>
      <c r="H98">
        <v>5</v>
      </c>
      <c r="I98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99" spans="1:9">
      <c r="A99" s="1" t="s">
        <v>653</v>
      </c>
      <c r="B99" t="s">
        <v>703</v>
      </c>
      <c r="C99" t="s">
        <v>65</v>
      </c>
      <c r="D99">
        <v>17</v>
      </c>
      <c r="E99" t="s">
        <v>11</v>
      </c>
      <c r="F99">
        <v>206</v>
      </c>
      <c r="G99">
        <v>63.46</v>
      </c>
      <c r="H99">
        <v>3</v>
      </c>
      <c r="I99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00" spans="1:9">
      <c r="A100" s="1" t="s">
        <v>191</v>
      </c>
      <c r="B100" t="s">
        <v>216</v>
      </c>
      <c r="C100" t="s">
        <v>107</v>
      </c>
      <c r="D100">
        <v>18</v>
      </c>
      <c r="E100" t="s">
        <v>11</v>
      </c>
      <c r="F100">
        <v>71</v>
      </c>
      <c r="G100">
        <v>46.98</v>
      </c>
      <c r="H100">
        <v>2</v>
      </c>
      <c r="I100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01" spans="1:9">
      <c r="A101" s="1" t="s">
        <v>242</v>
      </c>
      <c r="B101" t="s">
        <v>251</v>
      </c>
      <c r="C101" t="s">
        <v>57</v>
      </c>
      <c r="D101">
        <v>18</v>
      </c>
      <c r="E101" t="s">
        <v>21</v>
      </c>
      <c r="F101">
        <v>34</v>
      </c>
      <c r="G101">
        <v>43.71</v>
      </c>
      <c r="H101">
        <v>1</v>
      </c>
      <c r="I101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02" spans="1:9">
      <c r="A102" s="1" t="s">
        <v>242</v>
      </c>
      <c r="B102" t="s">
        <v>258</v>
      </c>
      <c r="C102" t="s">
        <v>20</v>
      </c>
      <c r="D102">
        <v>18</v>
      </c>
      <c r="E102" t="s">
        <v>14</v>
      </c>
      <c r="F102">
        <v>291</v>
      </c>
      <c r="G102">
        <v>97.98</v>
      </c>
      <c r="H102">
        <v>1</v>
      </c>
      <c r="I102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03" spans="1:9">
      <c r="A103" s="1" t="s">
        <v>653</v>
      </c>
      <c r="B103" t="s">
        <v>654</v>
      </c>
      <c r="C103" t="s">
        <v>18</v>
      </c>
      <c r="D103">
        <v>18</v>
      </c>
      <c r="E103" t="s">
        <v>11</v>
      </c>
      <c r="F103">
        <v>216</v>
      </c>
      <c r="G103">
        <v>33.74</v>
      </c>
      <c r="H103">
        <v>5</v>
      </c>
      <c r="I103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04" spans="1:9">
      <c r="A104" s="1" t="s">
        <v>653</v>
      </c>
      <c r="B104" t="s">
        <v>690</v>
      </c>
      <c r="C104" t="s">
        <v>29</v>
      </c>
      <c r="D104">
        <v>18</v>
      </c>
      <c r="E104" t="s">
        <v>11</v>
      </c>
      <c r="F104">
        <v>75</v>
      </c>
      <c r="G104">
        <v>57.66</v>
      </c>
      <c r="H104">
        <v>1</v>
      </c>
      <c r="I104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05" spans="1:9">
      <c r="A105" s="1" t="s">
        <v>705</v>
      </c>
      <c r="B105" t="s">
        <v>743</v>
      </c>
      <c r="C105" t="s">
        <v>76</v>
      </c>
      <c r="D105">
        <v>18</v>
      </c>
      <c r="E105" t="s">
        <v>21</v>
      </c>
      <c r="F105">
        <v>170</v>
      </c>
      <c r="G105">
        <v>87.34</v>
      </c>
      <c r="H105">
        <v>1</v>
      </c>
      <c r="I105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06" spans="1:9">
      <c r="A106" s="1" t="s">
        <v>756</v>
      </c>
      <c r="B106" t="s">
        <v>771</v>
      </c>
      <c r="C106" t="s">
        <v>26</v>
      </c>
      <c r="D106">
        <v>18</v>
      </c>
      <c r="E106" t="s">
        <v>14</v>
      </c>
      <c r="F106">
        <v>463</v>
      </c>
      <c r="G106">
        <v>41.66</v>
      </c>
      <c r="H106">
        <v>4</v>
      </c>
      <c r="I106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07" spans="1:9">
      <c r="A107" s="1" t="s">
        <v>344</v>
      </c>
      <c r="B107" t="s">
        <v>347</v>
      </c>
      <c r="C107" t="s">
        <v>76</v>
      </c>
      <c r="D107">
        <v>19</v>
      </c>
      <c r="E107" t="s">
        <v>14</v>
      </c>
      <c r="F107">
        <v>305</v>
      </c>
      <c r="G107">
        <v>81.11</v>
      </c>
      <c r="H107">
        <v>1</v>
      </c>
      <c r="I107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08" spans="1:9">
      <c r="A108" s="1" t="s">
        <v>344</v>
      </c>
      <c r="B108" t="s">
        <v>348</v>
      </c>
      <c r="C108" t="s">
        <v>31</v>
      </c>
      <c r="D108">
        <v>19</v>
      </c>
      <c r="E108" t="s">
        <v>21</v>
      </c>
      <c r="F108">
        <v>334</v>
      </c>
      <c r="G108">
        <v>96.91</v>
      </c>
      <c r="H108">
        <v>1</v>
      </c>
      <c r="I108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09" spans="1:9">
      <c r="A109" s="1" t="s">
        <v>344</v>
      </c>
      <c r="B109" t="s">
        <v>390</v>
      </c>
      <c r="C109" t="s">
        <v>24</v>
      </c>
      <c r="D109">
        <v>19</v>
      </c>
      <c r="E109" t="s">
        <v>14</v>
      </c>
      <c r="F109">
        <v>125</v>
      </c>
      <c r="G109">
        <v>11.78</v>
      </c>
      <c r="H109">
        <v>4</v>
      </c>
      <c r="I109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10" spans="1:9">
      <c r="A110" s="1" t="s">
        <v>395</v>
      </c>
      <c r="B110" t="s">
        <v>410</v>
      </c>
      <c r="C110" t="s">
        <v>26</v>
      </c>
      <c r="D110">
        <v>19</v>
      </c>
      <c r="E110" t="s">
        <v>21</v>
      </c>
      <c r="F110">
        <v>450</v>
      </c>
      <c r="G110">
        <v>37.43</v>
      </c>
      <c r="H110">
        <v>2</v>
      </c>
      <c r="I110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11" spans="1:9">
      <c r="A111" s="1" t="s">
        <v>499</v>
      </c>
      <c r="B111" t="s">
        <v>531</v>
      </c>
      <c r="C111" t="s">
        <v>20</v>
      </c>
      <c r="D111">
        <v>19</v>
      </c>
      <c r="E111" t="s">
        <v>32</v>
      </c>
      <c r="F111">
        <v>270</v>
      </c>
      <c r="G111">
        <v>19.760000000000002</v>
      </c>
      <c r="H111">
        <v>3</v>
      </c>
      <c r="I111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12" spans="1:9">
      <c r="A112" s="1" t="s">
        <v>653</v>
      </c>
      <c r="B112" t="s">
        <v>704</v>
      </c>
      <c r="C112" t="s">
        <v>65</v>
      </c>
      <c r="D112">
        <v>19</v>
      </c>
      <c r="E112" t="s">
        <v>14</v>
      </c>
      <c r="F112">
        <v>141</v>
      </c>
      <c r="G112">
        <v>53.95</v>
      </c>
      <c r="H112">
        <v>1</v>
      </c>
      <c r="I112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13" spans="1:9">
      <c r="A113" s="1" t="s">
        <v>705</v>
      </c>
      <c r="B113" t="s">
        <v>709</v>
      </c>
      <c r="C113" t="s">
        <v>16</v>
      </c>
      <c r="D113">
        <v>19</v>
      </c>
      <c r="E113" t="s">
        <v>14</v>
      </c>
      <c r="F113">
        <v>345</v>
      </c>
      <c r="G113">
        <v>54.37</v>
      </c>
      <c r="H113">
        <v>2</v>
      </c>
      <c r="I113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14" spans="1:9">
      <c r="A114" s="1" t="s">
        <v>85</v>
      </c>
      <c r="B114" t="s">
        <v>89</v>
      </c>
      <c r="C114" t="s">
        <v>71</v>
      </c>
      <c r="D114">
        <v>20</v>
      </c>
      <c r="E114" t="s">
        <v>14</v>
      </c>
      <c r="F114">
        <v>26</v>
      </c>
      <c r="G114">
        <v>25.14</v>
      </c>
      <c r="H114">
        <v>0</v>
      </c>
      <c r="I114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15" spans="1:9">
      <c r="A115" s="1" t="s">
        <v>499</v>
      </c>
      <c r="B115" t="s">
        <v>508</v>
      </c>
      <c r="C115" t="s">
        <v>13</v>
      </c>
      <c r="D115">
        <v>20</v>
      </c>
      <c r="E115" t="s">
        <v>11</v>
      </c>
      <c r="F115">
        <v>93</v>
      </c>
      <c r="G115">
        <v>84.45</v>
      </c>
      <c r="H115">
        <v>0</v>
      </c>
      <c r="I115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16" spans="1:9">
      <c r="A116" s="1" t="s">
        <v>705</v>
      </c>
      <c r="B116" t="s">
        <v>719</v>
      </c>
      <c r="C116" t="s">
        <v>29</v>
      </c>
      <c r="D116">
        <v>20</v>
      </c>
      <c r="E116" t="s">
        <v>11</v>
      </c>
      <c r="F116">
        <v>31</v>
      </c>
      <c r="G116">
        <v>52.85</v>
      </c>
      <c r="H116">
        <v>2</v>
      </c>
      <c r="I116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17" spans="1:9">
      <c r="A117" s="1" t="s">
        <v>705</v>
      </c>
      <c r="B117" t="s">
        <v>732</v>
      </c>
      <c r="C117" t="s">
        <v>36</v>
      </c>
      <c r="D117">
        <v>20</v>
      </c>
      <c r="E117" t="s">
        <v>14</v>
      </c>
      <c r="F117">
        <v>297</v>
      </c>
      <c r="G117">
        <v>14.77</v>
      </c>
      <c r="H117">
        <v>0</v>
      </c>
      <c r="I117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18" spans="1:9">
      <c r="A118" s="1" t="s">
        <v>8</v>
      </c>
      <c r="B118" t="s">
        <v>73</v>
      </c>
      <c r="C118" t="s">
        <v>63</v>
      </c>
      <c r="D118">
        <v>21</v>
      </c>
      <c r="E118" t="s">
        <v>32</v>
      </c>
      <c r="F118">
        <v>371</v>
      </c>
      <c r="G118">
        <v>48.31</v>
      </c>
      <c r="H118">
        <v>0</v>
      </c>
      <c r="I118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19" spans="1:9">
      <c r="A119" s="1" t="s">
        <v>191</v>
      </c>
      <c r="B119" t="s">
        <v>215</v>
      </c>
      <c r="C119" t="s">
        <v>43</v>
      </c>
      <c r="D119">
        <v>21</v>
      </c>
      <c r="E119" t="s">
        <v>21</v>
      </c>
      <c r="F119">
        <v>107</v>
      </c>
      <c r="G119">
        <v>30.97</v>
      </c>
      <c r="H119">
        <v>4</v>
      </c>
      <c r="I119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20" spans="1:9">
      <c r="A120" s="1" t="s">
        <v>242</v>
      </c>
      <c r="B120" t="s">
        <v>256</v>
      </c>
      <c r="C120" t="s">
        <v>111</v>
      </c>
      <c r="D120">
        <v>21</v>
      </c>
      <c r="E120" t="s">
        <v>14</v>
      </c>
      <c r="F120">
        <v>307</v>
      </c>
      <c r="G120">
        <v>39.81</v>
      </c>
      <c r="H120">
        <v>5</v>
      </c>
      <c r="I120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21" spans="1:9">
      <c r="A121" s="1" t="s">
        <v>293</v>
      </c>
      <c r="B121" t="s">
        <v>331</v>
      </c>
      <c r="C121" t="s">
        <v>10</v>
      </c>
      <c r="D121">
        <v>21</v>
      </c>
      <c r="E121" t="s">
        <v>11</v>
      </c>
      <c r="F121">
        <v>320</v>
      </c>
      <c r="G121">
        <v>64.97</v>
      </c>
      <c r="H121">
        <v>1</v>
      </c>
      <c r="I121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22" spans="1:9">
      <c r="A122" s="1" t="s">
        <v>551</v>
      </c>
      <c r="B122" t="s">
        <v>584</v>
      </c>
      <c r="C122" t="s">
        <v>111</v>
      </c>
      <c r="D122">
        <v>21</v>
      </c>
      <c r="E122" t="s">
        <v>21</v>
      </c>
      <c r="F122">
        <v>444</v>
      </c>
      <c r="G122">
        <v>41.92</v>
      </c>
      <c r="H122">
        <v>3</v>
      </c>
      <c r="I122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23" spans="1:9">
      <c r="A123" s="1" t="s">
        <v>602</v>
      </c>
      <c r="B123" t="s">
        <v>625</v>
      </c>
      <c r="C123" t="s">
        <v>40</v>
      </c>
      <c r="D123">
        <v>21</v>
      </c>
      <c r="E123" t="s">
        <v>14</v>
      </c>
      <c r="F123">
        <v>267</v>
      </c>
      <c r="G123">
        <v>74.989999999999995</v>
      </c>
      <c r="H123">
        <v>1</v>
      </c>
      <c r="I123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24" spans="1:9">
      <c r="A124" s="1" t="s">
        <v>602</v>
      </c>
      <c r="B124" t="s">
        <v>632</v>
      </c>
      <c r="C124" t="s">
        <v>61</v>
      </c>
      <c r="D124">
        <v>21</v>
      </c>
      <c r="E124" t="s">
        <v>14</v>
      </c>
      <c r="F124">
        <v>15</v>
      </c>
      <c r="G124">
        <v>57.74</v>
      </c>
      <c r="H124">
        <v>0</v>
      </c>
      <c r="I124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25" spans="1:9">
      <c r="A125" s="1" t="s">
        <v>705</v>
      </c>
      <c r="B125" t="s">
        <v>748</v>
      </c>
      <c r="C125" t="s">
        <v>26</v>
      </c>
      <c r="D125">
        <v>21</v>
      </c>
      <c r="E125" t="s">
        <v>21</v>
      </c>
      <c r="F125">
        <v>460</v>
      </c>
      <c r="G125">
        <v>70.81</v>
      </c>
      <c r="H125">
        <v>2</v>
      </c>
      <c r="I125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26" spans="1:9">
      <c r="A126" s="1" t="s">
        <v>756</v>
      </c>
      <c r="B126" t="s">
        <v>763</v>
      </c>
      <c r="C126" t="s">
        <v>24</v>
      </c>
      <c r="D126">
        <v>21</v>
      </c>
      <c r="E126" t="s">
        <v>14</v>
      </c>
      <c r="F126">
        <v>475</v>
      </c>
      <c r="G126">
        <v>15.12</v>
      </c>
      <c r="H126">
        <v>2</v>
      </c>
      <c r="I126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27" spans="1:9">
      <c r="A127" s="1" t="s">
        <v>8</v>
      </c>
      <c r="B127" t="s">
        <v>25</v>
      </c>
      <c r="C127" t="s">
        <v>26</v>
      </c>
      <c r="D127">
        <v>22</v>
      </c>
      <c r="E127" t="s">
        <v>21</v>
      </c>
      <c r="F127">
        <v>451</v>
      </c>
      <c r="G127">
        <v>76.38</v>
      </c>
      <c r="H127">
        <v>3</v>
      </c>
      <c r="I127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28" spans="1:9">
      <c r="A128" s="1" t="s">
        <v>85</v>
      </c>
      <c r="B128" t="s">
        <v>125</v>
      </c>
      <c r="C128" t="s">
        <v>20</v>
      </c>
      <c r="D128">
        <v>22</v>
      </c>
      <c r="E128" t="s">
        <v>21</v>
      </c>
      <c r="F128">
        <v>119</v>
      </c>
      <c r="G128">
        <v>72.86</v>
      </c>
      <c r="H128">
        <v>3</v>
      </c>
      <c r="I128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29" spans="1:9">
      <c r="A129" s="1" t="s">
        <v>395</v>
      </c>
      <c r="B129" t="s">
        <v>438</v>
      </c>
      <c r="C129" t="s">
        <v>63</v>
      </c>
      <c r="D129">
        <v>22</v>
      </c>
      <c r="E129" t="s">
        <v>11</v>
      </c>
      <c r="F129">
        <v>127</v>
      </c>
      <c r="G129">
        <v>49.06</v>
      </c>
      <c r="H129">
        <v>2</v>
      </c>
      <c r="I129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30" spans="1:9">
      <c r="A130" s="1" t="s">
        <v>653</v>
      </c>
      <c r="B130" t="s">
        <v>658</v>
      </c>
      <c r="C130" t="s">
        <v>71</v>
      </c>
      <c r="D130">
        <v>22</v>
      </c>
      <c r="E130" t="s">
        <v>11</v>
      </c>
      <c r="F130">
        <v>457</v>
      </c>
      <c r="G130">
        <v>13.21</v>
      </c>
      <c r="H130">
        <v>1</v>
      </c>
      <c r="I130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31" spans="1:9">
      <c r="A131" s="1" t="s">
        <v>653</v>
      </c>
      <c r="B131" t="s">
        <v>695</v>
      </c>
      <c r="C131" t="s">
        <v>43</v>
      </c>
      <c r="D131">
        <v>22</v>
      </c>
      <c r="E131" t="s">
        <v>11</v>
      </c>
      <c r="F131">
        <v>374</v>
      </c>
      <c r="G131">
        <v>40.06</v>
      </c>
      <c r="H131">
        <v>5</v>
      </c>
      <c r="I131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32" spans="1:9">
      <c r="A132" s="1" t="s">
        <v>242</v>
      </c>
      <c r="B132" t="s">
        <v>287</v>
      </c>
      <c r="C132" t="s">
        <v>79</v>
      </c>
      <c r="D132">
        <v>23</v>
      </c>
      <c r="E132" t="s">
        <v>11</v>
      </c>
      <c r="F132">
        <v>473</v>
      </c>
      <c r="G132">
        <v>71.86</v>
      </c>
      <c r="H132">
        <v>3</v>
      </c>
      <c r="I132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33" spans="1:9">
      <c r="A133" s="1" t="s">
        <v>395</v>
      </c>
      <c r="B133" t="s">
        <v>413</v>
      </c>
      <c r="C133" t="s">
        <v>57</v>
      </c>
      <c r="D133">
        <v>23</v>
      </c>
      <c r="E133" t="s">
        <v>32</v>
      </c>
      <c r="F133">
        <v>268</v>
      </c>
      <c r="G133">
        <v>26.75</v>
      </c>
      <c r="H133">
        <v>3</v>
      </c>
      <c r="I133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34" spans="1:9">
      <c r="A134" s="1" t="s">
        <v>551</v>
      </c>
      <c r="B134" t="s">
        <v>553</v>
      </c>
      <c r="C134" t="s">
        <v>61</v>
      </c>
      <c r="D134">
        <v>23</v>
      </c>
      <c r="E134" t="s">
        <v>14</v>
      </c>
      <c r="F134">
        <v>325</v>
      </c>
      <c r="G134">
        <v>65.489999999999995</v>
      </c>
      <c r="H134">
        <v>1</v>
      </c>
      <c r="I134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35" spans="1:9">
      <c r="A135" s="1" t="s">
        <v>602</v>
      </c>
      <c r="B135" t="s">
        <v>637</v>
      </c>
      <c r="C135" t="s">
        <v>40</v>
      </c>
      <c r="D135">
        <v>23</v>
      </c>
      <c r="E135" t="s">
        <v>32</v>
      </c>
      <c r="F135">
        <v>314</v>
      </c>
      <c r="G135">
        <v>19.260000000000002</v>
      </c>
      <c r="H135">
        <v>3</v>
      </c>
      <c r="I135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36" spans="1:9">
      <c r="A136" s="1" t="s">
        <v>756</v>
      </c>
      <c r="B136" t="s">
        <v>802</v>
      </c>
      <c r="C136" t="s">
        <v>92</v>
      </c>
      <c r="D136">
        <v>23</v>
      </c>
      <c r="E136" t="s">
        <v>11</v>
      </c>
      <c r="F136">
        <v>120</v>
      </c>
      <c r="G136">
        <v>73.12</v>
      </c>
      <c r="H136">
        <v>1</v>
      </c>
      <c r="I136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37" spans="1:9">
      <c r="A137" s="1" t="s">
        <v>395</v>
      </c>
      <c r="B137" t="s">
        <v>405</v>
      </c>
      <c r="C137" t="s">
        <v>52</v>
      </c>
      <c r="D137">
        <v>24</v>
      </c>
      <c r="E137" t="s">
        <v>21</v>
      </c>
      <c r="F137">
        <v>392</v>
      </c>
      <c r="G137">
        <v>27.06</v>
      </c>
      <c r="H137">
        <v>1</v>
      </c>
      <c r="I137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38" spans="1:9">
      <c r="A138" s="1" t="s">
        <v>447</v>
      </c>
      <c r="B138" t="s">
        <v>458</v>
      </c>
      <c r="C138" t="s">
        <v>71</v>
      </c>
      <c r="D138">
        <v>24</v>
      </c>
      <c r="E138" t="s">
        <v>11</v>
      </c>
      <c r="F138">
        <v>23</v>
      </c>
      <c r="G138">
        <v>28.55</v>
      </c>
      <c r="H138">
        <v>1</v>
      </c>
      <c r="I138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39" spans="1:9">
      <c r="A139" s="1" t="s">
        <v>447</v>
      </c>
      <c r="B139" t="s">
        <v>489</v>
      </c>
      <c r="C139" t="s">
        <v>61</v>
      </c>
      <c r="D139">
        <v>24</v>
      </c>
      <c r="E139" t="s">
        <v>14</v>
      </c>
      <c r="F139">
        <v>257</v>
      </c>
      <c r="G139">
        <v>41.99</v>
      </c>
      <c r="H139">
        <v>5</v>
      </c>
      <c r="I139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40" spans="1:9">
      <c r="A140" s="1" t="s">
        <v>85</v>
      </c>
      <c r="B140" t="s">
        <v>86</v>
      </c>
      <c r="C140" t="s">
        <v>71</v>
      </c>
      <c r="D140">
        <v>25</v>
      </c>
      <c r="E140" t="s">
        <v>32</v>
      </c>
      <c r="F140">
        <v>64</v>
      </c>
      <c r="G140">
        <v>38.950000000000003</v>
      </c>
      <c r="H140">
        <v>5</v>
      </c>
      <c r="I140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41" spans="1:9">
      <c r="A141" s="1" t="s">
        <v>140</v>
      </c>
      <c r="B141" t="s">
        <v>171</v>
      </c>
      <c r="C141" t="s">
        <v>24</v>
      </c>
      <c r="D141">
        <v>25</v>
      </c>
      <c r="E141" t="s">
        <v>14</v>
      </c>
      <c r="F141">
        <v>131</v>
      </c>
      <c r="G141">
        <v>67.489999999999995</v>
      </c>
      <c r="H141">
        <v>0</v>
      </c>
      <c r="I141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42" spans="1:9">
      <c r="A142" s="1" t="s">
        <v>242</v>
      </c>
      <c r="B142" t="s">
        <v>261</v>
      </c>
      <c r="C142" t="s">
        <v>92</v>
      </c>
      <c r="D142">
        <v>25</v>
      </c>
      <c r="E142" t="s">
        <v>14</v>
      </c>
      <c r="F142">
        <v>33</v>
      </c>
      <c r="G142">
        <v>30.93</v>
      </c>
      <c r="H142">
        <v>1</v>
      </c>
      <c r="I142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43" spans="1:9">
      <c r="A143" s="1" t="s">
        <v>293</v>
      </c>
      <c r="B143" t="s">
        <v>310</v>
      </c>
      <c r="C143" t="s">
        <v>63</v>
      </c>
      <c r="D143">
        <v>25</v>
      </c>
      <c r="E143" t="s">
        <v>32</v>
      </c>
      <c r="F143">
        <v>467</v>
      </c>
      <c r="G143">
        <v>97.78</v>
      </c>
      <c r="H143">
        <v>3</v>
      </c>
      <c r="I143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44" spans="1:9">
      <c r="A144" s="1" t="s">
        <v>344</v>
      </c>
      <c r="B144" t="s">
        <v>357</v>
      </c>
      <c r="C144" t="s">
        <v>43</v>
      </c>
      <c r="D144">
        <v>25</v>
      </c>
      <c r="E144" t="s">
        <v>11</v>
      </c>
      <c r="F144">
        <v>218</v>
      </c>
      <c r="G144">
        <v>68.790000000000006</v>
      </c>
      <c r="H144">
        <v>0</v>
      </c>
      <c r="I144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45" spans="1:9">
      <c r="A145" s="1" t="s">
        <v>602</v>
      </c>
      <c r="B145" t="s">
        <v>644</v>
      </c>
      <c r="C145" t="s">
        <v>111</v>
      </c>
      <c r="D145">
        <v>25</v>
      </c>
      <c r="E145" t="s">
        <v>14</v>
      </c>
      <c r="F145">
        <v>5</v>
      </c>
      <c r="G145">
        <v>27.93</v>
      </c>
      <c r="H145">
        <v>0</v>
      </c>
      <c r="I145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46" spans="1:9">
      <c r="A146" s="1" t="s">
        <v>653</v>
      </c>
      <c r="B146" t="s">
        <v>655</v>
      </c>
      <c r="C146" t="s">
        <v>45</v>
      </c>
      <c r="D146">
        <v>25</v>
      </c>
      <c r="E146" t="s">
        <v>14</v>
      </c>
      <c r="F146">
        <v>95</v>
      </c>
      <c r="G146">
        <v>15.93</v>
      </c>
      <c r="H146">
        <v>4</v>
      </c>
      <c r="I146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47" spans="1:9">
      <c r="A147" s="1" t="s">
        <v>756</v>
      </c>
      <c r="B147" t="s">
        <v>775</v>
      </c>
      <c r="C147" t="s">
        <v>18</v>
      </c>
      <c r="D147">
        <v>25</v>
      </c>
      <c r="E147" t="s">
        <v>11</v>
      </c>
      <c r="F147">
        <v>66</v>
      </c>
      <c r="G147">
        <v>90.14</v>
      </c>
      <c r="H147">
        <v>5</v>
      </c>
      <c r="I147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48" spans="1:9">
      <c r="A148" s="1" t="s">
        <v>191</v>
      </c>
      <c r="B148" t="s">
        <v>231</v>
      </c>
      <c r="C148" t="s">
        <v>57</v>
      </c>
      <c r="D148">
        <v>26</v>
      </c>
      <c r="E148" t="s">
        <v>14</v>
      </c>
      <c r="F148">
        <v>174</v>
      </c>
      <c r="G148">
        <v>90.53</v>
      </c>
      <c r="H148">
        <v>3</v>
      </c>
      <c r="I148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49" spans="1:9">
      <c r="A149" s="1" t="s">
        <v>705</v>
      </c>
      <c r="B149" t="s">
        <v>752</v>
      </c>
      <c r="C149" t="s">
        <v>95</v>
      </c>
      <c r="D149">
        <v>26</v>
      </c>
      <c r="E149" t="s">
        <v>32</v>
      </c>
      <c r="F149">
        <v>378</v>
      </c>
      <c r="G149">
        <v>45.21</v>
      </c>
      <c r="H149">
        <v>5</v>
      </c>
      <c r="I149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50" spans="1:9">
      <c r="A150" s="1" t="s">
        <v>756</v>
      </c>
      <c r="B150" t="s">
        <v>766</v>
      </c>
      <c r="C150" t="s">
        <v>76</v>
      </c>
      <c r="D150">
        <v>26</v>
      </c>
      <c r="E150" t="s">
        <v>21</v>
      </c>
      <c r="F150">
        <v>378</v>
      </c>
      <c r="G150">
        <v>88.59</v>
      </c>
      <c r="H150">
        <v>4</v>
      </c>
      <c r="I150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51" spans="1:9">
      <c r="A151" s="1" t="s">
        <v>756</v>
      </c>
      <c r="B151" t="s">
        <v>767</v>
      </c>
      <c r="C151" t="s">
        <v>13</v>
      </c>
      <c r="D151">
        <v>26</v>
      </c>
      <c r="E151" t="s">
        <v>32</v>
      </c>
      <c r="F151">
        <v>391</v>
      </c>
      <c r="G151">
        <v>18.28</v>
      </c>
      <c r="H151">
        <v>3</v>
      </c>
      <c r="I151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52" spans="1:9">
      <c r="A152" s="1" t="s">
        <v>8</v>
      </c>
      <c r="B152" t="s">
        <v>34</v>
      </c>
      <c r="C152" t="s">
        <v>10</v>
      </c>
      <c r="D152">
        <v>27</v>
      </c>
      <c r="E152" t="s">
        <v>14</v>
      </c>
      <c r="F152">
        <v>275</v>
      </c>
      <c r="G152">
        <v>80.069999999999993</v>
      </c>
      <c r="H152">
        <v>1</v>
      </c>
      <c r="I152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53" spans="1:9">
      <c r="A153" s="1" t="s">
        <v>191</v>
      </c>
      <c r="B153" t="s">
        <v>213</v>
      </c>
      <c r="C153" t="s">
        <v>76</v>
      </c>
      <c r="D153">
        <v>27</v>
      </c>
      <c r="E153" t="s">
        <v>32</v>
      </c>
      <c r="F153">
        <v>369</v>
      </c>
      <c r="G153">
        <v>19.78</v>
      </c>
      <c r="H153">
        <v>1</v>
      </c>
      <c r="I153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54" spans="1:9">
      <c r="A154" s="1" t="s">
        <v>242</v>
      </c>
      <c r="B154" t="s">
        <v>281</v>
      </c>
      <c r="C154" t="s">
        <v>29</v>
      </c>
      <c r="D154">
        <v>27</v>
      </c>
      <c r="E154" t="s">
        <v>32</v>
      </c>
      <c r="F154">
        <v>61</v>
      </c>
      <c r="G154">
        <v>97.51</v>
      </c>
      <c r="H154">
        <v>5</v>
      </c>
      <c r="I154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55" spans="1:9">
      <c r="A155" s="1" t="s">
        <v>602</v>
      </c>
      <c r="B155" t="s">
        <v>631</v>
      </c>
      <c r="C155" t="s">
        <v>10</v>
      </c>
      <c r="D155">
        <v>27</v>
      </c>
      <c r="E155" t="s">
        <v>14</v>
      </c>
      <c r="F155">
        <v>70</v>
      </c>
      <c r="G155">
        <v>20.32</v>
      </c>
      <c r="H155">
        <v>3</v>
      </c>
      <c r="I155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56" spans="1:9">
      <c r="A156" s="1" t="s">
        <v>191</v>
      </c>
      <c r="B156" t="s">
        <v>227</v>
      </c>
      <c r="C156" t="s">
        <v>92</v>
      </c>
      <c r="D156">
        <v>28</v>
      </c>
      <c r="E156" t="s">
        <v>32</v>
      </c>
      <c r="F156">
        <v>96</v>
      </c>
      <c r="G156">
        <v>72.010000000000005</v>
      </c>
      <c r="H156">
        <v>4</v>
      </c>
      <c r="I156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57" spans="1:9">
      <c r="A157" s="1" t="s">
        <v>447</v>
      </c>
      <c r="B157" t="s">
        <v>461</v>
      </c>
      <c r="C157" t="s">
        <v>71</v>
      </c>
      <c r="D157">
        <v>28</v>
      </c>
      <c r="E157" t="s">
        <v>21</v>
      </c>
      <c r="F157">
        <v>112</v>
      </c>
      <c r="G157">
        <v>94.51</v>
      </c>
      <c r="H157">
        <v>3</v>
      </c>
      <c r="I157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58" spans="1:9">
      <c r="A158" s="1" t="s">
        <v>705</v>
      </c>
      <c r="B158" t="s">
        <v>720</v>
      </c>
      <c r="C158" t="s">
        <v>61</v>
      </c>
      <c r="D158">
        <v>28</v>
      </c>
      <c r="E158" t="s">
        <v>32</v>
      </c>
      <c r="F158">
        <v>343</v>
      </c>
      <c r="G158">
        <v>64.34</v>
      </c>
      <c r="H158">
        <v>5</v>
      </c>
      <c r="I158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59" spans="1:9">
      <c r="A159" s="1" t="s">
        <v>140</v>
      </c>
      <c r="B159" t="s">
        <v>141</v>
      </c>
      <c r="C159" t="s">
        <v>38</v>
      </c>
      <c r="D159">
        <v>29</v>
      </c>
      <c r="E159" t="s">
        <v>21</v>
      </c>
      <c r="F159">
        <v>124</v>
      </c>
      <c r="G159">
        <v>43.83</v>
      </c>
      <c r="H159">
        <v>5</v>
      </c>
      <c r="I159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60" spans="1:9">
      <c r="A160" s="1" t="s">
        <v>140</v>
      </c>
      <c r="B160" t="s">
        <v>149</v>
      </c>
      <c r="C160" t="s">
        <v>92</v>
      </c>
      <c r="D160">
        <v>29</v>
      </c>
      <c r="E160" t="s">
        <v>11</v>
      </c>
      <c r="F160">
        <v>34</v>
      </c>
      <c r="G160">
        <v>86.68</v>
      </c>
      <c r="H160">
        <v>1</v>
      </c>
      <c r="I160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61" spans="1:9">
      <c r="A161" s="1" t="s">
        <v>191</v>
      </c>
      <c r="B161" t="s">
        <v>238</v>
      </c>
      <c r="C161" t="s">
        <v>24</v>
      </c>
      <c r="D161">
        <v>29</v>
      </c>
      <c r="E161" t="s">
        <v>21</v>
      </c>
      <c r="F161">
        <v>416</v>
      </c>
      <c r="G161">
        <v>61.26</v>
      </c>
      <c r="H161">
        <v>0</v>
      </c>
      <c r="I161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62" spans="1:9">
      <c r="A162" s="1" t="s">
        <v>344</v>
      </c>
      <c r="B162" t="s">
        <v>350</v>
      </c>
      <c r="C162" t="s">
        <v>36</v>
      </c>
      <c r="D162">
        <v>29</v>
      </c>
      <c r="E162" t="s">
        <v>14</v>
      </c>
      <c r="F162">
        <v>173</v>
      </c>
      <c r="G162">
        <v>49.03</v>
      </c>
      <c r="H162">
        <v>3</v>
      </c>
      <c r="I162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63" spans="1:9">
      <c r="A163" s="1" t="s">
        <v>344</v>
      </c>
      <c r="B163" t="s">
        <v>371</v>
      </c>
      <c r="C163" t="s">
        <v>29</v>
      </c>
      <c r="D163">
        <v>29</v>
      </c>
      <c r="E163" t="s">
        <v>11</v>
      </c>
      <c r="F163">
        <v>203</v>
      </c>
      <c r="G163">
        <v>53.97</v>
      </c>
      <c r="H163">
        <v>5</v>
      </c>
      <c r="I163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64" spans="1:9">
      <c r="A164" s="1" t="s">
        <v>395</v>
      </c>
      <c r="B164" t="s">
        <v>399</v>
      </c>
      <c r="C164" t="s">
        <v>26</v>
      </c>
      <c r="D164">
        <v>29</v>
      </c>
      <c r="E164" t="s">
        <v>11</v>
      </c>
      <c r="F164">
        <v>493</v>
      </c>
      <c r="G164">
        <v>42.02</v>
      </c>
      <c r="H164">
        <v>1</v>
      </c>
      <c r="I164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65" spans="1:9">
      <c r="A165" s="1" t="s">
        <v>395</v>
      </c>
      <c r="B165" t="s">
        <v>429</v>
      </c>
      <c r="C165" t="s">
        <v>52</v>
      </c>
      <c r="D165">
        <v>29</v>
      </c>
      <c r="E165" t="s">
        <v>32</v>
      </c>
      <c r="F165">
        <v>350</v>
      </c>
      <c r="G165">
        <v>84.32</v>
      </c>
      <c r="H165">
        <v>3</v>
      </c>
      <c r="I165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66" spans="1:9">
      <c r="A166" s="1" t="s">
        <v>653</v>
      </c>
      <c r="B166" t="s">
        <v>692</v>
      </c>
      <c r="C166" t="s">
        <v>29</v>
      </c>
      <c r="D166">
        <v>29</v>
      </c>
      <c r="E166" t="s">
        <v>32</v>
      </c>
      <c r="F166">
        <v>8</v>
      </c>
      <c r="G166">
        <v>14.78</v>
      </c>
      <c r="H166">
        <v>2</v>
      </c>
      <c r="I166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67" spans="1:9">
      <c r="A167" s="1" t="s">
        <v>756</v>
      </c>
      <c r="B167" t="s">
        <v>776</v>
      </c>
      <c r="C167" t="s">
        <v>43</v>
      </c>
      <c r="D167">
        <v>29</v>
      </c>
      <c r="E167" t="s">
        <v>14</v>
      </c>
      <c r="F167">
        <v>306</v>
      </c>
      <c r="G167">
        <v>82.16</v>
      </c>
      <c r="H167">
        <v>1</v>
      </c>
      <c r="I167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68" spans="1:9">
      <c r="A168" s="1" t="s">
        <v>85</v>
      </c>
      <c r="B168" t="s">
        <v>139</v>
      </c>
      <c r="C168" t="s">
        <v>71</v>
      </c>
      <c r="D168">
        <v>30</v>
      </c>
      <c r="E168" t="s">
        <v>32</v>
      </c>
      <c r="F168">
        <v>197</v>
      </c>
      <c r="G168">
        <v>15.42</v>
      </c>
      <c r="H168">
        <v>0</v>
      </c>
      <c r="I168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69" spans="1:9">
      <c r="A169" s="1" t="s">
        <v>602</v>
      </c>
      <c r="B169" t="s">
        <v>634</v>
      </c>
      <c r="C169" t="s">
        <v>61</v>
      </c>
      <c r="D169">
        <v>30</v>
      </c>
      <c r="E169" t="s">
        <v>14</v>
      </c>
      <c r="F169">
        <v>130</v>
      </c>
      <c r="G169">
        <v>50.15</v>
      </c>
      <c r="H169">
        <v>4</v>
      </c>
      <c r="I169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70" spans="1:9">
      <c r="A170" s="1" t="s">
        <v>191</v>
      </c>
      <c r="B170" t="s">
        <v>211</v>
      </c>
      <c r="C170" t="s">
        <v>71</v>
      </c>
      <c r="D170">
        <v>31</v>
      </c>
      <c r="E170" t="s">
        <v>14</v>
      </c>
      <c r="F170">
        <v>160</v>
      </c>
      <c r="G170">
        <v>59.76</v>
      </c>
      <c r="H170">
        <v>4</v>
      </c>
      <c r="I170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71" spans="1:9">
      <c r="A171" s="1" t="s">
        <v>242</v>
      </c>
      <c r="B171" t="s">
        <v>276</v>
      </c>
      <c r="C171" t="s">
        <v>111</v>
      </c>
      <c r="D171">
        <v>32</v>
      </c>
      <c r="E171" t="s">
        <v>21</v>
      </c>
      <c r="F171">
        <v>405</v>
      </c>
      <c r="G171">
        <v>67.92</v>
      </c>
      <c r="H171">
        <v>3</v>
      </c>
      <c r="I171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72" spans="1:9">
      <c r="A172" s="1" t="s">
        <v>293</v>
      </c>
      <c r="B172" t="s">
        <v>343</v>
      </c>
      <c r="C172" t="s">
        <v>65</v>
      </c>
      <c r="D172">
        <v>32</v>
      </c>
      <c r="E172" t="s">
        <v>21</v>
      </c>
      <c r="F172">
        <v>31</v>
      </c>
      <c r="G172">
        <v>67.040000000000006</v>
      </c>
      <c r="H172">
        <v>1</v>
      </c>
      <c r="I172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73" spans="1:9">
      <c r="A173" s="1" t="s">
        <v>447</v>
      </c>
      <c r="B173" t="s">
        <v>459</v>
      </c>
      <c r="C173" t="s">
        <v>40</v>
      </c>
      <c r="D173">
        <v>32</v>
      </c>
      <c r="E173" t="s">
        <v>21</v>
      </c>
      <c r="F173">
        <v>475</v>
      </c>
      <c r="G173">
        <v>36.54</v>
      </c>
      <c r="H173">
        <v>3</v>
      </c>
      <c r="I173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74" spans="1:9">
      <c r="A174" s="1" t="s">
        <v>140</v>
      </c>
      <c r="B174" t="s">
        <v>164</v>
      </c>
      <c r="C174" t="s">
        <v>24</v>
      </c>
      <c r="D174">
        <v>33</v>
      </c>
      <c r="E174" t="s">
        <v>21</v>
      </c>
      <c r="F174">
        <v>337</v>
      </c>
      <c r="G174">
        <v>62.61</v>
      </c>
      <c r="H174">
        <v>2</v>
      </c>
      <c r="I174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75" spans="1:9">
      <c r="A175" s="1" t="s">
        <v>191</v>
      </c>
      <c r="B175" t="s">
        <v>217</v>
      </c>
      <c r="C175" t="s">
        <v>26</v>
      </c>
      <c r="D175">
        <v>33</v>
      </c>
      <c r="E175" t="s">
        <v>32</v>
      </c>
      <c r="F175">
        <v>285</v>
      </c>
      <c r="G175">
        <v>56.67</v>
      </c>
      <c r="H175">
        <v>2</v>
      </c>
      <c r="I175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76" spans="1:9">
      <c r="A176" s="1" t="s">
        <v>242</v>
      </c>
      <c r="B176" t="s">
        <v>292</v>
      </c>
      <c r="C176" t="s">
        <v>45</v>
      </c>
      <c r="D176">
        <v>33</v>
      </c>
      <c r="E176" t="s">
        <v>14</v>
      </c>
      <c r="F176">
        <v>332</v>
      </c>
      <c r="G176">
        <v>76.41</v>
      </c>
      <c r="H176">
        <v>1</v>
      </c>
      <c r="I176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77" spans="1:9">
      <c r="A177" s="1" t="s">
        <v>293</v>
      </c>
      <c r="B177" t="s">
        <v>340</v>
      </c>
      <c r="C177" t="s">
        <v>36</v>
      </c>
      <c r="D177">
        <v>33</v>
      </c>
      <c r="E177" t="s">
        <v>32</v>
      </c>
      <c r="F177">
        <v>444</v>
      </c>
      <c r="G177">
        <v>10.28</v>
      </c>
      <c r="H177">
        <v>5</v>
      </c>
      <c r="I177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78" spans="1:9">
      <c r="A178" s="1" t="s">
        <v>551</v>
      </c>
      <c r="B178" t="s">
        <v>565</v>
      </c>
      <c r="C178" t="s">
        <v>76</v>
      </c>
      <c r="D178">
        <v>33</v>
      </c>
      <c r="E178" t="s">
        <v>11</v>
      </c>
      <c r="F178">
        <v>207</v>
      </c>
      <c r="G178">
        <v>38.49</v>
      </c>
      <c r="H178">
        <v>4</v>
      </c>
      <c r="I178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79" spans="1:9">
      <c r="A179" s="1" t="s">
        <v>705</v>
      </c>
      <c r="B179" t="s">
        <v>707</v>
      </c>
      <c r="C179" t="s">
        <v>38</v>
      </c>
      <c r="D179">
        <v>33</v>
      </c>
      <c r="E179" t="s">
        <v>14</v>
      </c>
      <c r="F179">
        <v>54</v>
      </c>
      <c r="G179">
        <v>71.319999999999993</v>
      </c>
      <c r="H179">
        <v>4</v>
      </c>
      <c r="I179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80" spans="1:9">
      <c r="A180" s="1" t="s">
        <v>756</v>
      </c>
      <c r="B180" t="s">
        <v>784</v>
      </c>
      <c r="C180" t="s">
        <v>43</v>
      </c>
      <c r="D180">
        <v>33</v>
      </c>
      <c r="E180" t="s">
        <v>11</v>
      </c>
      <c r="F180">
        <v>391</v>
      </c>
      <c r="G180">
        <v>88.88</v>
      </c>
      <c r="H180">
        <v>4</v>
      </c>
      <c r="I180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81" spans="1:9">
      <c r="A181" s="1" t="s">
        <v>756</v>
      </c>
      <c r="B181" t="s">
        <v>796</v>
      </c>
      <c r="C181" t="s">
        <v>18</v>
      </c>
      <c r="D181">
        <v>33</v>
      </c>
      <c r="E181" t="s">
        <v>21</v>
      </c>
      <c r="F181">
        <v>18</v>
      </c>
      <c r="G181">
        <v>47.18</v>
      </c>
      <c r="H181">
        <v>4</v>
      </c>
      <c r="I181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82" spans="1:9">
      <c r="A182" s="1" t="s">
        <v>8</v>
      </c>
      <c r="B182" t="s">
        <v>56</v>
      </c>
      <c r="C182" t="s">
        <v>57</v>
      </c>
      <c r="D182">
        <v>34</v>
      </c>
      <c r="E182" t="s">
        <v>11</v>
      </c>
      <c r="F182">
        <v>453</v>
      </c>
      <c r="G182">
        <v>56.84</v>
      </c>
      <c r="H182">
        <v>0</v>
      </c>
      <c r="I182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83" spans="1:9">
      <c r="A183" s="1" t="s">
        <v>499</v>
      </c>
      <c r="B183" t="s">
        <v>502</v>
      </c>
      <c r="C183" t="s">
        <v>20</v>
      </c>
      <c r="D183">
        <v>34</v>
      </c>
      <c r="E183" t="s">
        <v>14</v>
      </c>
      <c r="F183">
        <v>40</v>
      </c>
      <c r="G183">
        <v>65.709999999999994</v>
      </c>
      <c r="H183">
        <v>5</v>
      </c>
      <c r="I183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84" spans="1:9">
      <c r="A184" s="1" t="s">
        <v>551</v>
      </c>
      <c r="B184" t="s">
        <v>554</v>
      </c>
      <c r="C184" t="s">
        <v>40</v>
      </c>
      <c r="D184">
        <v>34</v>
      </c>
      <c r="E184" t="s">
        <v>14</v>
      </c>
      <c r="F184">
        <v>35</v>
      </c>
      <c r="G184">
        <v>76.86</v>
      </c>
      <c r="H184">
        <v>1</v>
      </c>
      <c r="I184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85" spans="1:9">
      <c r="A185" s="1" t="s">
        <v>602</v>
      </c>
      <c r="B185" t="s">
        <v>628</v>
      </c>
      <c r="C185" t="s">
        <v>71</v>
      </c>
      <c r="D185">
        <v>34</v>
      </c>
      <c r="E185" t="s">
        <v>11</v>
      </c>
      <c r="F185">
        <v>58</v>
      </c>
      <c r="G185">
        <v>64.349999999999994</v>
      </c>
      <c r="H185">
        <v>0</v>
      </c>
      <c r="I185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86" spans="1:9">
      <c r="A186" s="1" t="s">
        <v>653</v>
      </c>
      <c r="B186" t="s">
        <v>674</v>
      </c>
      <c r="C186" t="s">
        <v>29</v>
      </c>
      <c r="D186">
        <v>34</v>
      </c>
      <c r="E186" t="s">
        <v>21</v>
      </c>
      <c r="F186">
        <v>181</v>
      </c>
      <c r="G186">
        <v>35.92</v>
      </c>
      <c r="H186">
        <v>2</v>
      </c>
      <c r="I186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87" spans="1:9">
      <c r="A187" s="1" t="s">
        <v>8</v>
      </c>
      <c r="B187" t="s">
        <v>68</v>
      </c>
      <c r="C187" t="s">
        <v>29</v>
      </c>
      <c r="D187">
        <v>35</v>
      </c>
      <c r="E187" t="s">
        <v>11</v>
      </c>
      <c r="F187">
        <v>465</v>
      </c>
      <c r="G187">
        <v>58.59</v>
      </c>
      <c r="H187">
        <v>5</v>
      </c>
      <c r="I187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88" spans="1:9">
      <c r="A188" s="1" t="s">
        <v>191</v>
      </c>
      <c r="B188" t="s">
        <v>208</v>
      </c>
      <c r="C188" t="s">
        <v>45</v>
      </c>
      <c r="D188">
        <v>35</v>
      </c>
      <c r="E188" t="s">
        <v>21</v>
      </c>
      <c r="F188">
        <v>107</v>
      </c>
      <c r="G188">
        <v>66.69</v>
      </c>
      <c r="H188">
        <v>4</v>
      </c>
      <c r="I188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89" spans="1:9">
      <c r="A189" s="1" t="s">
        <v>395</v>
      </c>
      <c r="B189" t="s">
        <v>440</v>
      </c>
      <c r="C189" t="s">
        <v>95</v>
      </c>
      <c r="D189">
        <v>35</v>
      </c>
      <c r="E189" t="s">
        <v>21</v>
      </c>
      <c r="F189">
        <v>421</v>
      </c>
      <c r="G189">
        <v>29.57</v>
      </c>
      <c r="H189">
        <v>5</v>
      </c>
      <c r="I189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90" spans="1:9">
      <c r="A190" s="1" t="s">
        <v>395</v>
      </c>
      <c r="B190" t="s">
        <v>442</v>
      </c>
      <c r="C190" t="s">
        <v>10</v>
      </c>
      <c r="D190">
        <v>35</v>
      </c>
      <c r="E190" t="s">
        <v>11</v>
      </c>
      <c r="F190">
        <v>496</v>
      </c>
      <c r="G190">
        <v>19.78</v>
      </c>
      <c r="H190">
        <v>5</v>
      </c>
      <c r="I190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91" spans="1:9">
      <c r="A191" s="1" t="s">
        <v>447</v>
      </c>
      <c r="B191" t="s">
        <v>483</v>
      </c>
      <c r="C191" t="s">
        <v>16</v>
      </c>
      <c r="D191">
        <v>35</v>
      </c>
      <c r="E191" t="s">
        <v>11</v>
      </c>
      <c r="F191">
        <v>292</v>
      </c>
      <c r="G191">
        <v>39.21</v>
      </c>
      <c r="H191">
        <v>1</v>
      </c>
      <c r="I191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92" spans="1:9">
      <c r="A192" s="1" t="s">
        <v>499</v>
      </c>
      <c r="B192" t="s">
        <v>504</v>
      </c>
      <c r="C192" t="s">
        <v>24</v>
      </c>
      <c r="D192">
        <v>35</v>
      </c>
      <c r="E192" t="s">
        <v>11</v>
      </c>
      <c r="F192">
        <v>445</v>
      </c>
      <c r="G192">
        <v>24.11</v>
      </c>
      <c r="H192">
        <v>2</v>
      </c>
      <c r="I192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93" spans="1:9">
      <c r="A193" s="1" t="s">
        <v>653</v>
      </c>
      <c r="B193" t="s">
        <v>656</v>
      </c>
      <c r="C193" t="s">
        <v>38</v>
      </c>
      <c r="D193">
        <v>35</v>
      </c>
      <c r="E193" t="s">
        <v>32</v>
      </c>
      <c r="F193">
        <v>332</v>
      </c>
      <c r="G193">
        <v>11.15</v>
      </c>
      <c r="H193">
        <v>0</v>
      </c>
      <c r="I193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94" spans="1:9">
      <c r="A194" s="1" t="s">
        <v>705</v>
      </c>
      <c r="B194" t="s">
        <v>726</v>
      </c>
      <c r="C194" t="s">
        <v>43</v>
      </c>
      <c r="D194">
        <v>35</v>
      </c>
      <c r="E194" t="s">
        <v>11</v>
      </c>
      <c r="F194">
        <v>299</v>
      </c>
      <c r="G194">
        <v>96.32</v>
      </c>
      <c r="H194">
        <v>4</v>
      </c>
      <c r="I194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95" spans="1:9">
      <c r="A195" s="1" t="s">
        <v>85</v>
      </c>
      <c r="B195" t="s">
        <v>124</v>
      </c>
      <c r="C195" t="s">
        <v>43</v>
      </c>
      <c r="D195">
        <v>36</v>
      </c>
      <c r="E195" t="s">
        <v>14</v>
      </c>
      <c r="F195">
        <v>247</v>
      </c>
      <c r="G195">
        <v>24.53</v>
      </c>
      <c r="H195">
        <v>2</v>
      </c>
      <c r="I195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96" spans="1:9">
      <c r="A196" s="1" t="s">
        <v>140</v>
      </c>
      <c r="B196" t="s">
        <v>168</v>
      </c>
      <c r="C196" t="s">
        <v>92</v>
      </c>
      <c r="D196">
        <v>36</v>
      </c>
      <c r="E196" t="s">
        <v>32</v>
      </c>
      <c r="F196">
        <v>400</v>
      </c>
      <c r="G196">
        <v>60.35</v>
      </c>
      <c r="H196">
        <v>1</v>
      </c>
      <c r="I196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97" spans="1:9">
      <c r="A197" s="1" t="s">
        <v>242</v>
      </c>
      <c r="B197" t="s">
        <v>280</v>
      </c>
      <c r="C197" t="s">
        <v>18</v>
      </c>
      <c r="D197">
        <v>36</v>
      </c>
      <c r="E197" t="s">
        <v>14</v>
      </c>
      <c r="F197">
        <v>491</v>
      </c>
      <c r="G197">
        <v>12.13</v>
      </c>
      <c r="H197">
        <v>4</v>
      </c>
      <c r="I197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98" spans="1:9">
      <c r="A198" s="1" t="s">
        <v>395</v>
      </c>
      <c r="B198" t="s">
        <v>431</v>
      </c>
      <c r="C198" t="s">
        <v>38</v>
      </c>
      <c r="D198">
        <v>36</v>
      </c>
      <c r="E198" t="s">
        <v>14</v>
      </c>
      <c r="F198">
        <v>311</v>
      </c>
      <c r="G198">
        <v>13.19</v>
      </c>
      <c r="H198">
        <v>4</v>
      </c>
      <c r="I198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199" spans="1:9">
      <c r="A199" s="1" t="s">
        <v>447</v>
      </c>
      <c r="B199" t="s">
        <v>463</v>
      </c>
      <c r="C199" t="s">
        <v>71</v>
      </c>
      <c r="D199">
        <v>36</v>
      </c>
      <c r="E199" t="s">
        <v>32</v>
      </c>
      <c r="F199">
        <v>137</v>
      </c>
      <c r="G199">
        <v>71.930000000000007</v>
      </c>
      <c r="H199">
        <v>0</v>
      </c>
      <c r="I199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00" spans="1:9">
      <c r="A200" s="1" t="s">
        <v>447</v>
      </c>
      <c r="B200" t="s">
        <v>466</v>
      </c>
      <c r="C200" t="s">
        <v>31</v>
      </c>
      <c r="D200">
        <v>36</v>
      </c>
      <c r="E200" t="s">
        <v>14</v>
      </c>
      <c r="F200">
        <v>303</v>
      </c>
      <c r="G200">
        <v>89.56</v>
      </c>
      <c r="H200">
        <v>1</v>
      </c>
      <c r="I200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01" spans="1:9">
      <c r="A201" s="1" t="s">
        <v>551</v>
      </c>
      <c r="B201" t="s">
        <v>563</v>
      </c>
      <c r="C201" t="s">
        <v>13</v>
      </c>
      <c r="D201">
        <v>36</v>
      </c>
      <c r="E201" t="s">
        <v>21</v>
      </c>
      <c r="F201">
        <v>487</v>
      </c>
      <c r="G201">
        <v>45.02</v>
      </c>
      <c r="H201">
        <v>2</v>
      </c>
      <c r="I201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02" spans="1:9">
      <c r="A202" s="1" t="s">
        <v>344</v>
      </c>
      <c r="B202" t="s">
        <v>370</v>
      </c>
      <c r="C202" t="s">
        <v>92</v>
      </c>
      <c r="D202">
        <v>37</v>
      </c>
      <c r="E202" t="s">
        <v>11</v>
      </c>
      <c r="F202">
        <v>88</v>
      </c>
      <c r="G202">
        <v>77.77</v>
      </c>
      <c r="H202">
        <v>1</v>
      </c>
      <c r="I202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03" spans="1:9">
      <c r="A203" s="1" t="s">
        <v>447</v>
      </c>
      <c r="B203" t="s">
        <v>456</v>
      </c>
      <c r="C203" t="s">
        <v>24</v>
      </c>
      <c r="D203">
        <v>37</v>
      </c>
      <c r="E203" t="s">
        <v>21</v>
      </c>
      <c r="F203">
        <v>151</v>
      </c>
      <c r="G203">
        <v>62.49</v>
      </c>
      <c r="H203">
        <v>3</v>
      </c>
      <c r="I203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04" spans="1:9">
      <c r="A204" s="1" t="s">
        <v>499</v>
      </c>
      <c r="B204" t="s">
        <v>522</v>
      </c>
      <c r="C204" t="s">
        <v>61</v>
      </c>
      <c r="D204">
        <v>37</v>
      </c>
      <c r="E204" t="s">
        <v>11</v>
      </c>
      <c r="F204">
        <v>37</v>
      </c>
      <c r="G204">
        <v>92.72</v>
      </c>
      <c r="H204">
        <v>0</v>
      </c>
      <c r="I204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05" spans="1:9">
      <c r="A205" s="1" t="s">
        <v>551</v>
      </c>
      <c r="B205" t="s">
        <v>559</v>
      </c>
      <c r="C205" t="s">
        <v>10</v>
      </c>
      <c r="D205">
        <v>37</v>
      </c>
      <c r="E205" t="s">
        <v>32</v>
      </c>
      <c r="F205">
        <v>94</v>
      </c>
      <c r="G205">
        <v>50.44</v>
      </c>
      <c r="H205">
        <v>4</v>
      </c>
      <c r="I205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06" spans="1:9">
      <c r="A206" s="1" t="s">
        <v>705</v>
      </c>
      <c r="B206" t="s">
        <v>714</v>
      </c>
      <c r="C206" t="s">
        <v>57</v>
      </c>
      <c r="D206">
        <v>37</v>
      </c>
      <c r="E206" t="s">
        <v>11</v>
      </c>
      <c r="F206">
        <v>150</v>
      </c>
      <c r="G206">
        <v>37.979999999999997</v>
      </c>
      <c r="H206">
        <v>4</v>
      </c>
      <c r="I206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07" spans="1:9">
      <c r="A207" s="1" t="s">
        <v>705</v>
      </c>
      <c r="B207" t="s">
        <v>727</v>
      </c>
      <c r="C207" t="s">
        <v>52</v>
      </c>
      <c r="D207">
        <v>37</v>
      </c>
      <c r="E207" t="s">
        <v>32</v>
      </c>
      <c r="F207">
        <v>420</v>
      </c>
      <c r="G207">
        <v>67.260000000000005</v>
      </c>
      <c r="H207">
        <v>4</v>
      </c>
      <c r="I207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08" spans="1:9">
      <c r="A208" s="1" t="s">
        <v>705</v>
      </c>
      <c r="B208" t="s">
        <v>731</v>
      </c>
      <c r="C208" t="s">
        <v>13</v>
      </c>
      <c r="D208">
        <v>37</v>
      </c>
      <c r="E208" t="s">
        <v>21</v>
      </c>
      <c r="F208">
        <v>3</v>
      </c>
      <c r="G208">
        <v>20.89</v>
      </c>
      <c r="H208">
        <v>5</v>
      </c>
      <c r="I208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09" spans="1:9">
      <c r="A209" s="1" t="s">
        <v>756</v>
      </c>
      <c r="B209" t="s">
        <v>760</v>
      </c>
      <c r="C209" t="s">
        <v>16</v>
      </c>
      <c r="D209">
        <v>37</v>
      </c>
      <c r="E209" t="s">
        <v>32</v>
      </c>
      <c r="F209">
        <v>213</v>
      </c>
      <c r="G209">
        <v>14.12</v>
      </c>
      <c r="H209">
        <v>1</v>
      </c>
      <c r="I209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10" spans="1:9">
      <c r="A210" s="1" t="s">
        <v>344</v>
      </c>
      <c r="B210" t="s">
        <v>355</v>
      </c>
      <c r="C210" t="s">
        <v>79</v>
      </c>
      <c r="D210">
        <v>38</v>
      </c>
      <c r="E210" t="s">
        <v>32</v>
      </c>
      <c r="F210">
        <v>60</v>
      </c>
      <c r="G210">
        <v>58.28</v>
      </c>
      <c r="H210">
        <v>4</v>
      </c>
      <c r="I210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11" spans="1:9">
      <c r="A211" s="1" t="s">
        <v>705</v>
      </c>
      <c r="B211" t="s">
        <v>737</v>
      </c>
      <c r="C211" t="s">
        <v>52</v>
      </c>
      <c r="D211">
        <v>38</v>
      </c>
      <c r="E211" t="s">
        <v>21</v>
      </c>
      <c r="F211">
        <v>191</v>
      </c>
      <c r="G211">
        <v>22.97</v>
      </c>
      <c r="H211">
        <v>3</v>
      </c>
      <c r="I211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12" spans="1:9">
      <c r="A212" s="1" t="s">
        <v>705</v>
      </c>
      <c r="B212" t="s">
        <v>753</v>
      </c>
      <c r="C212" t="s">
        <v>57</v>
      </c>
      <c r="D212">
        <v>38</v>
      </c>
      <c r="E212" t="s">
        <v>32</v>
      </c>
      <c r="F212">
        <v>432</v>
      </c>
      <c r="G212">
        <v>53.65</v>
      </c>
      <c r="H212">
        <v>4</v>
      </c>
      <c r="I212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13" spans="1:9">
      <c r="A213" s="1" t="s">
        <v>447</v>
      </c>
      <c r="B213" t="s">
        <v>479</v>
      </c>
      <c r="C213" t="s">
        <v>26</v>
      </c>
      <c r="D213">
        <v>39</v>
      </c>
      <c r="E213" t="s">
        <v>21</v>
      </c>
      <c r="F213">
        <v>327</v>
      </c>
      <c r="G213">
        <v>87.24</v>
      </c>
      <c r="H213">
        <v>4</v>
      </c>
      <c r="I213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14" spans="1:9">
      <c r="A214" s="1" t="s">
        <v>447</v>
      </c>
      <c r="B214" t="s">
        <v>491</v>
      </c>
      <c r="C214" t="s">
        <v>38</v>
      </c>
      <c r="D214">
        <v>39</v>
      </c>
      <c r="E214" t="s">
        <v>32</v>
      </c>
      <c r="F214">
        <v>1</v>
      </c>
      <c r="G214">
        <v>66.94</v>
      </c>
      <c r="H214">
        <v>5</v>
      </c>
      <c r="I214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15" spans="1:9">
      <c r="A215" s="1" t="s">
        <v>499</v>
      </c>
      <c r="B215" t="s">
        <v>538</v>
      </c>
      <c r="C215" t="s">
        <v>63</v>
      </c>
      <c r="D215">
        <v>39</v>
      </c>
      <c r="E215" t="s">
        <v>11</v>
      </c>
      <c r="F215">
        <v>54</v>
      </c>
      <c r="G215">
        <v>88.84</v>
      </c>
      <c r="H215">
        <v>0</v>
      </c>
      <c r="I215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16" spans="1:9">
      <c r="A216" s="1" t="s">
        <v>653</v>
      </c>
      <c r="B216" t="s">
        <v>665</v>
      </c>
      <c r="C216" t="s">
        <v>26</v>
      </c>
      <c r="D216">
        <v>39</v>
      </c>
      <c r="E216" t="s">
        <v>32</v>
      </c>
      <c r="F216">
        <v>220</v>
      </c>
      <c r="G216">
        <v>52.91</v>
      </c>
      <c r="H216">
        <v>0</v>
      </c>
      <c r="I216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17" spans="1:9">
      <c r="A217" s="1" t="s">
        <v>85</v>
      </c>
      <c r="B217" t="s">
        <v>94</v>
      </c>
      <c r="C217" t="s">
        <v>95</v>
      </c>
      <c r="D217">
        <v>40</v>
      </c>
      <c r="E217" t="s">
        <v>32</v>
      </c>
      <c r="F217">
        <v>345</v>
      </c>
      <c r="G217">
        <v>89.55</v>
      </c>
      <c r="H217">
        <v>3</v>
      </c>
      <c r="I217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18" spans="1:9">
      <c r="A218" s="1" t="s">
        <v>191</v>
      </c>
      <c r="B218" t="s">
        <v>195</v>
      </c>
      <c r="C218" t="s">
        <v>43</v>
      </c>
      <c r="D218">
        <v>40</v>
      </c>
      <c r="E218" t="s">
        <v>21</v>
      </c>
      <c r="F218">
        <v>219</v>
      </c>
      <c r="G218">
        <v>53.98</v>
      </c>
      <c r="H218">
        <v>2</v>
      </c>
      <c r="I218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19" spans="1:9">
      <c r="A219" s="1" t="s">
        <v>293</v>
      </c>
      <c r="B219" t="s">
        <v>314</v>
      </c>
      <c r="C219" t="s">
        <v>52</v>
      </c>
      <c r="D219">
        <v>40</v>
      </c>
      <c r="E219" t="s">
        <v>32</v>
      </c>
      <c r="F219">
        <v>102</v>
      </c>
      <c r="G219">
        <v>96.59</v>
      </c>
      <c r="H219">
        <v>5</v>
      </c>
      <c r="I219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20" spans="1:9">
      <c r="A220" s="1" t="s">
        <v>344</v>
      </c>
      <c r="B220" t="s">
        <v>380</v>
      </c>
      <c r="C220" t="s">
        <v>65</v>
      </c>
      <c r="D220">
        <v>40</v>
      </c>
      <c r="E220" t="s">
        <v>32</v>
      </c>
      <c r="F220">
        <v>237</v>
      </c>
      <c r="G220">
        <v>24.51</v>
      </c>
      <c r="H220">
        <v>1</v>
      </c>
      <c r="I220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21" spans="1:9">
      <c r="A221" s="1" t="s">
        <v>395</v>
      </c>
      <c r="B221" t="s">
        <v>406</v>
      </c>
      <c r="C221" t="s">
        <v>92</v>
      </c>
      <c r="D221">
        <v>40</v>
      </c>
      <c r="E221" t="s">
        <v>14</v>
      </c>
      <c r="F221">
        <v>38</v>
      </c>
      <c r="G221">
        <v>17.63</v>
      </c>
      <c r="H221">
        <v>0</v>
      </c>
      <c r="I221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22" spans="1:9">
      <c r="A222" s="1" t="s">
        <v>705</v>
      </c>
      <c r="B222" t="s">
        <v>733</v>
      </c>
      <c r="C222" t="s">
        <v>92</v>
      </c>
      <c r="D222">
        <v>40</v>
      </c>
      <c r="E222" t="s">
        <v>32</v>
      </c>
      <c r="F222">
        <v>235</v>
      </c>
      <c r="G222">
        <v>15.01</v>
      </c>
      <c r="H222">
        <v>3</v>
      </c>
      <c r="I222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23" spans="1:9">
      <c r="A223" s="1" t="s">
        <v>140</v>
      </c>
      <c r="B223" t="s">
        <v>187</v>
      </c>
      <c r="C223" t="s">
        <v>71</v>
      </c>
      <c r="D223">
        <v>41</v>
      </c>
      <c r="E223" t="s">
        <v>32</v>
      </c>
      <c r="F223">
        <v>64</v>
      </c>
      <c r="G223">
        <v>91.95</v>
      </c>
      <c r="H223">
        <v>1</v>
      </c>
      <c r="I223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24" spans="1:9">
      <c r="A224" s="1" t="s">
        <v>344</v>
      </c>
      <c r="B224" t="s">
        <v>363</v>
      </c>
      <c r="C224" t="s">
        <v>76</v>
      </c>
      <c r="D224">
        <v>41</v>
      </c>
      <c r="E224" t="s">
        <v>11</v>
      </c>
      <c r="F224">
        <v>474</v>
      </c>
      <c r="G224">
        <v>54.03</v>
      </c>
      <c r="H224">
        <v>4</v>
      </c>
      <c r="I224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25" spans="1:9">
      <c r="A225" s="1" t="s">
        <v>344</v>
      </c>
      <c r="B225" t="s">
        <v>389</v>
      </c>
      <c r="C225" t="s">
        <v>40</v>
      </c>
      <c r="D225">
        <v>41</v>
      </c>
      <c r="E225" t="s">
        <v>11</v>
      </c>
      <c r="F225">
        <v>206</v>
      </c>
      <c r="G225">
        <v>83.16</v>
      </c>
      <c r="H225">
        <v>2</v>
      </c>
      <c r="I225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26" spans="1:9">
      <c r="A226" s="1" t="s">
        <v>344</v>
      </c>
      <c r="B226" t="s">
        <v>392</v>
      </c>
      <c r="C226" t="s">
        <v>36</v>
      </c>
      <c r="D226">
        <v>41</v>
      </c>
      <c r="E226" t="s">
        <v>14</v>
      </c>
      <c r="F226">
        <v>398</v>
      </c>
      <c r="G226">
        <v>28.56</v>
      </c>
      <c r="H226">
        <v>2</v>
      </c>
      <c r="I226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27" spans="1:9">
      <c r="A227" s="1" t="s">
        <v>395</v>
      </c>
      <c r="B227" t="s">
        <v>404</v>
      </c>
      <c r="C227" t="s">
        <v>18</v>
      </c>
      <c r="D227">
        <v>41</v>
      </c>
      <c r="E227" t="s">
        <v>14</v>
      </c>
      <c r="F227">
        <v>425</v>
      </c>
      <c r="G227">
        <v>42.33</v>
      </c>
      <c r="H227">
        <v>3</v>
      </c>
      <c r="I227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28" spans="1:9">
      <c r="A228" s="1" t="s">
        <v>447</v>
      </c>
      <c r="B228" t="s">
        <v>467</v>
      </c>
      <c r="C228" t="s">
        <v>18</v>
      </c>
      <c r="D228">
        <v>41</v>
      </c>
      <c r="E228" t="s">
        <v>21</v>
      </c>
      <c r="F228">
        <v>404</v>
      </c>
      <c r="G228">
        <v>98.67</v>
      </c>
      <c r="H228">
        <v>5</v>
      </c>
      <c r="I228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29" spans="1:9">
      <c r="A229" s="1" t="s">
        <v>499</v>
      </c>
      <c r="B229" t="s">
        <v>535</v>
      </c>
      <c r="C229" t="s">
        <v>29</v>
      </c>
      <c r="D229">
        <v>41</v>
      </c>
      <c r="E229" t="s">
        <v>32</v>
      </c>
      <c r="F229">
        <v>383</v>
      </c>
      <c r="G229">
        <v>27.53</v>
      </c>
      <c r="H229">
        <v>4</v>
      </c>
      <c r="I229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30" spans="1:9">
      <c r="A230" s="1" t="s">
        <v>551</v>
      </c>
      <c r="B230" t="s">
        <v>582</v>
      </c>
      <c r="C230" t="s">
        <v>40</v>
      </c>
      <c r="D230">
        <v>41</v>
      </c>
      <c r="E230" t="s">
        <v>32</v>
      </c>
      <c r="F230">
        <v>178</v>
      </c>
      <c r="G230">
        <v>11.29</v>
      </c>
      <c r="H230">
        <v>4</v>
      </c>
      <c r="I230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31" spans="1:9">
      <c r="A231" s="1" t="s">
        <v>602</v>
      </c>
      <c r="B231" t="s">
        <v>638</v>
      </c>
      <c r="C231" t="s">
        <v>65</v>
      </c>
      <c r="D231">
        <v>41</v>
      </c>
      <c r="E231" t="s">
        <v>14</v>
      </c>
      <c r="F231">
        <v>2</v>
      </c>
      <c r="G231">
        <v>24.91</v>
      </c>
      <c r="H231">
        <v>1</v>
      </c>
      <c r="I231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32" spans="1:9">
      <c r="A232" s="1" t="s">
        <v>653</v>
      </c>
      <c r="B232" t="s">
        <v>670</v>
      </c>
      <c r="C232" t="s">
        <v>24</v>
      </c>
      <c r="D232">
        <v>41</v>
      </c>
      <c r="E232" t="s">
        <v>21</v>
      </c>
      <c r="F232">
        <v>90</v>
      </c>
      <c r="G232">
        <v>97.26</v>
      </c>
      <c r="H232">
        <v>1</v>
      </c>
      <c r="I232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33" spans="1:9">
      <c r="A233" s="1" t="s">
        <v>85</v>
      </c>
      <c r="B233" t="s">
        <v>131</v>
      </c>
      <c r="C233" t="s">
        <v>29</v>
      </c>
      <c r="D233">
        <v>42</v>
      </c>
      <c r="E233" t="s">
        <v>21</v>
      </c>
      <c r="F233">
        <v>385</v>
      </c>
      <c r="G233">
        <v>96.52</v>
      </c>
      <c r="H233">
        <v>1</v>
      </c>
      <c r="I233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34" spans="1:9">
      <c r="A234" s="1" t="s">
        <v>140</v>
      </c>
      <c r="B234" t="s">
        <v>156</v>
      </c>
      <c r="C234" t="s">
        <v>57</v>
      </c>
      <c r="D234">
        <v>42</v>
      </c>
      <c r="E234" t="s">
        <v>21</v>
      </c>
      <c r="F234">
        <v>173</v>
      </c>
      <c r="G234">
        <v>69.19</v>
      </c>
      <c r="H234">
        <v>4</v>
      </c>
      <c r="I234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35" spans="1:9">
      <c r="A235" s="1" t="s">
        <v>191</v>
      </c>
      <c r="B235" t="s">
        <v>234</v>
      </c>
      <c r="C235" t="s">
        <v>63</v>
      </c>
      <c r="D235">
        <v>42</v>
      </c>
      <c r="E235" t="s">
        <v>11</v>
      </c>
      <c r="F235">
        <v>389</v>
      </c>
      <c r="G235">
        <v>80.08</v>
      </c>
      <c r="H235">
        <v>1</v>
      </c>
      <c r="I235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36" spans="1:9">
      <c r="A236" s="1" t="s">
        <v>447</v>
      </c>
      <c r="B236" t="s">
        <v>450</v>
      </c>
      <c r="C236" t="s">
        <v>57</v>
      </c>
      <c r="D236">
        <v>42</v>
      </c>
      <c r="E236" t="s">
        <v>14</v>
      </c>
      <c r="F236">
        <v>436</v>
      </c>
      <c r="G236">
        <v>88.12</v>
      </c>
      <c r="H236">
        <v>0</v>
      </c>
      <c r="I236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37" spans="1:9">
      <c r="A237" s="1" t="s">
        <v>602</v>
      </c>
      <c r="B237" t="s">
        <v>605</v>
      </c>
      <c r="C237" t="s">
        <v>36</v>
      </c>
      <c r="D237">
        <v>42</v>
      </c>
      <c r="E237" t="s">
        <v>11</v>
      </c>
      <c r="F237">
        <v>167</v>
      </c>
      <c r="G237">
        <v>45.85</v>
      </c>
      <c r="H237">
        <v>2</v>
      </c>
      <c r="I237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38" spans="1:9">
      <c r="A238" s="1" t="s">
        <v>653</v>
      </c>
      <c r="B238" t="s">
        <v>681</v>
      </c>
      <c r="C238" t="s">
        <v>57</v>
      </c>
      <c r="D238">
        <v>42</v>
      </c>
      <c r="E238" t="s">
        <v>14</v>
      </c>
      <c r="F238">
        <v>448</v>
      </c>
      <c r="G238">
        <v>49.02</v>
      </c>
      <c r="H238">
        <v>0</v>
      </c>
      <c r="I238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39" spans="1:9">
      <c r="A239" s="1" t="s">
        <v>756</v>
      </c>
      <c r="B239" t="s">
        <v>785</v>
      </c>
      <c r="C239" t="s">
        <v>92</v>
      </c>
      <c r="D239">
        <v>42</v>
      </c>
      <c r="E239" t="s">
        <v>14</v>
      </c>
      <c r="F239">
        <v>252</v>
      </c>
      <c r="G239">
        <v>59.46</v>
      </c>
      <c r="H239">
        <v>4</v>
      </c>
      <c r="I239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40" spans="1:9">
      <c r="A240" s="1" t="s">
        <v>140</v>
      </c>
      <c r="B240" t="s">
        <v>146</v>
      </c>
      <c r="C240" t="s">
        <v>61</v>
      </c>
      <c r="D240">
        <v>43</v>
      </c>
      <c r="E240" t="s">
        <v>14</v>
      </c>
      <c r="F240">
        <v>181</v>
      </c>
      <c r="G240">
        <v>72.39</v>
      </c>
      <c r="H240">
        <v>2</v>
      </c>
      <c r="I240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41" spans="1:9">
      <c r="A241" s="1" t="s">
        <v>395</v>
      </c>
      <c r="B241" t="s">
        <v>400</v>
      </c>
      <c r="C241" t="s">
        <v>13</v>
      </c>
      <c r="D241">
        <v>43</v>
      </c>
      <c r="E241" t="s">
        <v>32</v>
      </c>
      <c r="F241">
        <v>486</v>
      </c>
      <c r="G241">
        <v>76.42</v>
      </c>
      <c r="H241">
        <v>1</v>
      </c>
      <c r="I241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42" spans="1:9">
      <c r="A242" s="1" t="s">
        <v>447</v>
      </c>
      <c r="B242" t="s">
        <v>453</v>
      </c>
      <c r="C242" t="s">
        <v>31</v>
      </c>
      <c r="D242">
        <v>43</v>
      </c>
      <c r="E242" t="s">
        <v>14</v>
      </c>
      <c r="F242">
        <v>20</v>
      </c>
      <c r="G242">
        <v>66.680000000000007</v>
      </c>
      <c r="H242">
        <v>5</v>
      </c>
      <c r="I242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43" spans="1:9">
      <c r="A243" s="1" t="s">
        <v>447</v>
      </c>
      <c r="B243" t="s">
        <v>487</v>
      </c>
      <c r="C243" t="s">
        <v>76</v>
      </c>
      <c r="D243">
        <v>43</v>
      </c>
      <c r="E243" t="s">
        <v>21</v>
      </c>
      <c r="F243">
        <v>26</v>
      </c>
      <c r="G243">
        <v>25.85</v>
      </c>
      <c r="H243">
        <v>1</v>
      </c>
      <c r="I243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44" spans="1:9">
      <c r="A244" s="1" t="s">
        <v>499</v>
      </c>
      <c r="B244" t="s">
        <v>511</v>
      </c>
      <c r="C244" t="s">
        <v>63</v>
      </c>
      <c r="D244">
        <v>43</v>
      </c>
      <c r="E244" t="s">
        <v>32</v>
      </c>
      <c r="F244">
        <v>193</v>
      </c>
      <c r="G244">
        <v>35.81</v>
      </c>
      <c r="H244">
        <v>0</v>
      </c>
      <c r="I244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45" spans="1:9">
      <c r="A245" s="1" t="s">
        <v>653</v>
      </c>
      <c r="B245" t="s">
        <v>657</v>
      </c>
      <c r="C245" t="s">
        <v>76</v>
      </c>
      <c r="D245">
        <v>43</v>
      </c>
      <c r="E245" t="s">
        <v>32</v>
      </c>
      <c r="F245">
        <v>27</v>
      </c>
      <c r="G245">
        <v>31.48</v>
      </c>
      <c r="H245">
        <v>5</v>
      </c>
      <c r="I245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46" spans="1:9">
      <c r="A246" s="1" t="s">
        <v>8</v>
      </c>
      <c r="B246" t="s">
        <v>48</v>
      </c>
      <c r="C246" t="s">
        <v>36</v>
      </c>
      <c r="D246">
        <v>44</v>
      </c>
      <c r="E246" t="s">
        <v>14</v>
      </c>
      <c r="F246">
        <v>348</v>
      </c>
      <c r="G246">
        <v>58.67</v>
      </c>
      <c r="H246">
        <v>0</v>
      </c>
      <c r="I246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47" spans="1:9">
      <c r="A247" s="1" t="s">
        <v>85</v>
      </c>
      <c r="B247" t="s">
        <v>90</v>
      </c>
      <c r="C247" t="s">
        <v>52</v>
      </c>
      <c r="D247">
        <v>44</v>
      </c>
      <c r="E247" t="s">
        <v>11</v>
      </c>
      <c r="F247">
        <v>137</v>
      </c>
      <c r="G247">
        <v>32.58</v>
      </c>
      <c r="H247">
        <v>0</v>
      </c>
      <c r="I247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48" spans="1:9">
      <c r="A248" s="1" t="s">
        <v>242</v>
      </c>
      <c r="B248" t="s">
        <v>285</v>
      </c>
      <c r="C248" t="s">
        <v>107</v>
      </c>
      <c r="D248">
        <v>44</v>
      </c>
      <c r="E248" t="s">
        <v>14</v>
      </c>
      <c r="F248">
        <v>199</v>
      </c>
      <c r="G248">
        <v>67.650000000000006</v>
      </c>
      <c r="H248">
        <v>0</v>
      </c>
      <c r="I248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49" spans="1:9">
      <c r="A249" s="1" t="s">
        <v>293</v>
      </c>
      <c r="B249" t="s">
        <v>317</v>
      </c>
      <c r="C249" t="s">
        <v>29</v>
      </c>
      <c r="D249">
        <v>45</v>
      </c>
      <c r="E249" t="s">
        <v>21</v>
      </c>
      <c r="F249">
        <v>43</v>
      </c>
      <c r="G249">
        <v>12.31</v>
      </c>
      <c r="H249">
        <v>0</v>
      </c>
      <c r="I249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50" spans="1:9">
      <c r="A250" s="1" t="s">
        <v>395</v>
      </c>
      <c r="B250" t="s">
        <v>422</v>
      </c>
      <c r="C250" t="s">
        <v>26</v>
      </c>
      <c r="D250">
        <v>45</v>
      </c>
      <c r="E250" t="s">
        <v>14</v>
      </c>
      <c r="F250">
        <v>439</v>
      </c>
      <c r="G250">
        <v>13.62</v>
      </c>
      <c r="H250">
        <v>4</v>
      </c>
      <c r="I250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51" spans="1:9">
      <c r="A251" s="1" t="s">
        <v>395</v>
      </c>
      <c r="B251" t="s">
        <v>423</v>
      </c>
      <c r="C251" t="s">
        <v>71</v>
      </c>
      <c r="D251">
        <v>45</v>
      </c>
      <c r="E251" t="s">
        <v>21</v>
      </c>
      <c r="F251">
        <v>26</v>
      </c>
      <c r="G251">
        <v>30.35</v>
      </c>
      <c r="H251">
        <v>1</v>
      </c>
      <c r="I251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52" spans="1:9">
      <c r="A252" s="1" t="s">
        <v>447</v>
      </c>
      <c r="B252" t="s">
        <v>480</v>
      </c>
      <c r="C252" t="s">
        <v>43</v>
      </c>
      <c r="D252">
        <v>45</v>
      </c>
      <c r="E252" t="s">
        <v>21</v>
      </c>
      <c r="F252">
        <v>356</v>
      </c>
      <c r="G252">
        <v>33.76</v>
      </c>
      <c r="H252">
        <v>0</v>
      </c>
      <c r="I252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53" spans="1:9">
      <c r="A253" s="1" t="s">
        <v>499</v>
      </c>
      <c r="B253" t="s">
        <v>542</v>
      </c>
      <c r="C253" t="s">
        <v>52</v>
      </c>
      <c r="D253">
        <v>45</v>
      </c>
      <c r="E253" t="s">
        <v>32</v>
      </c>
      <c r="F253">
        <v>244</v>
      </c>
      <c r="G253">
        <v>55.17</v>
      </c>
      <c r="H253">
        <v>2</v>
      </c>
      <c r="I253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54" spans="1:9">
      <c r="A254" s="1" t="s">
        <v>705</v>
      </c>
      <c r="B254" t="s">
        <v>717</v>
      </c>
      <c r="C254" t="s">
        <v>10</v>
      </c>
      <c r="D254">
        <v>45</v>
      </c>
      <c r="E254" t="s">
        <v>11</v>
      </c>
      <c r="F254">
        <v>304</v>
      </c>
      <c r="G254">
        <v>65.540000000000006</v>
      </c>
      <c r="H254">
        <v>2</v>
      </c>
      <c r="I254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55" spans="1:9">
      <c r="A255" s="1" t="s">
        <v>8</v>
      </c>
      <c r="B255" t="s">
        <v>82</v>
      </c>
      <c r="C255" t="s">
        <v>40</v>
      </c>
      <c r="D255">
        <v>46</v>
      </c>
      <c r="E255" t="s">
        <v>32</v>
      </c>
      <c r="F255">
        <v>283</v>
      </c>
      <c r="G255">
        <v>56.05</v>
      </c>
      <c r="H255">
        <v>1</v>
      </c>
      <c r="I255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56" spans="1:9">
      <c r="A256" s="1" t="s">
        <v>551</v>
      </c>
      <c r="B256" t="s">
        <v>593</v>
      </c>
      <c r="C256" t="s">
        <v>36</v>
      </c>
      <c r="D256">
        <v>46</v>
      </c>
      <c r="E256" t="s">
        <v>11</v>
      </c>
      <c r="F256">
        <v>216</v>
      </c>
      <c r="G256">
        <v>63.74</v>
      </c>
      <c r="H256">
        <v>4</v>
      </c>
      <c r="I256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57" spans="1:9">
      <c r="A257" s="1" t="s">
        <v>705</v>
      </c>
      <c r="B257" t="s">
        <v>751</v>
      </c>
      <c r="C257" t="s">
        <v>29</v>
      </c>
      <c r="D257">
        <v>46</v>
      </c>
      <c r="E257" t="s">
        <v>32</v>
      </c>
      <c r="F257">
        <v>43</v>
      </c>
      <c r="G257">
        <v>98.44</v>
      </c>
      <c r="H257">
        <v>2</v>
      </c>
      <c r="I257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58" spans="1:9">
      <c r="A258" s="1" t="s">
        <v>8</v>
      </c>
      <c r="B258" t="s">
        <v>33</v>
      </c>
      <c r="C258" t="s">
        <v>18</v>
      </c>
      <c r="D258">
        <v>47</v>
      </c>
      <c r="E258" t="s">
        <v>14</v>
      </c>
      <c r="F258">
        <v>199</v>
      </c>
      <c r="G258">
        <v>23.19</v>
      </c>
      <c r="H258">
        <v>2</v>
      </c>
      <c r="I258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59" spans="1:9">
      <c r="A259" s="1" t="s">
        <v>140</v>
      </c>
      <c r="B259" t="s">
        <v>169</v>
      </c>
      <c r="C259" t="s">
        <v>16</v>
      </c>
      <c r="D259">
        <v>47</v>
      </c>
      <c r="E259" t="s">
        <v>14</v>
      </c>
      <c r="F259">
        <v>98</v>
      </c>
      <c r="G259">
        <v>16.16</v>
      </c>
      <c r="H259">
        <v>5</v>
      </c>
      <c r="I259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60" spans="1:9">
      <c r="A260" s="1" t="s">
        <v>293</v>
      </c>
      <c r="B260" t="s">
        <v>301</v>
      </c>
      <c r="C260" t="s">
        <v>20</v>
      </c>
      <c r="D260">
        <v>47</v>
      </c>
      <c r="E260" t="s">
        <v>21</v>
      </c>
      <c r="F260">
        <v>340</v>
      </c>
      <c r="G260">
        <v>31.02</v>
      </c>
      <c r="H260">
        <v>5</v>
      </c>
      <c r="I260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61" spans="1:9">
      <c r="A261" s="1" t="s">
        <v>344</v>
      </c>
      <c r="B261" t="s">
        <v>367</v>
      </c>
      <c r="C261" t="s">
        <v>92</v>
      </c>
      <c r="D261">
        <v>47</v>
      </c>
      <c r="E261" t="s">
        <v>32</v>
      </c>
      <c r="F261">
        <v>49</v>
      </c>
      <c r="G261">
        <v>55.88</v>
      </c>
      <c r="H261">
        <v>3</v>
      </c>
      <c r="I261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62" spans="1:9">
      <c r="A262" s="1" t="s">
        <v>395</v>
      </c>
      <c r="B262" t="s">
        <v>403</v>
      </c>
      <c r="C262" t="s">
        <v>107</v>
      </c>
      <c r="D262">
        <v>47</v>
      </c>
      <c r="E262" t="s">
        <v>11</v>
      </c>
      <c r="F262">
        <v>378</v>
      </c>
      <c r="G262">
        <v>36.42</v>
      </c>
      <c r="H262">
        <v>1</v>
      </c>
      <c r="I262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63" spans="1:9">
      <c r="A263" s="1" t="s">
        <v>447</v>
      </c>
      <c r="B263" t="s">
        <v>451</v>
      </c>
      <c r="C263" t="s">
        <v>61</v>
      </c>
      <c r="D263">
        <v>47</v>
      </c>
      <c r="E263" t="s">
        <v>11</v>
      </c>
      <c r="F263">
        <v>107</v>
      </c>
      <c r="G263">
        <v>35.380000000000003</v>
      </c>
      <c r="H263">
        <v>1</v>
      </c>
      <c r="I263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64" spans="1:9">
      <c r="A264" s="1" t="s">
        <v>447</v>
      </c>
      <c r="B264" t="s">
        <v>455</v>
      </c>
      <c r="C264" t="s">
        <v>52</v>
      </c>
      <c r="D264">
        <v>47</v>
      </c>
      <c r="E264" t="s">
        <v>11</v>
      </c>
      <c r="F264">
        <v>328</v>
      </c>
      <c r="G264">
        <v>61.27</v>
      </c>
      <c r="H264">
        <v>3</v>
      </c>
      <c r="I264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65" spans="1:9">
      <c r="A265" s="1" t="s">
        <v>447</v>
      </c>
      <c r="B265" t="s">
        <v>488</v>
      </c>
      <c r="C265" t="s">
        <v>52</v>
      </c>
      <c r="D265">
        <v>47</v>
      </c>
      <c r="E265" t="s">
        <v>14</v>
      </c>
      <c r="F265">
        <v>111</v>
      </c>
      <c r="G265">
        <v>95.18</v>
      </c>
      <c r="H265">
        <v>0</v>
      </c>
      <c r="I265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66" spans="1:9">
      <c r="A266" s="1" t="s">
        <v>447</v>
      </c>
      <c r="B266" t="s">
        <v>498</v>
      </c>
      <c r="C266" t="s">
        <v>10</v>
      </c>
      <c r="D266">
        <v>47</v>
      </c>
      <c r="E266" t="s">
        <v>11</v>
      </c>
      <c r="F266">
        <v>149</v>
      </c>
      <c r="G266">
        <v>28.35</v>
      </c>
      <c r="H266">
        <v>1</v>
      </c>
      <c r="I266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67" spans="1:9">
      <c r="A267" s="1" t="s">
        <v>551</v>
      </c>
      <c r="B267" t="s">
        <v>572</v>
      </c>
      <c r="C267" t="s">
        <v>71</v>
      </c>
      <c r="D267">
        <v>47</v>
      </c>
      <c r="E267" t="s">
        <v>21</v>
      </c>
      <c r="F267">
        <v>385</v>
      </c>
      <c r="G267">
        <v>41.33</v>
      </c>
      <c r="H267">
        <v>0</v>
      </c>
      <c r="I267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68" spans="1:9">
      <c r="A268" s="1" t="s">
        <v>551</v>
      </c>
      <c r="B268" t="s">
        <v>586</v>
      </c>
      <c r="C268" t="s">
        <v>61</v>
      </c>
      <c r="D268">
        <v>47</v>
      </c>
      <c r="E268" t="s">
        <v>32</v>
      </c>
      <c r="F268">
        <v>350</v>
      </c>
      <c r="G268">
        <v>80.48</v>
      </c>
      <c r="H268">
        <v>3</v>
      </c>
      <c r="I268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69" spans="1:9">
      <c r="A269" s="1" t="s">
        <v>551</v>
      </c>
      <c r="B269" t="s">
        <v>594</v>
      </c>
      <c r="C269" t="s">
        <v>31</v>
      </c>
      <c r="D269">
        <v>47</v>
      </c>
      <c r="E269" t="s">
        <v>32</v>
      </c>
      <c r="F269">
        <v>457</v>
      </c>
      <c r="G269">
        <v>84.93</v>
      </c>
      <c r="H269">
        <v>2</v>
      </c>
      <c r="I269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70" spans="1:9">
      <c r="A270" s="1" t="s">
        <v>191</v>
      </c>
      <c r="B270" t="s">
        <v>210</v>
      </c>
      <c r="C270" t="s">
        <v>10</v>
      </c>
      <c r="D270">
        <v>48</v>
      </c>
      <c r="E270" t="s">
        <v>14</v>
      </c>
      <c r="F270">
        <v>436</v>
      </c>
      <c r="G270">
        <v>15.17</v>
      </c>
      <c r="H270">
        <v>0</v>
      </c>
      <c r="I270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71" spans="1:9">
      <c r="A271" s="1" t="s">
        <v>191</v>
      </c>
      <c r="B271" t="s">
        <v>212</v>
      </c>
      <c r="C271" t="s">
        <v>38</v>
      </c>
      <c r="D271">
        <v>48</v>
      </c>
      <c r="E271" t="s">
        <v>11</v>
      </c>
      <c r="F271">
        <v>76</v>
      </c>
      <c r="G271">
        <v>39.35</v>
      </c>
      <c r="H271">
        <v>2</v>
      </c>
      <c r="I271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72" spans="1:9">
      <c r="A272" s="1" t="s">
        <v>191</v>
      </c>
      <c r="B272" t="s">
        <v>222</v>
      </c>
      <c r="C272" t="s">
        <v>71</v>
      </c>
      <c r="D272">
        <v>48</v>
      </c>
      <c r="E272" t="s">
        <v>14</v>
      </c>
      <c r="F272">
        <v>335</v>
      </c>
      <c r="G272">
        <v>85.09</v>
      </c>
      <c r="H272">
        <v>3</v>
      </c>
      <c r="I272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73" spans="1:9">
      <c r="A273" s="1" t="s">
        <v>293</v>
      </c>
      <c r="B273" t="s">
        <v>307</v>
      </c>
      <c r="C273" t="s">
        <v>61</v>
      </c>
      <c r="D273">
        <v>48</v>
      </c>
      <c r="E273" t="s">
        <v>32</v>
      </c>
      <c r="F273">
        <v>416</v>
      </c>
      <c r="G273">
        <v>81.260000000000005</v>
      </c>
      <c r="H273">
        <v>5</v>
      </c>
      <c r="I273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74" spans="1:9">
      <c r="A274" s="1" t="s">
        <v>293</v>
      </c>
      <c r="B274" t="s">
        <v>338</v>
      </c>
      <c r="C274" t="s">
        <v>43</v>
      </c>
      <c r="D274">
        <v>48</v>
      </c>
      <c r="E274" t="s">
        <v>21</v>
      </c>
      <c r="F274">
        <v>15</v>
      </c>
      <c r="G274">
        <v>50.67</v>
      </c>
      <c r="H274">
        <v>1</v>
      </c>
      <c r="I274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75" spans="1:9">
      <c r="A275" s="1" t="s">
        <v>499</v>
      </c>
      <c r="B275" t="s">
        <v>506</v>
      </c>
      <c r="C275" t="s">
        <v>107</v>
      </c>
      <c r="D275">
        <v>48</v>
      </c>
      <c r="E275" t="s">
        <v>21</v>
      </c>
      <c r="F275">
        <v>187</v>
      </c>
      <c r="G275">
        <v>21.26</v>
      </c>
      <c r="H275">
        <v>2</v>
      </c>
      <c r="I275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76" spans="1:9">
      <c r="A276" s="1" t="s">
        <v>551</v>
      </c>
      <c r="B276" t="s">
        <v>597</v>
      </c>
      <c r="C276" t="s">
        <v>40</v>
      </c>
      <c r="D276">
        <v>48</v>
      </c>
      <c r="E276" t="s">
        <v>14</v>
      </c>
      <c r="F276">
        <v>482</v>
      </c>
      <c r="G276">
        <v>83.24</v>
      </c>
      <c r="H276">
        <v>0</v>
      </c>
      <c r="I276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77" spans="1:9">
      <c r="A277" s="1" t="s">
        <v>653</v>
      </c>
      <c r="B277" t="s">
        <v>694</v>
      </c>
      <c r="C277" t="s">
        <v>76</v>
      </c>
      <c r="D277">
        <v>48</v>
      </c>
      <c r="E277" t="s">
        <v>32</v>
      </c>
      <c r="F277">
        <v>338</v>
      </c>
      <c r="G277">
        <v>74.42</v>
      </c>
      <c r="H277">
        <v>0</v>
      </c>
      <c r="I277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78" spans="1:9">
      <c r="A278" s="1" t="s">
        <v>756</v>
      </c>
      <c r="B278" t="s">
        <v>790</v>
      </c>
      <c r="C278" t="s">
        <v>16</v>
      </c>
      <c r="D278">
        <v>48</v>
      </c>
      <c r="E278" t="s">
        <v>32</v>
      </c>
      <c r="F278">
        <v>473</v>
      </c>
      <c r="G278">
        <v>71.52</v>
      </c>
      <c r="H278">
        <v>5</v>
      </c>
      <c r="I278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79" spans="1:9">
      <c r="A279" s="1" t="s">
        <v>191</v>
      </c>
      <c r="B279" t="s">
        <v>219</v>
      </c>
      <c r="C279" t="s">
        <v>26</v>
      </c>
      <c r="D279">
        <v>49</v>
      </c>
      <c r="E279" t="s">
        <v>32</v>
      </c>
      <c r="F279">
        <v>357</v>
      </c>
      <c r="G279">
        <v>96.67</v>
      </c>
      <c r="H279">
        <v>3</v>
      </c>
      <c r="I279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80" spans="1:9">
      <c r="A280" s="1" t="s">
        <v>242</v>
      </c>
      <c r="B280" t="s">
        <v>263</v>
      </c>
      <c r="C280" t="s">
        <v>95</v>
      </c>
      <c r="D280">
        <v>49</v>
      </c>
      <c r="E280" t="s">
        <v>21</v>
      </c>
      <c r="F280">
        <v>6</v>
      </c>
      <c r="G280">
        <v>44.41</v>
      </c>
      <c r="H280">
        <v>3</v>
      </c>
      <c r="I280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81" spans="1:9">
      <c r="A281" s="1" t="s">
        <v>395</v>
      </c>
      <c r="B281" t="s">
        <v>444</v>
      </c>
      <c r="C281" t="s">
        <v>31</v>
      </c>
      <c r="D281">
        <v>49</v>
      </c>
      <c r="E281" t="s">
        <v>11</v>
      </c>
      <c r="F281">
        <v>229</v>
      </c>
      <c r="G281">
        <v>53.94</v>
      </c>
      <c r="H281">
        <v>5</v>
      </c>
      <c r="I281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82" spans="1:9">
      <c r="A282" s="1" t="s">
        <v>653</v>
      </c>
      <c r="B282" t="s">
        <v>677</v>
      </c>
      <c r="C282" t="s">
        <v>29</v>
      </c>
      <c r="D282">
        <v>49</v>
      </c>
      <c r="E282" t="s">
        <v>21</v>
      </c>
      <c r="F282">
        <v>25</v>
      </c>
      <c r="G282">
        <v>22.77</v>
      </c>
      <c r="H282">
        <v>3</v>
      </c>
      <c r="I282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83" spans="1:9">
      <c r="A283" s="1" t="s">
        <v>756</v>
      </c>
      <c r="B283" t="s">
        <v>764</v>
      </c>
      <c r="C283" t="s">
        <v>107</v>
      </c>
      <c r="D283">
        <v>49</v>
      </c>
      <c r="E283" t="s">
        <v>14</v>
      </c>
      <c r="F283">
        <v>288</v>
      </c>
      <c r="G283">
        <v>91.32</v>
      </c>
      <c r="H283">
        <v>4</v>
      </c>
      <c r="I283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84" spans="1:9">
      <c r="A284" s="1" t="s">
        <v>85</v>
      </c>
      <c r="B284" t="s">
        <v>134</v>
      </c>
      <c r="C284" t="s">
        <v>71</v>
      </c>
      <c r="D284">
        <v>50</v>
      </c>
      <c r="E284" t="s">
        <v>14</v>
      </c>
      <c r="F284">
        <v>258</v>
      </c>
      <c r="G284">
        <v>25.06</v>
      </c>
      <c r="H284">
        <v>4</v>
      </c>
      <c r="I284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85" spans="1:9">
      <c r="A285" s="1" t="s">
        <v>293</v>
      </c>
      <c r="B285" t="s">
        <v>298</v>
      </c>
      <c r="C285" t="s">
        <v>10</v>
      </c>
      <c r="D285">
        <v>50</v>
      </c>
      <c r="E285" t="s">
        <v>11</v>
      </c>
      <c r="F285">
        <v>108</v>
      </c>
      <c r="G285">
        <v>43.81</v>
      </c>
      <c r="H285">
        <v>5</v>
      </c>
      <c r="I285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86" spans="1:9">
      <c r="A286" s="1" t="s">
        <v>293</v>
      </c>
      <c r="B286" t="s">
        <v>300</v>
      </c>
      <c r="C286" t="s">
        <v>38</v>
      </c>
      <c r="D286">
        <v>50</v>
      </c>
      <c r="E286" t="s">
        <v>14</v>
      </c>
      <c r="F286">
        <v>248</v>
      </c>
      <c r="G286">
        <v>69.42</v>
      </c>
      <c r="H286">
        <v>0</v>
      </c>
      <c r="I286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87" spans="1:9">
      <c r="A287" s="1" t="s">
        <v>293</v>
      </c>
      <c r="B287" t="s">
        <v>325</v>
      </c>
      <c r="C287" t="s">
        <v>26</v>
      </c>
      <c r="D287">
        <v>50</v>
      </c>
      <c r="E287" t="s">
        <v>21</v>
      </c>
      <c r="F287">
        <v>446</v>
      </c>
      <c r="G287">
        <v>31.56</v>
      </c>
      <c r="H287">
        <v>5</v>
      </c>
      <c r="I287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88" spans="1:9">
      <c r="A288" s="1" t="s">
        <v>395</v>
      </c>
      <c r="B288" t="s">
        <v>398</v>
      </c>
      <c r="C288" t="s">
        <v>63</v>
      </c>
      <c r="D288">
        <v>50</v>
      </c>
      <c r="E288" t="s">
        <v>14</v>
      </c>
      <c r="F288">
        <v>435</v>
      </c>
      <c r="G288">
        <v>27.86</v>
      </c>
      <c r="H288">
        <v>3</v>
      </c>
      <c r="I288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89" spans="1:9">
      <c r="A289" s="1" t="s">
        <v>602</v>
      </c>
      <c r="B289" t="s">
        <v>616</v>
      </c>
      <c r="C289" t="s">
        <v>57</v>
      </c>
      <c r="D289">
        <v>50</v>
      </c>
      <c r="E289" t="s">
        <v>21</v>
      </c>
      <c r="F289">
        <v>177</v>
      </c>
      <c r="G289">
        <v>74.569999999999993</v>
      </c>
      <c r="H289">
        <v>4</v>
      </c>
      <c r="I289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90" spans="1:9">
      <c r="A290" s="1" t="s">
        <v>191</v>
      </c>
      <c r="B290" t="s">
        <v>233</v>
      </c>
      <c r="C290" t="s">
        <v>61</v>
      </c>
      <c r="D290">
        <v>51</v>
      </c>
      <c r="E290" t="s">
        <v>21</v>
      </c>
      <c r="F290">
        <v>433</v>
      </c>
      <c r="G290">
        <v>12.89</v>
      </c>
      <c r="H290">
        <v>1</v>
      </c>
      <c r="I290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91" spans="1:9">
      <c r="A291" s="1" t="s">
        <v>242</v>
      </c>
      <c r="B291" t="s">
        <v>254</v>
      </c>
      <c r="C291" t="s">
        <v>18</v>
      </c>
      <c r="D291">
        <v>51</v>
      </c>
      <c r="E291" t="s">
        <v>11</v>
      </c>
      <c r="F291">
        <v>336</v>
      </c>
      <c r="G291">
        <v>65.47</v>
      </c>
      <c r="H291">
        <v>1</v>
      </c>
      <c r="I291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92" spans="1:9">
      <c r="A292" s="1" t="s">
        <v>344</v>
      </c>
      <c r="B292" t="s">
        <v>383</v>
      </c>
      <c r="C292" t="s">
        <v>57</v>
      </c>
      <c r="D292">
        <v>51</v>
      </c>
      <c r="E292" t="s">
        <v>32</v>
      </c>
      <c r="F292">
        <v>222</v>
      </c>
      <c r="G292">
        <v>18.95</v>
      </c>
      <c r="H292">
        <v>4</v>
      </c>
      <c r="I292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93" spans="1:9">
      <c r="A293" s="1" t="s">
        <v>602</v>
      </c>
      <c r="B293" t="s">
        <v>617</v>
      </c>
      <c r="C293" t="s">
        <v>107</v>
      </c>
      <c r="D293">
        <v>51</v>
      </c>
      <c r="E293" t="s">
        <v>14</v>
      </c>
      <c r="F293">
        <v>337</v>
      </c>
      <c r="G293">
        <v>68.67</v>
      </c>
      <c r="H293">
        <v>5</v>
      </c>
      <c r="I293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94" spans="1:9">
      <c r="A294" s="1" t="s">
        <v>602</v>
      </c>
      <c r="B294" t="s">
        <v>642</v>
      </c>
      <c r="C294" t="s">
        <v>65</v>
      </c>
      <c r="D294">
        <v>51</v>
      </c>
      <c r="E294" t="s">
        <v>11</v>
      </c>
      <c r="F294">
        <v>389</v>
      </c>
      <c r="G294">
        <v>50.45</v>
      </c>
      <c r="H294">
        <v>3</v>
      </c>
      <c r="I294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95" spans="1:9">
      <c r="A295" s="1" t="s">
        <v>602</v>
      </c>
      <c r="B295" t="s">
        <v>647</v>
      </c>
      <c r="C295" t="s">
        <v>24</v>
      </c>
      <c r="D295">
        <v>51</v>
      </c>
      <c r="E295" t="s">
        <v>21</v>
      </c>
      <c r="F295">
        <v>152</v>
      </c>
      <c r="G295">
        <v>34.630000000000003</v>
      </c>
      <c r="H295">
        <v>2</v>
      </c>
      <c r="I295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96" spans="1:9">
      <c r="A296" s="1" t="s">
        <v>191</v>
      </c>
      <c r="B296" t="s">
        <v>192</v>
      </c>
      <c r="C296" t="s">
        <v>10</v>
      </c>
      <c r="D296">
        <v>52</v>
      </c>
      <c r="E296" t="s">
        <v>21</v>
      </c>
      <c r="F296">
        <v>119</v>
      </c>
      <c r="G296">
        <v>64.709999999999994</v>
      </c>
      <c r="H296">
        <v>4</v>
      </c>
      <c r="I296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97" spans="1:9">
      <c r="A297" s="1" t="s">
        <v>242</v>
      </c>
      <c r="B297" t="s">
        <v>250</v>
      </c>
      <c r="C297" t="s">
        <v>13</v>
      </c>
      <c r="D297">
        <v>52</v>
      </c>
      <c r="E297" t="s">
        <v>11</v>
      </c>
      <c r="F297">
        <v>234</v>
      </c>
      <c r="G297">
        <v>62.87</v>
      </c>
      <c r="H297">
        <v>0</v>
      </c>
      <c r="I297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98" spans="1:9">
      <c r="A298" s="1" t="s">
        <v>551</v>
      </c>
      <c r="B298" t="s">
        <v>556</v>
      </c>
      <c r="C298" t="s">
        <v>26</v>
      </c>
      <c r="D298">
        <v>52</v>
      </c>
      <c r="E298" t="s">
        <v>32</v>
      </c>
      <c r="F298">
        <v>425</v>
      </c>
      <c r="G298">
        <v>97.25</v>
      </c>
      <c r="H298">
        <v>0</v>
      </c>
      <c r="I298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299" spans="1:9">
      <c r="A299" s="1" t="s">
        <v>602</v>
      </c>
      <c r="B299" t="s">
        <v>646</v>
      </c>
      <c r="C299" t="s">
        <v>36</v>
      </c>
      <c r="D299">
        <v>52</v>
      </c>
      <c r="E299" t="s">
        <v>14</v>
      </c>
      <c r="F299">
        <v>307</v>
      </c>
      <c r="G299">
        <v>81.38</v>
      </c>
      <c r="H299">
        <v>2</v>
      </c>
      <c r="I299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00" spans="1:9">
      <c r="A300" s="1" t="s">
        <v>85</v>
      </c>
      <c r="B300" t="s">
        <v>112</v>
      </c>
      <c r="C300" t="s">
        <v>40</v>
      </c>
      <c r="D300">
        <v>53</v>
      </c>
      <c r="E300" t="s">
        <v>11</v>
      </c>
      <c r="F300">
        <v>385</v>
      </c>
      <c r="G300">
        <v>68.78</v>
      </c>
      <c r="H300">
        <v>3</v>
      </c>
      <c r="I300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01" spans="1:9">
      <c r="A301" s="1" t="s">
        <v>140</v>
      </c>
      <c r="B301" t="s">
        <v>142</v>
      </c>
      <c r="C301" t="s">
        <v>79</v>
      </c>
      <c r="D301">
        <v>53</v>
      </c>
      <c r="E301" t="s">
        <v>21</v>
      </c>
      <c r="F301">
        <v>345</v>
      </c>
      <c r="G301">
        <v>83.73</v>
      </c>
      <c r="H301">
        <v>0</v>
      </c>
      <c r="I301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02" spans="1:9">
      <c r="A302" s="1" t="s">
        <v>551</v>
      </c>
      <c r="B302" t="s">
        <v>568</v>
      </c>
      <c r="C302" t="s">
        <v>71</v>
      </c>
      <c r="D302">
        <v>53</v>
      </c>
      <c r="E302" t="s">
        <v>11</v>
      </c>
      <c r="F302">
        <v>27</v>
      </c>
      <c r="G302">
        <v>18.77</v>
      </c>
      <c r="H302">
        <v>0</v>
      </c>
      <c r="I302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03" spans="1:9">
      <c r="A303" s="1" t="s">
        <v>551</v>
      </c>
      <c r="B303" t="s">
        <v>574</v>
      </c>
      <c r="C303" t="s">
        <v>18</v>
      </c>
      <c r="D303">
        <v>53</v>
      </c>
      <c r="E303" t="s">
        <v>32</v>
      </c>
      <c r="F303">
        <v>243</v>
      </c>
      <c r="G303">
        <v>55.19</v>
      </c>
      <c r="H303">
        <v>4</v>
      </c>
      <c r="I303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04" spans="1:9">
      <c r="A304" s="1" t="s">
        <v>140</v>
      </c>
      <c r="B304" t="s">
        <v>153</v>
      </c>
      <c r="C304" t="s">
        <v>71</v>
      </c>
      <c r="D304">
        <v>54</v>
      </c>
      <c r="E304" t="s">
        <v>14</v>
      </c>
      <c r="F304">
        <v>99</v>
      </c>
      <c r="G304">
        <v>39.58</v>
      </c>
      <c r="H304">
        <v>0</v>
      </c>
      <c r="I304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05" spans="1:9">
      <c r="A305" s="1" t="s">
        <v>447</v>
      </c>
      <c r="B305" t="s">
        <v>472</v>
      </c>
      <c r="C305" t="s">
        <v>40</v>
      </c>
      <c r="D305">
        <v>54</v>
      </c>
      <c r="E305" t="s">
        <v>14</v>
      </c>
      <c r="F305">
        <v>450</v>
      </c>
      <c r="G305">
        <v>90.85</v>
      </c>
      <c r="H305">
        <v>1</v>
      </c>
      <c r="I305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06" spans="1:9">
      <c r="A306" s="1" t="s">
        <v>756</v>
      </c>
      <c r="B306" t="s">
        <v>772</v>
      </c>
      <c r="C306" t="s">
        <v>107</v>
      </c>
      <c r="D306">
        <v>54</v>
      </c>
      <c r="E306" t="s">
        <v>21</v>
      </c>
      <c r="F306">
        <v>215</v>
      </c>
      <c r="G306">
        <v>54.69</v>
      </c>
      <c r="H306">
        <v>0</v>
      </c>
      <c r="I306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07" spans="1:9">
      <c r="A307" s="1" t="s">
        <v>140</v>
      </c>
      <c r="B307" t="s">
        <v>184</v>
      </c>
      <c r="C307" t="s">
        <v>38</v>
      </c>
      <c r="D307">
        <v>55</v>
      </c>
      <c r="E307" t="s">
        <v>14</v>
      </c>
      <c r="F307">
        <v>407</v>
      </c>
      <c r="G307">
        <v>23.11</v>
      </c>
      <c r="H307">
        <v>0</v>
      </c>
      <c r="I307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08" spans="1:9">
      <c r="A308" s="1" t="s">
        <v>293</v>
      </c>
      <c r="B308" t="s">
        <v>335</v>
      </c>
      <c r="C308" t="s">
        <v>31</v>
      </c>
      <c r="D308">
        <v>55</v>
      </c>
      <c r="E308" t="s">
        <v>11</v>
      </c>
      <c r="F308">
        <v>389</v>
      </c>
      <c r="G308">
        <v>67.430000000000007</v>
      </c>
      <c r="H308">
        <v>3</v>
      </c>
      <c r="I308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09" spans="1:9">
      <c r="A309" s="1" t="s">
        <v>344</v>
      </c>
      <c r="B309" t="s">
        <v>385</v>
      </c>
      <c r="C309" t="s">
        <v>38</v>
      </c>
      <c r="D309">
        <v>55</v>
      </c>
      <c r="E309" t="s">
        <v>32</v>
      </c>
      <c r="F309">
        <v>86</v>
      </c>
      <c r="G309">
        <v>17.440000000000001</v>
      </c>
      <c r="H309">
        <v>2</v>
      </c>
      <c r="I309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10" spans="1:9">
      <c r="A310" s="1" t="s">
        <v>499</v>
      </c>
      <c r="B310" t="s">
        <v>527</v>
      </c>
      <c r="C310" t="s">
        <v>52</v>
      </c>
      <c r="D310">
        <v>55</v>
      </c>
      <c r="E310" t="s">
        <v>14</v>
      </c>
      <c r="F310">
        <v>355</v>
      </c>
      <c r="G310">
        <v>59.65</v>
      </c>
      <c r="H310">
        <v>0</v>
      </c>
      <c r="I310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11" spans="1:9">
      <c r="A311" s="1" t="s">
        <v>602</v>
      </c>
      <c r="B311" t="s">
        <v>608</v>
      </c>
      <c r="C311" t="s">
        <v>40</v>
      </c>
      <c r="D311">
        <v>55</v>
      </c>
      <c r="E311" t="s">
        <v>21</v>
      </c>
      <c r="F311">
        <v>60</v>
      </c>
      <c r="G311">
        <v>32.51</v>
      </c>
      <c r="H311">
        <v>4</v>
      </c>
      <c r="I311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12" spans="1:9">
      <c r="A312" s="1" t="s">
        <v>140</v>
      </c>
      <c r="B312" t="s">
        <v>181</v>
      </c>
      <c r="C312" t="s">
        <v>107</v>
      </c>
      <c r="D312">
        <v>56</v>
      </c>
      <c r="E312" t="s">
        <v>14</v>
      </c>
      <c r="F312">
        <v>333</v>
      </c>
      <c r="G312">
        <v>23.01</v>
      </c>
      <c r="H312">
        <v>2</v>
      </c>
      <c r="I312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13" spans="1:9">
      <c r="A313" s="1" t="s">
        <v>293</v>
      </c>
      <c r="B313" t="s">
        <v>322</v>
      </c>
      <c r="C313" t="s">
        <v>63</v>
      </c>
      <c r="D313">
        <v>56</v>
      </c>
      <c r="E313" t="s">
        <v>11</v>
      </c>
      <c r="F313">
        <v>55</v>
      </c>
      <c r="G313">
        <v>82.56</v>
      </c>
      <c r="H313">
        <v>2</v>
      </c>
      <c r="I313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14" spans="1:9">
      <c r="A314" s="1" t="s">
        <v>447</v>
      </c>
      <c r="B314" t="s">
        <v>492</v>
      </c>
      <c r="C314" t="s">
        <v>31</v>
      </c>
      <c r="D314">
        <v>56</v>
      </c>
      <c r="E314" t="s">
        <v>14</v>
      </c>
      <c r="F314">
        <v>114</v>
      </c>
      <c r="G314">
        <v>64.39</v>
      </c>
      <c r="H314">
        <v>1</v>
      </c>
      <c r="I314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15" spans="1:9">
      <c r="A315" s="1" t="s">
        <v>602</v>
      </c>
      <c r="B315" t="s">
        <v>609</v>
      </c>
      <c r="C315" t="s">
        <v>92</v>
      </c>
      <c r="D315">
        <v>56</v>
      </c>
      <c r="E315" t="s">
        <v>32</v>
      </c>
      <c r="F315">
        <v>354</v>
      </c>
      <c r="G315">
        <v>32.08</v>
      </c>
      <c r="H315">
        <v>1</v>
      </c>
      <c r="I315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16" spans="1:9">
      <c r="A316" s="1" t="s">
        <v>602</v>
      </c>
      <c r="B316" t="s">
        <v>630</v>
      </c>
      <c r="C316" t="s">
        <v>24</v>
      </c>
      <c r="D316">
        <v>56</v>
      </c>
      <c r="E316" t="s">
        <v>14</v>
      </c>
      <c r="F316">
        <v>379</v>
      </c>
      <c r="G316">
        <v>49.01</v>
      </c>
      <c r="H316">
        <v>0</v>
      </c>
      <c r="I316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17" spans="1:9">
      <c r="A317" s="1" t="s">
        <v>653</v>
      </c>
      <c r="B317" t="s">
        <v>666</v>
      </c>
      <c r="C317" t="s">
        <v>95</v>
      </c>
      <c r="D317">
        <v>56</v>
      </c>
      <c r="E317" t="s">
        <v>32</v>
      </c>
      <c r="F317">
        <v>123</v>
      </c>
      <c r="G317">
        <v>29.76</v>
      </c>
      <c r="H317">
        <v>5</v>
      </c>
      <c r="I317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18" spans="1:9">
      <c r="A318" s="1" t="s">
        <v>705</v>
      </c>
      <c r="B318" t="s">
        <v>710</v>
      </c>
      <c r="C318" t="s">
        <v>79</v>
      </c>
      <c r="D318">
        <v>56</v>
      </c>
      <c r="E318" t="s">
        <v>14</v>
      </c>
      <c r="F318">
        <v>27</v>
      </c>
      <c r="G318">
        <v>46.41</v>
      </c>
      <c r="H318">
        <v>3</v>
      </c>
      <c r="I318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19" spans="1:9">
      <c r="A319" s="1" t="s">
        <v>705</v>
      </c>
      <c r="B319" t="s">
        <v>712</v>
      </c>
      <c r="C319" t="s">
        <v>16</v>
      </c>
      <c r="D319">
        <v>56</v>
      </c>
      <c r="E319" t="s">
        <v>21</v>
      </c>
      <c r="F319">
        <v>367</v>
      </c>
      <c r="G319">
        <v>72.790000000000006</v>
      </c>
      <c r="H319">
        <v>1</v>
      </c>
      <c r="I319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20" spans="1:9">
      <c r="A320" s="1" t="s">
        <v>8</v>
      </c>
      <c r="B320" t="s">
        <v>39</v>
      </c>
      <c r="C320" t="s">
        <v>40</v>
      </c>
      <c r="D320">
        <v>57</v>
      </c>
      <c r="E320" t="s">
        <v>21</v>
      </c>
      <c r="F320">
        <v>329</v>
      </c>
      <c r="G320">
        <v>50.39</v>
      </c>
      <c r="H320">
        <v>5</v>
      </c>
      <c r="I320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21" spans="1:9">
      <c r="A321" s="1" t="s">
        <v>85</v>
      </c>
      <c r="B321" t="s">
        <v>132</v>
      </c>
      <c r="C321" t="s">
        <v>13</v>
      </c>
      <c r="D321">
        <v>57</v>
      </c>
      <c r="E321" t="s">
        <v>14</v>
      </c>
      <c r="F321">
        <v>208</v>
      </c>
      <c r="G321">
        <v>85.66</v>
      </c>
      <c r="H321">
        <v>5</v>
      </c>
      <c r="I321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22" spans="1:9">
      <c r="A322" s="1" t="s">
        <v>242</v>
      </c>
      <c r="B322" t="s">
        <v>286</v>
      </c>
      <c r="C322" t="s">
        <v>18</v>
      </c>
      <c r="D322">
        <v>57</v>
      </c>
      <c r="E322" t="s">
        <v>21</v>
      </c>
      <c r="F322">
        <v>435</v>
      </c>
      <c r="G322">
        <v>56.88</v>
      </c>
      <c r="H322">
        <v>4</v>
      </c>
      <c r="I322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23" spans="1:9">
      <c r="A323" s="1" t="s">
        <v>551</v>
      </c>
      <c r="B323" t="s">
        <v>558</v>
      </c>
      <c r="C323" t="s">
        <v>65</v>
      </c>
      <c r="D323">
        <v>57</v>
      </c>
      <c r="E323" t="s">
        <v>14</v>
      </c>
      <c r="F323">
        <v>493</v>
      </c>
      <c r="G323">
        <v>43.98</v>
      </c>
      <c r="H323">
        <v>3</v>
      </c>
      <c r="I323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24" spans="1:9">
      <c r="A324" s="1" t="s">
        <v>551</v>
      </c>
      <c r="B324" t="s">
        <v>590</v>
      </c>
      <c r="C324" t="s">
        <v>10</v>
      </c>
      <c r="D324">
        <v>57</v>
      </c>
      <c r="E324" t="s">
        <v>14</v>
      </c>
      <c r="F324">
        <v>447</v>
      </c>
      <c r="G324">
        <v>23.27</v>
      </c>
      <c r="H324">
        <v>3</v>
      </c>
      <c r="I324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25" spans="1:9">
      <c r="A325" s="1" t="s">
        <v>756</v>
      </c>
      <c r="B325" t="s">
        <v>799</v>
      </c>
      <c r="C325" t="s">
        <v>61</v>
      </c>
      <c r="D325">
        <v>57</v>
      </c>
      <c r="E325" t="s">
        <v>21</v>
      </c>
      <c r="F325">
        <v>375</v>
      </c>
      <c r="G325">
        <v>64.73</v>
      </c>
      <c r="H325">
        <v>1</v>
      </c>
      <c r="I325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26" spans="1:9">
      <c r="A326" s="1" t="s">
        <v>85</v>
      </c>
      <c r="B326" t="s">
        <v>123</v>
      </c>
      <c r="C326" t="s">
        <v>29</v>
      </c>
      <c r="D326">
        <v>58</v>
      </c>
      <c r="E326" t="s">
        <v>14</v>
      </c>
      <c r="F326">
        <v>423</v>
      </c>
      <c r="G326">
        <v>80.459999999999994</v>
      </c>
      <c r="H326">
        <v>0</v>
      </c>
      <c r="I326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27" spans="1:9">
      <c r="A327" s="1" t="s">
        <v>85</v>
      </c>
      <c r="B327" t="s">
        <v>136</v>
      </c>
      <c r="C327" t="s">
        <v>61</v>
      </c>
      <c r="D327">
        <v>58</v>
      </c>
      <c r="E327" t="s">
        <v>21</v>
      </c>
      <c r="F327">
        <v>61</v>
      </c>
      <c r="G327">
        <v>58.64</v>
      </c>
      <c r="H327">
        <v>3</v>
      </c>
      <c r="I327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28" spans="1:9">
      <c r="A328" s="1" t="s">
        <v>140</v>
      </c>
      <c r="B328" t="s">
        <v>174</v>
      </c>
      <c r="C328" t="s">
        <v>26</v>
      </c>
      <c r="D328">
        <v>58</v>
      </c>
      <c r="E328" t="s">
        <v>14</v>
      </c>
      <c r="F328">
        <v>293</v>
      </c>
      <c r="G328">
        <v>88.85</v>
      </c>
      <c r="H328">
        <v>5</v>
      </c>
      <c r="I328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29" spans="1:9">
      <c r="A329" s="1" t="s">
        <v>191</v>
      </c>
      <c r="B329" t="s">
        <v>205</v>
      </c>
      <c r="C329" t="s">
        <v>40</v>
      </c>
      <c r="D329">
        <v>58</v>
      </c>
      <c r="E329" t="s">
        <v>14</v>
      </c>
      <c r="F329">
        <v>405</v>
      </c>
      <c r="G329">
        <v>18.39</v>
      </c>
      <c r="H329">
        <v>0</v>
      </c>
      <c r="I329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30" spans="1:9">
      <c r="A330" s="1" t="s">
        <v>499</v>
      </c>
      <c r="B330" t="s">
        <v>541</v>
      </c>
      <c r="C330" t="s">
        <v>10</v>
      </c>
      <c r="D330">
        <v>58</v>
      </c>
      <c r="E330" t="s">
        <v>32</v>
      </c>
      <c r="F330">
        <v>485</v>
      </c>
      <c r="G330">
        <v>64.290000000000006</v>
      </c>
      <c r="H330">
        <v>4</v>
      </c>
      <c r="I330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31" spans="1:9">
      <c r="A331" s="1" t="s">
        <v>551</v>
      </c>
      <c r="B331" t="s">
        <v>566</v>
      </c>
      <c r="C331" t="s">
        <v>76</v>
      </c>
      <c r="D331">
        <v>58</v>
      </c>
      <c r="E331" t="s">
        <v>11</v>
      </c>
      <c r="F331">
        <v>352</v>
      </c>
      <c r="G331">
        <v>72.94</v>
      </c>
      <c r="H331">
        <v>0</v>
      </c>
      <c r="I331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32" spans="1:9">
      <c r="A332" s="1" t="s">
        <v>756</v>
      </c>
      <c r="B332" t="s">
        <v>804</v>
      </c>
      <c r="C332" t="s">
        <v>10</v>
      </c>
      <c r="D332">
        <v>58</v>
      </c>
      <c r="E332" t="s">
        <v>32</v>
      </c>
      <c r="F332">
        <v>485</v>
      </c>
      <c r="G332">
        <v>65.41</v>
      </c>
      <c r="H332">
        <v>5</v>
      </c>
      <c r="I332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33" spans="1:9">
      <c r="A333" s="1" t="s">
        <v>8</v>
      </c>
      <c r="B333" t="s">
        <v>80</v>
      </c>
      <c r="C333" t="s">
        <v>43</v>
      </c>
      <c r="D333">
        <v>59</v>
      </c>
      <c r="E333" t="s">
        <v>21</v>
      </c>
      <c r="F333">
        <v>454</v>
      </c>
      <c r="G333">
        <v>10.47</v>
      </c>
      <c r="H333">
        <v>5</v>
      </c>
      <c r="I333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34" spans="1:9">
      <c r="A334" s="1" t="s">
        <v>85</v>
      </c>
      <c r="B334" t="s">
        <v>88</v>
      </c>
      <c r="C334" t="s">
        <v>20</v>
      </c>
      <c r="D334">
        <v>59</v>
      </c>
      <c r="E334" t="s">
        <v>21</v>
      </c>
      <c r="F334">
        <v>192</v>
      </c>
      <c r="G334">
        <v>86.17</v>
      </c>
      <c r="H334">
        <v>1</v>
      </c>
      <c r="I334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35" spans="1:9">
      <c r="A335" s="1" t="s">
        <v>140</v>
      </c>
      <c r="B335" t="s">
        <v>150</v>
      </c>
      <c r="C335" t="s">
        <v>79</v>
      </c>
      <c r="D335">
        <v>59</v>
      </c>
      <c r="E335" t="s">
        <v>14</v>
      </c>
      <c r="F335">
        <v>196</v>
      </c>
      <c r="G335">
        <v>62.53</v>
      </c>
      <c r="H335">
        <v>0</v>
      </c>
      <c r="I335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36" spans="1:9">
      <c r="A336" s="1" t="s">
        <v>344</v>
      </c>
      <c r="B336" t="s">
        <v>369</v>
      </c>
      <c r="C336" t="s">
        <v>26</v>
      </c>
      <c r="D336">
        <v>59</v>
      </c>
      <c r="E336" t="s">
        <v>32</v>
      </c>
      <c r="F336">
        <v>352</v>
      </c>
      <c r="G336">
        <v>74.239999999999995</v>
      </c>
      <c r="H336">
        <v>0</v>
      </c>
      <c r="I336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37" spans="1:9">
      <c r="A337" s="1" t="s">
        <v>344</v>
      </c>
      <c r="B337" t="s">
        <v>386</v>
      </c>
      <c r="C337" t="s">
        <v>52</v>
      </c>
      <c r="D337">
        <v>59</v>
      </c>
      <c r="E337" t="s">
        <v>11</v>
      </c>
      <c r="F337">
        <v>369</v>
      </c>
      <c r="G337">
        <v>26.64</v>
      </c>
      <c r="H337">
        <v>4</v>
      </c>
      <c r="I337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38" spans="1:9">
      <c r="A338" s="1" t="s">
        <v>551</v>
      </c>
      <c r="B338" t="s">
        <v>573</v>
      </c>
      <c r="C338" t="s">
        <v>95</v>
      </c>
      <c r="D338">
        <v>59</v>
      </c>
      <c r="E338" t="s">
        <v>11</v>
      </c>
      <c r="F338">
        <v>72</v>
      </c>
      <c r="G338">
        <v>94.51</v>
      </c>
      <c r="H338">
        <v>2</v>
      </c>
      <c r="I338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39" spans="1:9">
      <c r="A339" s="1" t="s">
        <v>653</v>
      </c>
      <c r="B339" t="s">
        <v>687</v>
      </c>
      <c r="C339" t="s">
        <v>10</v>
      </c>
      <c r="D339">
        <v>59</v>
      </c>
      <c r="E339" t="s">
        <v>14</v>
      </c>
      <c r="F339">
        <v>150</v>
      </c>
      <c r="G339">
        <v>71.13</v>
      </c>
      <c r="H339">
        <v>0</v>
      </c>
      <c r="I339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40" spans="1:9">
      <c r="A340" s="1" t="s">
        <v>705</v>
      </c>
      <c r="B340" t="s">
        <v>718</v>
      </c>
      <c r="C340" t="s">
        <v>63</v>
      </c>
      <c r="D340">
        <v>59</v>
      </c>
      <c r="E340" t="s">
        <v>21</v>
      </c>
      <c r="F340">
        <v>64</v>
      </c>
      <c r="G340">
        <v>20.32</v>
      </c>
      <c r="H340">
        <v>0</v>
      </c>
      <c r="I340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41" spans="1:9">
      <c r="A341" s="1" t="s">
        <v>140</v>
      </c>
      <c r="B341" t="s">
        <v>182</v>
      </c>
      <c r="C341" t="s">
        <v>63</v>
      </c>
      <c r="D341">
        <v>60</v>
      </c>
      <c r="E341" t="s">
        <v>14</v>
      </c>
      <c r="F341">
        <v>168</v>
      </c>
      <c r="G341">
        <v>67.650000000000006</v>
      </c>
      <c r="H341">
        <v>1</v>
      </c>
      <c r="I341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42" spans="1:9">
      <c r="A342" s="1" t="s">
        <v>191</v>
      </c>
      <c r="B342" t="s">
        <v>197</v>
      </c>
      <c r="C342" t="s">
        <v>31</v>
      </c>
      <c r="D342">
        <v>60</v>
      </c>
      <c r="E342" t="s">
        <v>11</v>
      </c>
      <c r="F342">
        <v>334</v>
      </c>
      <c r="G342">
        <v>71.72</v>
      </c>
      <c r="H342">
        <v>3</v>
      </c>
      <c r="I342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43" spans="1:9">
      <c r="A343" s="1" t="s">
        <v>242</v>
      </c>
      <c r="B343" t="s">
        <v>272</v>
      </c>
      <c r="C343" t="s">
        <v>52</v>
      </c>
      <c r="D343">
        <v>60</v>
      </c>
      <c r="E343" t="s">
        <v>21</v>
      </c>
      <c r="F343">
        <v>161</v>
      </c>
      <c r="G343">
        <v>62.65</v>
      </c>
      <c r="H343">
        <v>0</v>
      </c>
      <c r="I343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44" spans="1:9">
      <c r="A344" s="1" t="s">
        <v>242</v>
      </c>
      <c r="B344" t="s">
        <v>275</v>
      </c>
      <c r="C344" t="s">
        <v>36</v>
      </c>
      <c r="D344">
        <v>60</v>
      </c>
      <c r="E344" t="s">
        <v>14</v>
      </c>
      <c r="F344">
        <v>306</v>
      </c>
      <c r="G344">
        <v>63.83</v>
      </c>
      <c r="H344">
        <v>2</v>
      </c>
      <c r="I344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45" spans="1:9">
      <c r="A345" s="1" t="s">
        <v>242</v>
      </c>
      <c r="B345" t="s">
        <v>278</v>
      </c>
      <c r="C345" t="s">
        <v>40</v>
      </c>
      <c r="D345">
        <v>60</v>
      </c>
      <c r="E345" t="s">
        <v>21</v>
      </c>
      <c r="F345">
        <v>54</v>
      </c>
      <c r="G345">
        <v>67.180000000000007</v>
      </c>
      <c r="H345">
        <v>3</v>
      </c>
      <c r="I345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46" spans="1:9">
      <c r="A346" s="1" t="s">
        <v>242</v>
      </c>
      <c r="B346" t="s">
        <v>284</v>
      </c>
      <c r="C346" t="s">
        <v>26</v>
      </c>
      <c r="D346">
        <v>60</v>
      </c>
      <c r="E346" t="s">
        <v>21</v>
      </c>
      <c r="F346">
        <v>154</v>
      </c>
      <c r="G346">
        <v>13.41</v>
      </c>
      <c r="H346">
        <v>5</v>
      </c>
      <c r="I346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47" spans="1:9">
      <c r="A347" s="1" t="s">
        <v>191</v>
      </c>
      <c r="B347" t="s">
        <v>241</v>
      </c>
      <c r="C347" t="s">
        <v>24</v>
      </c>
      <c r="D347">
        <v>61</v>
      </c>
      <c r="E347" t="s">
        <v>14</v>
      </c>
      <c r="F347">
        <v>383</v>
      </c>
      <c r="G347">
        <v>39.72</v>
      </c>
      <c r="H347">
        <v>4</v>
      </c>
      <c r="I347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48" spans="1:9">
      <c r="A348" s="1" t="s">
        <v>242</v>
      </c>
      <c r="B348" t="s">
        <v>264</v>
      </c>
      <c r="C348" t="s">
        <v>26</v>
      </c>
      <c r="D348">
        <v>61</v>
      </c>
      <c r="E348" t="s">
        <v>21</v>
      </c>
      <c r="F348">
        <v>87</v>
      </c>
      <c r="G348">
        <v>68.319999999999993</v>
      </c>
      <c r="H348">
        <v>2</v>
      </c>
      <c r="I348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49" spans="1:9">
      <c r="A349" s="1" t="s">
        <v>447</v>
      </c>
      <c r="B349" t="s">
        <v>495</v>
      </c>
      <c r="C349" t="s">
        <v>18</v>
      </c>
      <c r="D349">
        <v>61</v>
      </c>
      <c r="E349" t="s">
        <v>11</v>
      </c>
      <c r="F349">
        <v>362</v>
      </c>
      <c r="G349">
        <v>75.03</v>
      </c>
      <c r="H349">
        <v>0</v>
      </c>
      <c r="I349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50" spans="1:9">
      <c r="A350" s="1" t="s">
        <v>191</v>
      </c>
      <c r="B350" t="s">
        <v>237</v>
      </c>
      <c r="C350" t="s">
        <v>10</v>
      </c>
      <c r="D350">
        <v>62</v>
      </c>
      <c r="E350" t="s">
        <v>32</v>
      </c>
      <c r="F350">
        <v>116</v>
      </c>
      <c r="G350">
        <v>92.99</v>
      </c>
      <c r="H350">
        <v>5</v>
      </c>
      <c r="I350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51" spans="1:9">
      <c r="A351" s="1" t="s">
        <v>293</v>
      </c>
      <c r="B351" t="s">
        <v>321</v>
      </c>
      <c r="C351" t="s">
        <v>65</v>
      </c>
      <c r="D351">
        <v>62</v>
      </c>
      <c r="E351" t="s">
        <v>21</v>
      </c>
      <c r="F351">
        <v>136</v>
      </c>
      <c r="G351">
        <v>88.61</v>
      </c>
      <c r="H351">
        <v>2</v>
      </c>
      <c r="I351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52" spans="1:9">
      <c r="A352" s="1" t="s">
        <v>8</v>
      </c>
      <c r="B352" t="s">
        <v>55</v>
      </c>
      <c r="C352" t="s">
        <v>16</v>
      </c>
      <c r="D352">
        <v>63</v>
      </c>
      <c r="E352" t="s">
        <v>11</v>
      </c>
      <c r="F352">
        <v>205</v>
      </c>
      <c r="G352">
        <v>89.19</v>
      </c>
      <c r="H352">
        <v>0</v>
      </c>
      <c r="I352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53" spans="1:9">
      <c r="A353" s="1" t="s">
        <v>242</v>
      </c>
      <c r="B353" t="s">
        <v>289</v>
      </c>
      <c r="C353" t="s">
        <v>38</v>
      </c>
      <c r="D353">
        <v>63</v>
      </c>
      <c r="E353" t="s">
        <v>14</v>
      </c>
      <c r="F353">
        <v>392</v>
      </c>
      <c r="G353">
        <v>93.11</v>
      </c>
      <c r="H353">
        <v>3</v>
      </c>
      <c r="I353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54" spans="1:9">
      <c r="A354" s="1" t="s">
        <v>293</v>
      </c>
      <c r="B354" t="s">
        <v>318</v>
      </c>
      <c r="C354" t="s">
        <v>36</v>
      </c>
      <c r="D354">
        <v>63</v>
      </c>
      <c r="E354" t="s">
        <v>21</v>
      </c>
      <c r="F354">
        <v>95</v>
      </c>
      <c r="G354">
        <v>56.81</v>
      </c>
      <c r="H354">
        <v>0</v>
      </c>
      <c r="I354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55" spans="1:9">
      <c r="A355" s="1" t="s">
        <v>395</v>
      </c>
      <c r="B355" t="s">
        <v>409</v>
      </c>
      <c r="C355" t="s">
        <v>10</v>
      </c>
      <c r="D355">
        <v>63</v>
      </c>
      <c r="E355" t="s">
        <v>14</v>
      </c>
      <c r="F355">
        <v>263</v>
      </c>
      <c r="G355">
        <v>53.87</v>
      </c>
      <c r="H355">
        <v>4</v>
      </c>
      <c r="I355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56" spans="1:9">
      <c r="A356" s="1" t="s">
        <v>447</v>
      </c>
      <c r="B356" t="s">
        <v>476</v>
      </c>
      <c r="C356" t="s">
        <v>65</v>
      </c>
      <c r="D356">
        <v>63</v>
      </c>
      <c r="E356" t="s">
        <v>11</v>
      </c>
      <c r="F356">
        <v>121</v>
      </c>
      <c r="G356">
        <v>39.18</v>
      </c>
      <c r="H356">
        <v>2</v>
      </c>
      <c r="I356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57" spans="1:9">
      <c r="A357" s="1" t="s">
        <v>551</v>
      </c>
      <c r="B357" t="s">
        <v>576</v>
      </c>
      <c r="C357" t="s">
        <v>107</v>
      </c>
      <c r="D357">
        <v>63</v>
      </c>
      <c r="E357" t="s">
        <v>21</v>
      </c>
      <c r="F357">
        <v>109</v>
      </c>
      <c r="G357">
        <v>10.33</v>
      </c>
      <c r="H357">
        <v>3</v>
      </c>
      <c r="I357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58" spans="1:9">
      <c r="A358" s="1" t="s">
        <v>705</v>
      </c>
      <c r="B358" t="s">
        <v>713</v>
      </c>
      <c r="C358" t="s">
        <v>107</v>
      </c>
      <c r="D358">
        <v>63</v>
      </c>
      <c r="E358" t="s">
        <v>11</v>
      </c>
      <c r="F358">
        <v>449</v>
      </c>
      <c r="G358">
        <v>37.08</v>
      </c>
      <c r="H358">
        <v>0</v>
      </c>
      <c r="I358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59" spans="1:9">
      <c r="A359" s="1" t="s">
        <v>705</v>
      </c>
      <c r="B359" t="s">
        <v>738</v>
      </c>
      <c r="C359" t="s">
        <v>107</v>
      </c>
      <c r="D359">
        <v>63</v>
      </c>
      <c r="E359" t="s">
        <v>21</v>
      </c>
      <c r="F359">
        <v>265</v>
      </c>
      <c r="G359">
        <v>49.94</v>
      </c>
      <c r="H359">
        <v>1</v>
      </c>
      <c r="I359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60" spans="1:9">
      <c r="A360" s="1" t="s">
        <v>756</v>
      </c>
      <c r="B360" t="s">
        <v>793</v>
      </c>
      <c r="C360" t="s">
        <v>16</v>
      </c>
      <c r="D360">
        <v>63</v>
      </c>
      <c r="E360" t="s">
        <v>32</v>
      </c>
      <c r="F360">
        <v>177</v>
      </c>
      <c r="G360">
        <v>77.73</v>
      </c>
      <c r="H360">
        <v>3</v>
      </c>
      <c r="I360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61" spans="1:9">
      <c r="A361" s="1" t="s">
        <v>140</v>
      </c>
      <c r="B361" t="s">
        <v>176</v>
      </c>
      <c r="C361" t="s">
        <v>31</v>
      </c>
      <c r="D361">
        <v>64</v>
      </c>
      <c r="E361" t="s">
        <v>11</v>
      </c>
      <c r="F361">
        <v>300</v>
      </c>
      <c r="G361">
        <v>28.11</v>
      </c>
      <c r="H361">
        <v>2</v>
      </c>
      <c r="I361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62" spans="1:9">
      <c r="A362" s="1" t="s">
        <v>191</v>
      </c>
      <c r="B362" t="s">
        <v>198</v>
      </c>
      <c r="C362" t="s">
        <v>71</v>
      </c>
      <c r="D362">
        <v>64</v>
      </c>
      <c r="E362" t="s">
        <v>11</v>
      </c>
      <c r="F362">
        <v>6</v>
      </c>
      <c r="G362">
        <v>40.58</v>
      </c>
      <c r="H362">
        <v>5</v>
      </c>
      <c r="I362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63" spans="1:9">
      <c r="A363" s="1" t="s">
        <v>191</v>
      </c>
      <c r="B363" t="s">
        <v>223</v>
      </c>
      <c r="C363" t="s">
        <v>57</v>
      </c>
      <c r="D363">
        <v>64</v>
      </c>
      <c r="E363" t="s">
        <v>11</v>
      </c>
      <c r="F363">
        <v>370</v>
      </c>
      <c r="G363">
        <v>95.74</v>
      </c>
      <c r="H363">
        <v>1</v>
      </c>
      <c r="I363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64" spans="1:9">
      <c r="A364" s="1" t="s">
        <v>499</v>
      </c>
      <c r="B364" t="s">
        <v>520</v>
      </c>
      <c r="C364" t="s">
        <v>24</v>
      </c>
      <c r="D364">
        <v>64</v>
      </c>
      <c r="E364" t="s">
        <v>11</v>
      </c>
      <c r="F364">
        <v>15</v>
      </c>
      <c r="G364">
        <v>56.94</v>
      </c>
      <c r="H364">
        <v>4</v>
      </c>
      <c r="I364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65" spans="1:9">
      <c r="A365" s="1" t="s">
        <v>242</v>
      </c>
      <c r="B365" t="s">
        <v>259</v>
      </c>
      <c r="C365" t="s">
        <v>107</v>
      </c>
      <c r="D365">
        <v>65</v>
      </c>
      <c r="E365" t="s">
        <v>14</v>
      </c>
      <c r="F365">
        <v>118</v>
      </c>
      <c r="G365">
        <v>72.430000000000007</v>
      </c>
      <c r="H365">
        <v>1</v>
      </c>
      <c r="I365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66" spans="1:9">
      <c r="A366" s="1" t="s">
        <v>344</v>
      </c>
      <c r="B366" t="s">
        <v>372</v>
      </c>
      <c r="C366" t="s">
        <v>29</v>
      </c>
      <c r="D366">
        <v>65</v>
      </c>
      <c r="E366" t="s">
        <v>14</v>
      </c>
      <c r="F366">
        <v>442</v>
      </c>
      <c r="G366">
        <v>60.62</v>
      </c>
      <c r="H366">
        <v>5</v>
      </c>
      <c r="I366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67" spans="1:9">
      <c r="A367" s="1" t="s">
        <v>602</v>
      </c>
      <c r="B367" t="s">
        <v>651</v>
      </c>
      <c r="C367" t="s">
        <v>29</v>
      </c>
      <c r="D367">
        <v>65</v>
      </c>
      <c r="E367" t="s">
        <v>32</v>
      </c>
      <c r="F367">
        <v>15</v>
      </c>
      <c r="G367">
        <v>44.47</v>
      </c>
      <c r="H367">
        <v>0</v>
      </c>
      <c r="I367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68" spans="1:9">
      <c r="A368" s="1" t="s">
        <v>705</v>
      </c>
      <c r="B368" t="s">
        <v>754</v>
      </c>
      <c r="C368" t="s">
        <v>92</v>
      </c>
      <c r="D368">
        <v>65</v>
      </c>
      <c r="E368" t="s">
        <v>11</v>
      </c>
      <c r="F368">
        <v>246</v>
      </c>
      <c r="G368">
        <v>69.17</v>
      </c>
      <c r="H368">
        <v>0</v>
      </c>
      <c r="I368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69" spans="1:9">
      <c r="A369" s="1" t="s">
        <v>8</v>
      </c>
      <c r="B369" t="s">
        <v>70</v>
      </c>
      <c r="C369" t="s">
        <v>71</v>
      </c>
      <c r="D369">
        <v>66</v>
      </c>
      <c r="E369" t="s">
        <v>21</v>
      </c>
      <c r="F369">
        <v>270</v>
      </c>
      <c r="G369">
        <v>75.88</v>
      </c>
      <c r="H369">
        <v>3</v>
      </c>
      <c r="I369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70" spans="1:9">
      <c r="A370" s="1" t="s">
        <v>191</v>
      </c>
      <c r="B370" t="s">
        <v>228</v>
      </c>
      <c r="C370" t="s">
        <v>18</v>
      </c>
      <c r="D370">
        <v>66</v>
      </c>
      <c r="E370" t="s">
        <v>21</v>
      </c>
      <c r="F370">
        <v>387</v>
      </c>
      <c r="G370">
        <v>82.94</v>
      </c>
      <c r="H370">
        <v>3</v>
      </c>
      <c r="I370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71" spans="1:9">
      <c r="A371" s="1" t="s">
        <v>293</v>
      </c>
      <c r="B371" t="s">
        <v>330</v>
      </c>
      <c r="C371" t="s">
        <v>95</v>
      </c>
      <c r="D371">
        <v>66</v>
      </c>
      <c r="E371" t="s">
        <v>32</v>
      </c>
      <c r="F371">
        <v>193</v>
      </c>
      <c r="G371">
        <v>21.06</v>
      </c>
      <c r="H371">
        <v>3</v>
      </c>
      <c r="I371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72" spans="1:9">
      <c r="A372" s="1" t="s">
        <v>551</v>
      </c>
      <c r="B372" t="s">
        <v>588</v>
      </c>
      <c r="C372" t="s">
        <v>111</v>
      </c>
      <c r="D372">
        <v>66</v>
      </c>
      <c r="E372" t="s">
        <v>11</v>
      </c>
      <c r="F372">
        <v>152</v>
      </c>
      <c r="G372">
        <v>95.71</v>
      </c>
      <c r="H372">
        <v>3</v>
      </c>
      <c r="I372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73" spans="1:9">
      <c r="A373" s="1" t="s">
        <v>140</v>
      </c>
      <c r="B373" t="s">
        <v>143</v>
      </c>
      <c r="C373" t="s">
        <v>13</v>
      </c>
      <c r="D373">
        <v>67</v>
      </c>
      <c r="E373" t="s">
        <v>21</v>
      </c>
      <c r="F373">
        <v>264</v>
      </c>
      <c r="G373">
        <v>97.89</v>
      </c>
      <c r="H373">
        <v>1</v>
      </c>
      <c r="I373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74" spans="1:9">
      <c r="A374" s="1" t="s">
        <v>140</v>
      </c>
      <c r="B374" t="s">
        <v>179</v>
      </c>
      <c r="C374" t="s">
        <v>36</v>
      </c>
      <c r="D374">
        <v>67</v>
      </c>
      <c r="E374" t="s">
        <v>11</v>
      </c>
      <c r="F374">
        <v>55</v>
      </c>
      <c r="G374">
        <v>27.04</v>
      </c>
      <c r="H374">
        <v>1</v>
      </c>
      <c r="I374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75" spans="1:9">
      <c r="A375" s="1" t="s">
        <v>191</v>
      </c>
      <c r="B375" t="s">
        <v>202</v>
      </c>
      <c r="C375" t="s">
        <v>40</v>
      </c>
      <c r="D375">
        <v>67</v>
      </c>
      <c r="E375" t="s">
        <v>32</v>
      </c>
      <c r="F375">
        <v>241</v>
      </c>
      <c r="G375">
        <v>47.72</v>
      </c>
      <c r="H375">
        <v>0</v>
      </c>
      <c r="I375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76" spans="1:9">
      <c r="A376" s="1" t="s">
        <v>344</v>
      </c>
      <c r="B376" t="s">
        <v>379</v>
      </c>
      <c r="C376" t="s">
        <v>107</v>
      </c>
      <c r="D376">
        <v>67</v>
      </c>
      <c r="E376" t="s">
        <v>11</v>
      </c>
      <c r="F376">
        <v>26</v>
      </c>
      <c r="G376">
        <v>81.489999999999995</v>
      </c>
      <c r="H376">
        <v>4</v>
      </c>
      <c r="I376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77" spans="1:9">
      <c r="A377" s="1" t="s">
        <v>602</v>
      </c>
      <c r="B377" t="s">
        <v>610</v>
      </c>
      <c r="C377" t="s">
        <v>20</v>
      </c>
      <c r="D377">
        <v>67</v>
      </c>
      <c r="E377" t="s">
        <v>21</v>
      </c>
      <c r="F377">
        <v>81</v>
      </c>
      <c r="G377">
        <v>28.52</v>
      </c>
      <c r="H377">
        <v>4</v>
      </c>
      <c r="I377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78" spans="1:9">
      <c r="A378" s="1" t="s">
        <v>705</v>
      </c>
      <c r="B378" t="s">
        <v>724</v>
      </c>
      <c r="C378" t="s">
        <v>38</v>
      </c>
      <c r="D378">
        <v>67</v>
      </c>
      <c r="E378" t="s">
        <v>32</v>
      </c>
      <c r="F378">
        <v>262</v>
      </c>
      <c r="G378">
        <v>28.46</v>
      </c>
      <c r="H378">
        <v>3</v>
      </c>
      <c r="I378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79" spans="1:9">
      <c r="A379" s="1" t="s">
        <v>191</v>
      </c>
      <c r="B379" t="s">
        <v>218</v>
      </c>
      <c r="C379" t="s">
        <v>20</v>
      </c>
      <c r="D379">
        <v>68</v>
      </c>
      <c r="E379" t="s">
        <v>32</v>
      </c>
      <c r="F379">
        <v>443</v>
      </c>
      <c r="G379">
        <v>12.09</v>
      </c>
      <c r="H379">
        <v>3</v>
      </c>
      <c r="I379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80" spans="1:9">
      <c r="A380" s="1" t="s">
        <v>395</v>
      </c>
      <c r="B380" t="s">
        <v>418</v>
      </c>
      <c r="C380" t="s">
        <v>31</v>
      </c>
      <c r="D380">
        <v>68</v>
      </c>
      <c r="E380" t="s">
        <v>11</v>
      </c>
      <c r="F380">
        <v>462</v>
      </c>
      <c r="G380">
        <v>41.91</v>
      </c>
      <c r="H380">
        <v>1</v>
      </c>
      <c r="I380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81" spans="1:9">
      <c r="A381" s="1" t="s">
        <v>756</v>
      </c>
      <c r="B381" t="s">
        <v>787</v>
      </c>
      <c r="C381" t="s">
        <v>36</v>
      </c>
      <c r="D381">
        <v>68</v>
      </c>
      <c r="E381" t="s">
        <v>11</v>
      </c>
      <c r="F381">
        <v>282</v>
      </c>
      <c r="G381">
        <v>35.43</v>
      </c>
      <c r="H381">
        <v>1</v>
      </c>
      <c r="I381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82" spans="1:9">
      <c r="A382" s="1" t="s">
        <v>140</v>
      </c>
      <c r="B382" t="s">
        <v>145</v>
      </c>
      <c r="C382" t="s">
        <v>38</v>
      </c>
      <c r="D382">
        <v>69</v>
      </c>
      <c r="E382" t="s">
        <v>14</v>
      </c>
      <c r="F382">
        <v>306</v>
      </c>
      <c r="G382">
        <v>13.97</v>
      </c>
      <c r="H382">
        <v>1</v>
      </c>
      <c r="I382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83" spans="1:9">
      <c r="A383" s="1" t="s">
        <v>140</v>
      </c>
      <c r="B383" t="s">
        <v>167</v>
      </c>
      <c r="C383" t="s">
        <v>36</v>
      </c>
      <c r="D383">
        <v>69</v>
      </c>
      <c r="E383" t="s">
        <v>11</v>
      </c>
      <c r="F383">
        <v>463</v>
      </c>
      <c r="G383">
        <v>19.440000000000001</v>
      </c>
      <c r="H383">
        <v>0</v>
      </c>
      <c r="I383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84" spans="1:9">
      <c r="A384" s="1" t="s">
        <v>344</v>
      </c>
      <c r="B384" t="s">
        <v>382</v>
      </c>
      <c r="C384" t="s">
        <v>36</v>
      </c>
      <c r="D384">
        <v>69</v>
      </c>
      <c r="E384" t="s">
        <v>32</v>
      </c>
      <c r="F384">
        <v>486</v>
      </c>
      <c r="G384">
        <v>34.770000000000003</v>
      </c>
      <c r="H384">
        <v>0</v>
      </c>
      <c r="I384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85" spans="1:9">
      <c r="A385" s="1" t="s">
        <v>653</v>
      </c>
      <c r="B385" t="s">
        <v>685</v>
      </c>
      <c r="C385" t="s">
        <v>26</v>
      </c>
      <c r="D385">
        <v>69</v>
      </c>
      <c r="E385" t="s">
        <v>14</v>
      </c>
      <c r="F385">
        <v>180</v>
      </c>
      <c r="G385">
        <v>76.05</v>
      </c>
      <c r="H385">
        <v>2</v>
      </c>
      <c r="I385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86" spans="1:9">
      <c r="A386" s="1" t="s">
        <v>85</v>
      </c>
      <c r="B386" t="s">
        <v>116</v>
      </c>
      <c r="C386" t="s">
        <v>71</v>
      </c>
      <c r="D386">
        <v>70</v>
      </c>
      <c r="E386" t="s">
        <v>11</v>
      </c>
      <c r="F386">
        <v>290</v>
      </c>
      <c r="G386">
        <v>96.31</v>
      </c>
      <c r="H386">
        <v>1</v>
      </c>
      <c r="I386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87" spans="1:9">
      <c r="A387" s="1" t="s">
        <v>191</v>
      </c>
      <c r="B387" t="s">
        <v>221</v>
      </c>
      <c r="C387" t="s">
        <v>13</v>
      </c>
      <c r="D387">
        <v>71</v>
      </c>
      <c r="E387" t="s">
        <v>32</v>
      </c>
      <c r="F387">
        <v>15</v>
      </c>
      <c r="G387">
        <v>25.46</v>
      </c>
      <c r="H387">
        <v>5</v>
      </c>
      <c r="I387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88" spans="1:9">
      <c r="A388" s="1" t="s">
        <v>242</v>
      </c>
      <c r="B388" t="s">
        <v>290</v>
      </c>
      <c r="C388" t="s">
        <v>43</v>
      </c>
      <c r="D388">
        <v>71</v>
      </c>
      <c r="E388" t="s">
        <v>14</v>
      </c>
      <c r="F388">
        <v>364</v>
      </c>
      <c r="G388">
        <v>39.58</v>
      </c>
      <c r="H388">
        <v>1</v>
      </c>
      <c r="I388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89" spans="1:9">
      <c r="A389" s="1" t="s">
        <v>395</v>
      </c>
      <c r="B389" t="s">
        <v>402</v>
      </c>
      <c r="C389" t="s">
        <v>65</v>
      </c>
      <c r="D389">
        <v>71</v>
      </c>
      <c r="E389" t="s">
        <v>32</v>
      </c>
      <c r="F389">
        <v>191</v>
      </c>
      <c r="G389">
        <v>83.04</v>
      </c>
      <c r="H389">
        <v>4</v>
      </c>
      <c r="I389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90" spans="1:9">
      <c r="A390" s="1" t="s">
        <v>447</v>
      </c>
      <c r="B390" t="s">
        <v>478</v>
      </c>
      <c r="C390" t="s">
        <v>38</v>
      </c>
      <c r="D390">
        <v>71</v>
      </c>
      <c r="E390" t="s">
        <v>21</v>
      </c>
      <c r="F390">
        <v>68</v>
      </c>
      <c r="G390">
        <v>53.11</v>
      </c>
      <c r="H390">
        <v>2</v>
      </c>
      <c r="I390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91" spans="1:9">
      <c r="A391" s="1" t="s">
        <v>602</v>
      </c>
      <c r="B391" t="s">
        <v>614</v>
      </c>
      <c r="C391" t="s">
        <v>20</v>
      </c>
      <c r="D391">
        <v>71</v>
      </c>
      <c r="E391" t="s">
        <v>11</v>
      </c>
      <c r="F391">
        <v>111</v>
      </c>
      <c r="G391">
        <v>95.53</v>
      </c>
      <c r="H391">
        <v>3</v>
      </c>
      <c r="I391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92" spans="1:9">
      <c r="A392" s="1" t="s">
        <v>8</v>
      </c>
      <c r="B392" t="s">
        <v>12</v>
      </c>
      <c r="C392" t="s">
        <v>13</v>
      </c>
      <c r="D392">
        <v>72</v>
      </c>
      <c r="E392" t="s">
        <v>14</v>
      </c>
      <c r="F392">
        <v>332</v>
      </c>
      <c r="G392">
        <v>83.36</v>
      </c>
      <c r="H392">
        <v>4</v>
      </c>
      <c r="I392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93" spans="1:9">
      <c r="A393" s="1" t="s">
        <v>8</v>
      </c>
      <c r="B393" t="s">
        <v>83</v>
      </c>
      <c r="C393" t="s">
        <v>31</v>
      </c>
      <c r="D393">
        <v>72</v>
      </c>
      <c r="E393" t="s">
        <v>11</v>
      </c>
      <c r="F393">
        <v>160</v>
      </c>
      <c r="G393">
        <v>90.13</v>
      </c>
      <c r="H393">
        <v>2</v>
      </c>
      <c r="I393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94" spans="1:9">
      <c r="A394" s="1" t="s">
        <v>85</v>
      </c>
      <c r="B394" t="s">
        <v>101</v>
      </c>
      <c r="C394" t="s">
        <v>76</v>
      </c>
      <c r="D394">
        <v>72</v>
      </c>
      <c r="E394" t="s">
        <v>21</v>
      </c>
      <c r="F394">
        <v>51</v>
      </c>
      <c r="G394">
        <v>95.09</v>
      </c>
      <c r="H394">
        <v>0</v>
      </c>
      <c r="I394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95" spans="1:9">
      <c r="A395" s="1" t="s">
        <v>85</v>
      </c>
      <c r="B395" t="s">
        <v>133</v>
      </c>
      <c r="C395" t="s">
        <v>36</v>
      </c>
      <c r="D395">
        <v>72</v>
      </c>
      <c r="E395" t="s">
        <v>11</v>
      </c>
      <c r="F395">
        <v>333</v>
      </c>
      <c r="G395">
        <v>34.57</v>
      </c>
      <c r="H395">
        <v>2</v>
      </c>
      <c r="I395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96" spans="1:9">
      <c r="A396" s="1" t="s">
        <v>140</v>
      </c>
      <c r="B396" t="s">
        <v>161</v>
      </c>
      <c r="C396" t="s">
        <v>20</v>
      </c>
      <c r="D396">
        <v>72</v>
      </c>
      <c r="E396" t="s">
        <v>32</v>
      </c>
      <c r="F396">
        <v>5</v>
      </c>
      <c r="G396">
        <v>68.650000000000006</v>
      </c>
      <c r="H396">
        <v>0</v>
      </c>
      <c r="I396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97" spans="1:9">
      <c r="A397" s="1" t="s">
        <v>705</v>
      </c>
      <c r="B397" t="s">
        <v>747</v>
      </c>
      <c r="C397" t="s">
        <v>31</v>
      </c>
      <c r="D397">
        <v>72</v>
      </c>
      <c r="E397" t="s">
        <v>11</v>
      </c>
      <c r="F397">
        <v>317</v>
      </c>
      <c r="G397">
        <v>54.58</v>
      </c>
      <c r="H397">
        <v>1</v>
      </c>
      <c r="I397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98" spans="1:9">
      <c r="A398" s="1" t="s">
        <v>756</v>
      </c>
      <c r="B398" t="s">
        <v>795</v>
      </c>
      <c r="C398" t="s">
        <v>36</v>
      </c>
      <c r="D398">
        <v>72</v>
      </c>
      <c r="E398" t="s">
        <v>14</v>
      </c>
      <c r="F398">
        <v>427</v>
      </c>
      <c r="G398">
        <v>31.44</v>
      </c>
      <c r="H398">
        <v>2</v>
      </c>
      <c r="I398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399" spans="1:9">
      <c r="A399" s="1" t="s">
        <v>293</v>
      </c>
      <c r="B399" t="s">
        <v>329</v>
      </c>
      <c r="C399" t="s">
        <v>29</v>
      </c>
      <c r="D399">
        <v>73</v>
      </c>
      <c r="E399" t="s">
        <v>21</v>
      </c>
      <c r="F399">
        <v>225</v>
      </c>
      <c r="G399">
        <v>45.86</v>
      </c>
      <c r="H399">
        <v>0</v>
      </c>
      <c r="I399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00" spans="1:9">
      <c r="A400" s="1" t="s">
        <v>551</v>
      </c>
      <c r="B400" t="s">
        <v>599</v>
      </c>
      <c r="C400" t="s">
        <v>16</v>
      </c>
      <c r="D400">
        <v>73</v>
      </c>
      <c r="E400" t="s">
        <v>11</v>
      </c>
      <c r="F400">
        <v>268</v>
      </c>
      <c r="G400">
        <v>56.86</v>
      </c>
      <c r="H400">
        <v>5</v>
      </c>
      <c r="I400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01" spans="1:9">
      <c r="A401" s="1" t="s">
        <v>85</v>
      </c>
      <c r="B401" t="s">
        <v>104</v>
      </c>
      <c r="C401" t="s">
        <v>61</v>
      </c>
      <c r="D401">
        <v>74</v>
      </c>
      <c r="E401" t="s">
        <v>32</v>
      </c>
      <c r="F401">
        <v>208</v>
      </c>
      <c r="G401">
        <v>39.56</v>
      </c>
      <c r="H401">
        <v>0</v>
      </c>
      <c r="I401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02" spans="1:9">
      <c r="A402" s="1" t="s">
        <v>85</v>
      </c>
      <c r="B402" t="s">
        <v>108</v>
      </c>
      <c r="C402" t="s">
        <v>52</v>
      </c>
      <c r="D402">
        <v>74</v>
      </c>
      <c r="E402" t="s">
        <v>21</v>
      </c>
      <c r="F402">
        <v>9</v>
      </c>
      <c r="G402">
        <v>99.89</v>
      </c>
      <c r="H402">
        <v>0</v>
      </c>
      <c r="I402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03" spans="1:9">
      <c r="A403" s="1" t="s">
        <v>140</v>
      </c>
      <c r="B403" t="s">
        <v>148</v>
      </c>
      <c r="C403" t="s">
        <v>79</v>
      </c>
      <c r="D403">
        <v>74</v>
      </c>
      <c r="E403" t="s">
        <v>11</v>
      </c>
      <c r="F403">
        <v>371</v>
      </c>
      <c r="G403">
        <v>53.27</v>
      </c>
      <c r="H403">
        <v>3</v>
      </c>
      <c r="I403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04" spans="1:9">
      <c r="A404" s="1" t="s">
        <v>191</v>
      </c>
      <c r="B404" t="s">
        <v>200</v>
      </c>
      <c r="C404" t="s">
        <v>40</v>
      </c>
      <c r="D404">
        <v>74</v>
      </c>
      <c r="E404" t="s">
        <v>32</v>
      </c>
      <c r="F404">
        <v>213</v>
      </c>
      <c r="G404">
        <v>35.54</v>
      </c>
      <c r="H404">
        <v>3</v>
      </c>
      <c r="I404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05" spans="1:9">
      <c r="A405" s="1" t="s">
        <v>395</v>
      </c>
      <c r="B405" t="s">
        <v>414</v>
      </c>
      <c r="C405" t="s">
        <v>40</v>
      </c>
      <c r="D405">
        <v>74</v>
      </c>
      <c r="E405" t="s">
        <v>21</v>
      </c>
      <c r="F405">
        <v>253</v>
      </c>
      <c r="G405">
        <v>36.94</v>
      </c>
      <c r="H405">
        <v>5</v>
      </c>
      <c r="I405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06" spans="1:9">
      <c r="A406" s="1" t="s">
        <v>499</v>
      </c>
      <c r="B406" t="s">
        <v>528</v>
      </c>
      <c r="C406" t="s">
        <v>13</v>
      </c>
      <c r="D406">
        <v>74</v>
      </c>
      <c r="E406" t="s">
        <v>21</v>
      </c>
      <c r="F406">
        <v>330</v>
      </c>
      <c r="G406">
        <v>37.82</v>
      </c>
      <c r="H406">
        <v>5</v>
      </c>
      <c r="I406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07" spans="1:9">
      <c r="A407" s="1" t="s">
        <v>551</v>
      </c>
      <c r="B407" t="s">
        <v>552</v>
      </c>
      <c r="C407" t="s">
        <v>61</v>
      </c>
      <c r="D407">
        <v>74</v>
      </c>
      <c r="E407" t="s">
        <v>14</v>
      </c>
      <c r="F407">
        <v>388</v>
      </c>
      <c r="G407">
        <v>10.89</v>
      </c>
      <c r="H407">
        <v>4</v>
      </c>
      <c r="I407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08" spans="1:9">
      <c r="A408" s="1" t="s">
        <v>602</v>
      </c>
      <c r="B408" t="s">
        <v>619</v>
      </c>
      <c r="C408" t="s">
        <v>20</v>
      </c>
      <c r="D408">
        <v>74</v>
      </c>
      <c r="E408" t="s">
        <v>21</v>
      </c>
      <c r="F408">
        <v>16</v>
      </c>
      <c r="G408">
        <v>93.01</v>
      </c>
      <c r="H408">
        <v>3</v>
      </c>
      <c r="I408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09" spans="1:9">
      <c r="A409" s="1" t="s">
        <v>602</v>
      </c>
      <c r="B409" t="s">
        <v>624</v>
      </c>
      <c r="C409" t="s">
        <v>16</v>
      </c>
      <c r="D409">
        <v>74</v>
      </c>
      <c r="E409" t="s">
        <v>14</v>
      </c>
      <c r="F409">
        <v>265</v>
      </c>
      <c r="G409">
        <v>90.81</v>
      </c>
      <c r="H409">
        <v>3</v>
      </c>
      <c r="I409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10" spans="1:9">
      <c r="A410" s="1" t="s">
        <v>756</v>
      </c>
      <c r="B410" t="s">
        <v>803</v>
      </c>
      <c r="C410" t="s">
        <v>65</v>
      </c>
      <c r="D410">
        <v>74</v>
      </c>
      <c r="E410" t="s">
        <v>21</v>
      </c>
      <c r="F410">
        <v>359</v>
      </c>
      <c r="G410">
        <v>92.63</v>
      </c>
      <c r="H410">
        <v>0</v>
      </c>
      <c r="I410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11" spans="1:9">
      <c r="A411" s="1" t="s">
        <v>191</v>
      </c>
      <c r="B411" t="s">
        <v>225</v>
      </c>
      <c r="C411" t="s">
        <v>111</v>
      </c>
      <c r="D411">
        <v>75</v>
      </c>
      <c r="E411" t="s">
        <v>11</v>
      </c>
      <c r="F411">
        <v>242</v>
      </c>
      <c r="G411">
        <v>64.27</v>
      </c>
      <c r="H411">
        <v>2</v>
      </c>
      <c r="I411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12" spans="1:9">
      <c r="A412" s="1" t="s">
        <v>191</v>
      </c>
      <c r="B412" t="s">
        <v>229</v>
      </c>
      <c r="C412" t="s">
        <v>29</v>
      </c>
      <c r="D412">
        <v>75</v>
      </c>
      <c r="E412" t="s">
        <v>14</v>
      </c>
      <c r="F412">
        <v>282</v>
      </c>
      <c r="G412">
        <v>45.16</v>
      </c>
      <c r="H412">
        <v>5</v>
      </c>
      <c r="I412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13" spans="1:9">
      <c r="A413" s="1" t="s">
        <v>653</v>
      </c>
      <c r="B413" t="s">
        <v>662</v>
      </c>
      <c r="C413" t="s">
        <v>20</v>
      </c>
      <c r="D413">
        <v>75</v>
      </c>
      <c r="E413" t="s">
        <v>21</v>
      </c>
      <c r="F413">
        <v>99</v>
      </c>
      <c r="G413">
        <v>16.93</v>
      </c>
      <c r="H413">
        <v>5</v>
      </c>
      <c r="I413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14" spans="1:9">
      <c r="A414" s="1" t="s">
        <v>756</v>
      </c>
      <c r="B414" t="s">
        <v>765</v>
      </c>
      <c r="C414" t="s">
        <v>36</v>
      </c>
      <c r="D414">
        <v>75</v>
      </c>
      <c r="E414" t="s">
        <v>14</v>
      </c>
      <c r="F414">
        <v>370</v>
      </c>
      <c r="G414">
        <v>21.67</v>
      </c>
      <c r="H414">
        <v>0</v>
      </c>
      <c r="I414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15" spans="1:9">
      <c r="A415" s="1" t="s">
        <v>293</v>
      </c>
      <c r="B415" t="s">
        <v>316</v>
      </c>
      <c r="C415" t="s">
        <v>71</v>
      </c>
      <c r="D415">
        <v>76</v>
      </c>
      <c r="E415" t="s">
        <v>21</v>
      </c>
      <c r="F415">
        <v>383</v>
      </c>
      <c r="G415">
        <v>53.73</v>
      </c>
      <c r="H415">
        <v>2</v>
      </c>
      <c r="I415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16" spans="1:9">
      <c r="A416" s="1" t="s">
        <v>344</v>
      </c>
      <c r="B416" t="s">
        <v>366</v>
      </c>
      <c r="C416" t="s">
        <v>36</v>
      </c>
      <c r="D416">
        <v>76</v>
      </c>
      <c r="E416" t="s">
        <v>21</v>
      </c>
      <c r="F416">
        <v>332</v>
      </c>
      <c r="G416">
        <v>68.010000000000005</v>
      </c>
      <c r="H416">
        <v>4</v>
      </c>
      <c r="I416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17" spans="1:9">
      <c r="A417" s="1" t="s">
        <v>344</v>
      </c>
      <c r="B417" t="s">
        <v>388</v>
      </c>
      <c r="C417" t="s">
        <v>57</v>
      </c>
      <c r="D417">
        <v>76</v>
      </c>
      <c r="E417" t="s">
        <v>14</v>
      </c>
      <c r="F417">
        <v>192</v>
      </c>
      <c r="G417">
        <v>68.53</v>
      </c>
      <c r="H417">
        <v>0</v>
      </c>
      <c r="I417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18" spans="1:9">
      <c r="A418" s="1" t="s">
        <v>395</v>
      </c>
      <c r="B418" t="s">
        <v>427</v>
      </c>
      <c r="C418" t="s">
        <v>16</v>
      </c>
      <c r="D418">
        <v>76</v>
      </c>
      <c r="E418" t="s">
        <v>32</v>
      </c>
      <c r="F418">
        <v>187</v>
      </c>
      <c r="G418">
        <v>56.29</v>
      </c>
      <c r="H418">
        <v>1</v>
      </c>
      <c r="I418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19" spans="1:9">
      <c r="A419" s="1" t="s">
        <v>705</v>
      </c>
      <c r="B419" t="s">
        <v>715</v>
      </c>
      <c r="C419" t="s">
        <v>16</v>
      </c>
      <c r="D419">
        <v>76</v>
      </c>
      <c r="E419" t="s">
        <v>32</v>
      </c>
      <c r="F419">
        <v>413</v>
      </c>
      <c r="G419">
        <v>28.39</v>
      </c>
      <c r="H419">
        <v>3</v>
      </c>
      <c r="I419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20" spans="1:9">
      <c r="A420" s="1" t="s">
        <v>344</v>
      </c>
      <c r="B420" t="s">
        <v>345</v>
      </c>
      <c r="C420" t="s">
        <v>36</v>
      </c>
      <c r="D420">
        <v>77</v>
      </c>
      <c r="E420" t="s">
        <v>32</v>
      </c>
      <c r="F420">
        <v>488</v>
      </c>
      <c r="G420">
        <v>21.17</v>
      </c>
      <c r="H420">
        <v>0</v>
      </c>
      <c r="I420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21" spans="1:9">
      <c r="A421" s="1" t="s">
        <v>344</v>
      </c>
      <c r="B421" t="s">
        <v>377</v>
      </c>
      <c r="C421" t="s">
        <v>92</v>
      </c>
      <c r="D421">
        <v>77</v>
      </c>
      <c r="E421" t="s">
        <v>21</v>
      </c>
      <c r="F421">
        <v>45</v>
      </c>
      <c r="G421">
        <v>21.59</v>
      </c>
      <c r="H421">
        <v>2</v>
      </c>
      <c r="I421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22" spans="1:9">
      <c r="A422" s="1" t="s">
        <v>499</v>
      </c>
      <c r="B422" t="s">
        <v>540</v>
      </c>
      <c r="C422" t="s">
        <v>38</v>
      </c>
      <c r="D422">
        <v>77</v>
      </c>
      <c r="E422" t="s">
        <v>21</v>
      </c>
      <c r="F422">
        <v>375</v>
      </c>
      <c r="G422">
        <v>24.03</v>
      </c>
      <c r="H422">
        <v>1</v>
      </c>
      <c r="I422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23" spans="1:9">
      <c r="A423" s="1" t="s">
        <v>8</v>
      </c>
      <c r="B423" t="s">
        <v>49</v>
      </c>
      <c r="C423" t="s">
        <v>13</v>
      </c>
      <c r="D423">
        <v>78</v>
      </c>
      <c r="E423" t="s">
        <v>14</v>
      </c>
      <c r="F423">
        <v>312</v>
      </c>
      <c r="G423">
        <v>85.74</v>
      </c>
      <c r="H423">
        <v>2</v>
      </c>
      <c r="I423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24" spans="1:9">
      <c r="A424" s="1" t="s">
        <v>242</v>
      </c>
      <c r="B424" t="s">
        <v>288</v>
      </c>
      <c r="C424" t="s">
        <v>95</v>
      </c>
      <c r="D424">
        <v>78</v>
      </c>
      <c r="E424" t="s">
        <v>21</v>
      </c>
      <c r="F424">
        <v>198</v>
      </c>
      <c r="G424">
        <v>69.849999999999994</v>
      </c>
      <c r="H424">
        <v>0</v>
      </c>
      <c r="I424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25" spans="1:9">
      <c r="A425" s="1" t="s">
        <v>344</v>
      </c>
      <c r="B425" t="s">
        <v>351</v>
      </c>
      <c r="C425" t="s">
        <v>36</v>
      </c>
      <c r="D425">
        <v>78</v>
      </c>
      <c r="E425" t="s">
        <v>32</v>
      </c>
      <c r="F425">
        <v>263</v>
      </c>
      <c r="G425">
        <v>53.58</v>
      </c>
      <c r="H425">
        <v>5</v>
      </c>
      <c r="I425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26" spans="1:9">
      <c r="A426" s="1" t="s">
        <v>395</v>
      </c>
      <c r="B426" t="s">
        <v>434</v>
      </c>
      <c r="C426" t="s">
        <v>24</v>
      </c>
      <c r="D426">
        <v>78</v>
      </c>
      <c r="E426" t="s">
        <v>14</v>
      </c>
      <c r="F426">
        <v>57</v>
      </c>
      <c r="G426">
        <v>49.47</v>
      </c>
      <c r="H426">
        <v>0</v>
      </c>
      <c r="I426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27" spans="1:9">
      <c r="A427" s="1" t="s">
        <v>447</v>
      </c>
      <c r="B427" t="s">
        <v>448</v>
      </c>
      <c r="C427" t="s">
        <v>45</v>
      </c>
      <c r="D427">
        <v>78</v>
      </c>
      <c r="E427" t="s">
        <v>32</v>
      </c>
      <c r="F427">
        <v>60</v>
      </c>
      <c r="G427">
        <v>33.159999999999997</v>
      </c>
      <c r="H427">
        <v>5</v>
      </c>
      <c r="I427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28" spans="1:9">
      <c r="A428" s="1" t="s">
        <v>756</v>
      </c>
      <c r="B428" t="s">
        <v>779</v>
      </c>
      <c r="C428" t="s">
        <v>61</v>
      </c>
      <c r="D428">
        <v>78</v>
      </c>
      <c r="E428" t="s">
        <v>32</v>
      </c>
      <c r="F428">
        <v>387</v>
      </c>
      <c r="G428">
        <v>11.63</v>
      </c>
      <c r="H428">
        <v>2</v>
      </c>
      <c r="I428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29" spans="1:9">
      <c r="A429" s="1" t="s">
        <v>8</v>
      </c>
      <c r="B429" t="s">
        <v>64</v>
      </c>
      <c r="C429" t="s">
        <v>65</v>
      </c>
      <c r="D429">
        <v>79</v>
      </c>
      <c r="E429" t="s">
        <v>32</v>
      </c>
      <c r="F429">
        <v>226</v>
      </c>
      <c r="G429">
        <v>94.38</v>
      </c>
      <c r="H429">
        <v>3</v>
      </c>
      <c r="I429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30" spans="1:9">
      <c r="A430" s="1" t="s">
        <v>140</v>
      </c>
      <c r="B430" t="s">
        <v>154</v>
      </c>
      <c r="C430" t="s">
        <v>24</v>
      </c>
      <c r="D430">
        <v>79</v>
      </c>
      <c r="E430" t="s">
        <v>21</v>
      </c>
      <c r="F430">
        <v>403</v>
      </c>
      <c r="G430">
        <v>21.49</v>
      </c>
      <c r="H430">
        <v>0</v>
      </c>
      <c r="I430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31" spans="1:9">
      <c r="A431" s="1" t="s">
        <v>602</v>
      </c>
      <c r="B431" t="s">
        <v>650</v>
      </c>
      <c r="C431" t="s">
        <v>95</v>
      </c>
      <c r="D431">
        <v>79</v>
      </c>
      <c r="E431" t="s">
        <v>14</v>
      </c>
      <c r="F431">
        <v>462</v>
      </c>
      <c r="G431">
        <v>18.28</v>
      </c>
      <c r="H431">
        <v>0</v>
      </c>
      <c r="I431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32" spans="1:9">
      <c r="A432" s="1" t="s">
        <v>653</v>
      </c>
      <c r="B432" t="s">
        <v>667</v>
      </c>
      <c r="C432" t="s">
        <v>10</v>
      </c>
      <c r="D432">
        <v>79</v>
      </c>
      <c r="E432" t="s">
        <v>21</v>
      </c>
      <c r="F432">
        <v>139</v>
      </c>
      <c r="G432">
        <v>16.25</v>
      </c>
      <c r="H432">
        <v>4</v>
      </c>
      <c r="I432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33" spans="1:9">
      <c r="A433" s="1" t="s">
        <v>756</v>
      </c>
      <c r="B433" t="s">
        <v>789</v>
      </c>
      <c r="C433" t="s">
        <v>107</v>
      </c>
      <c r="D433">
        <v>79</v>
      </c>
      <c r="E433" t="s">
        <v>32</v>
      </c>
      <c r="F433">
        <v>454</v>
      </c>
      <c r="G433">
        <v>80.34</v>
      </c>
      <c r="H433">
        <v>2</v>
      </c>
      <c r="I433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34" spans="1:9">
      <c r="A434" s="1" t="s">
        <v>85</v>
      </c>
      <c r="B434" t="s">
        <v>99</v>
      </c>
      <c r="C434" t="s">
        <v>65</v>
      </c>
      <c r="D434">
        <v>80</v>
      </c>
      <c r="E434" t="s">
        <v>14</v>
      </c>
      <c r="F434">
        <v>260</v>
      </c>
      <c r="G434">
        <v>65.87</v>
      </c>
      <c r="H434">
        <v>3</v>
      </c>
      <c r="I434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35" spans="1:9">
      <c r="A435" s="1" t="s">
        <v>85</v>
      </c>
      <c r="B435" t="s">
        <v>110</v>
      </c>
      <c r="C435" t="s">
        <v>111</v>
      </c>
      <c r="D435">
        <v>80</v>
      </c>
      <c r="E435" t="s">
        <v>21</v>
      </c>
      <c r="F435">
        <v>155</v>
      </c>
      <c r="G435">
        <v>28.96</v>
      </c>
      <c r="H435">
        <v>2</v>
      </c>
      <c r="I435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36" spans="1:9">
      <c r="A436" s="1" t="s">
        <v>85</v>
      </c>
      <c r="B436" t="s">
        <v>135</v>
      </c>
      <c r="C436" t="s">
        <v>29</v>
      </c>
      <c r="D436">
        <v>80</v>
      </c>
      <c r="E436" t="s">
        <v>32</v>
      </c>
      <c r="F436">
        <v>121</v>
      </c>
      <c r="G436">
        <v>83.14</v>
      </c>
      <c r="H436">
        <v>5</v>
      </c>
      <c r="I436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37" spans="1:9">
      <c r="A437" s="1" t="s">
        <v>499</v>
      </c>
      <c r="B437" t="s">
        <v>524</v>
      </c>
      <c r="C437" t="s">
        <v>29</v>
      </c>
      <c r="D437">
        <v>80</v>
      </c>
      <c r="E437" t="s">
        <v>11</v>
      </c>
      <c r="F437">
        <v>339</v>
      </c>
      <c r="G437">
        <v>59.87</v>
      </c>
      <c r="H437">
        <v>0</v>
      </c>
      <c r="I437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38" spans="1:9">
      <c r="A438" s="1" t="s">
        <v>551</v>
      </c>
      <c r="B438" t="s">
        <v>577</v>
      </c>
      <c r="C438" t="s">
        <v>57</v>
      </c>
      <c r="D438">
        <v>80</v>
      </c>
      <c r="E438" t="s">
        <v>11</v>
      </c>
      <c r="F438">
        <v>458</v>
      </c>
      <c r="G438">
        <v>98.11</v>
      </c>
      <c r="H438">
        <v>0</v>
      </c>
      <c r="I438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39" spans="1:9">
      <c r="A439" s="1" t="s">
        <v>551</v>
      </c>
      <c r="B439" t="s">
        <v>601</v>
      </c>
      <c r="C439" t="s">
        <v>63</v>
      </c>
      <c r="D439">
        <v>80</v>
      </c>
      <c r="E439" t="s">
        <v>21</v>
      </c>
      <c r="F439">
        <v>101</v>
      </c>
      <c r="G439">
        <v>61.92</v>
      </c>
      <c r="H439">
        <v>4</v>
      </c>
      <c r="I439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40" spans="1:9">
      <c r="A440" s="1" t="s">
        <v>705</v>
      </c>
      <c r="B440" t="s">
        <v>736</v>
      </c>
      <c r="C440" t="s">
        <v>20</v>
      </c>
      <c r="D440">
        <v>80</v>
      </c>
      <c r="E440" t="s">
        <v>14</v>
      </c>
      <c r="F440">
        <v>65</v>
      </c>
      <c r="G440">
        <v>76.64</v>
      </c>
      <c r="H440">
        <v>3</v>
      </c>
      <c r="I440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41" spans="1:9">
      <c r="A441" s="1" t="s">
        <v>8</v>
      </c>
      <c r="B441" t="s">
        <v>75</v>
      </c>
      <c r="C441" t="s">
        <v>76</v>
      </c>
      <c r="D441">
        <v>81</v>
      </c>
      <c r="E441" t="s">
        <v>11</v>
      </c>
      <c r="F441">
        <v>154</v>
      </c>
      <c r="G441">
        <v>19.47</v>
      </c>
      <c r="H441">
        <v>3</v>
      </c>
      <c r="I441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42" spans="1:9">
      <c r="A442" s="1" t="s">
        <v>85</v>
      </c>
      <c r="B442" t="s">
        <v>96</v>
      </c>
      <c r="C442" t="s">
        <v>43</v>
      </c>
      <c r="D442">
        <v>81</v>
      </c>
      <c r="E442" t="s">
        <v>32</v>
      </c>
      <c r="F442">
        <v>137</v>
      </c>
      <c r="G442">
        <v>89.05</v>
      </c>
      <c r="H442">
        <v>0</v>
      </c>
      <c r="I442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43" spans="1:9">
      <c r="A443" s="1" t="s">
        <v>293</v>
      </c>
      <c r="B443" t="s">
        <v>339</v>
      </c>
      <c r="C443" t="s">
        <v>43</v>
      </c>
      <c r="D443">
        <v>81</v>
      </c>
      <c r="E443" t="s">
        <v>11</v>
      </c>
      <c r="F443">
        <v>298</v>
      </c>
      <c r="G443">
        <v>53.61</v>
      </c>
      <c r="H443">
        <v>2</v>
      </c>
      <c r="I443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44" spans="1:9">
      <c r="A444" s="1" t="s">
        <v>602</v>
      </c>
      <c r="B444" t="s">
        <v>607</v>
      </c>
      <c r="C444" t="s">
        <v>52</v>
      </c>
      <c r="D444">
        <v>81</v>
      </c>
      <c r="E444" t="s">
        <v>21</v>
      </c>
      <c r="F444">
        <v>11</v>
      </c>
      <c r="G444">
        <v>41.76</v>
      </c>
      <c r="H444">
        <v>5</v>
      </c>
      <c r="I444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45" spans="1:9">
      <c r="A445" s="1" t="s">
        <v>602</v>
      </c>
      <c r="B445" t="s">
        <v>618</v>
      </c>
      <c r="C445" t="s">
        <v>24</v>
      </c>
      <c r="D445">
        <v>81</v>
      </c>
      <c r="E445" t="s">
        <v>21</v>
      </c>
      <c r="F445">
        <v>64</v>
      </c>
      <c r="G445">
        <v>43.45</v>
      </c>
      <c r="H445">
        <v>2</v>
      </c>
      <c r="I445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46" spans="1:9">
      <c r="A446" s="1" t="s">
        <v>602</v>
      </c>
      <c r="B446" t="s">
        <v>639</v>
      </c>
      <c r="C446" t="s">
        <v>65</v>
      </c>
      <c r="D446">
        <v>81</v>
      </c>
      <c r="E446" t="s">
        <v>11</v>
      </c>
      <c r="F446">
        <v>443</v>
      </c>
      <c r="G446">
        <v>32.78</v>
      </c>
      <c r="H446">
        <v>1</v>
      </c>
      <c r="I446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47" spans="1:9">
      <c r="A447" s="1" t="s">
        <v>85</v>
      </c>
      <c r="B447" t="s">
        <v>97</v>
      </c>
      <c r="C447" t="s">
        <v>18</v>
      </c>
      <c r="D447">
        <v>82</v>
      </c>
      <c r="E447" t="s">
        <v>14</v>
      </c>
      <c r="F447">
        <v>132</v>
      </c>
      <c r="G447">
        <v>50.14</v>
      </c>
      <c r="H447">
        <v>5</v>
      </c>
      <c r="I447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48" spans="1:9">
      <c r="A448" s="1" t="s">
        <v>191</v>
      </c>
      <c r="B448" t="s">
        <v>201</v>
      </c>
      <c r="C448" t="s">
        <v>92</v>
      </c>
      <c r="D448">
        <v>82</v>
      </c>
      <c r="E448" t="s">
        <v>32</v>
      </c>
      <c r="F448">
        <v>264</v>
      </c>
      <c r="G448">
        <v>88.03</v>
      </c>
      <c r="H448">
        <v>1</v>
      </c>
      <c r="I448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49" spans="1:9">
      <c r="A449" s="1" t="s">
        <v>242</v>
      </c>
      <c r="B449" t="s">
        <v>245</v>
      </c>
      <c r="C449" t="s">
        <v>24</v>
      </c>
      <c r="D449">
        <v>82</v>
      </c>
      <c r="E449" t="s">
        <v>32</v>
      </c>
      <c r="F449">
        <v>88</v>
      </c>
      <c r="G449">
        <v>86.64</v>
      </c>
      <c r="H449">
        <v>1</v>
      </c>
      <c r="I449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50" spans="1:9">
      <c r="A450" s="1" t="s">
        <v>293</v>
      </c>
      <c r="B450" t="s">
        <v>311</v>
      </c>
      <c r="C450" t="s">
        <v>63</v>
      </c>
      <c r="D450">
        <v>82</v>
      </c>
      <c r="E450" t="s">
        <v>32</v>
      </c>
      <c r="F450">
        <v>32</v>
      </c>
      <c r="G450">
        <v>77.63</v>
      </c>
      <c r="H450">
        <v>1</v>
      </c>
      <c r="I450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51" spans="1:9">
      <c r="A451" s="1" t="s">
        <v>602</v>
      </c>
      <c r="B451" t="s">
        <v>627</v>
      </c>
      <c r="C451" t="s">
        <v>52</v>
      </c>
      <c r="D451">
        <v>82</v>
      </c>
      <c r="E451" t="s">
        <v>21</v>
      </c>
      <c r="F451">
        <v>175</v>
      </c>
      <c r="G451">
        <v>86.14</v>
      </c>
      <c r="H451">
        <v>1</v>
      </c>
      <c r="I451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52" spans="1:9">
      <c r="A452" s="1" t="s">
        <v>756</v>
      </c>
      <c r="B452" t="s">
        <v>777</v>
      </c>
      <c r="C452" t="s">
        <v>45</v>
      </c>
      <c r="D452">
        <v>82</v>
      </c>
      <c r="E452" t="s">
        <v>11</v>
      </c>
      <c r="F452">
        <v>312</v>
      </c>
      <c r="G452">
        <v>40.880000000000003</v>
      </c>
      <c r="H452">
        <v>0</v>
      </c>
      <c r="I452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53" spans="1:9">
      <c r="A453" s="1" t="s">
        <v>85</v>
      </c>
      <c r="B453" t="s">
        <v>105</v>
      </c>
      <c r="C453" t="s">
        <v>65</v>
      </c>
      <c r="D453">
        <v>83</v>
      </c>
      <c r="E453" t="s">
        <v>21</v>
      </c>
      <c r="F453">
        <v>14</v>
      </c>
      <c r="G453">
        <v>58.07</v>
      </c>
      <c r="H453">
        <v>3</v>
      </c>
      <c r="I453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54" spans="1:9">
      <c r="A454" s="1" t="s">
        <v>85</v>
      </c>
      <c r="B454" t="s">
        <v>109</v>
      </c>
      <c r="C454" t="s">
        <v>40</v>
      </c>
      <c r="D454">
        <v>83</v>
      </c>
      <c r="E454" t="s">
        <v>14</v>
      </c>
      <c r="F454">
        <v>126</v>
      </c>
      <c r="G454">
        <v>67.17</v>
      </c>
      <c r="H454">
        <v>1</v>
      </c>
      <c r="I454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55" spans="1:9">
      <c r="A455" s="1" t="s">
        <v>140</v>
      </c>
      <c r="B455" t="s">
        <v>177</v>
      </c>
      <c r="C455" t="s">
        <v>38</v>
      </c>
      <c r="D455">
        <v>83</v>
      </c>
      <c r="E455" t="s">
        <v>11</v>
      </c>
      <c r="F455">
        <v>219</v>
      </c>
      <c r="G455">
        <v>52.26</v>
      </c>
      <c r="H455">
        <v>1</v>
      </c>
      <c r="I455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56" spans="1:9">
      <c r="A456" s="1" t="s">
        <v>293</v>
      </c>
      <c r="B456" t="s">
        <v>305</v>
      </c>
      <c r="C456" t="s">
        <v>111</v>
      </c>
      <c r="D456">
        <v>83</v>
      </c>
      <c r="E456" t="s">
        <v>21</v>
      </c>
      <c r="F456">
        <v>30</v>
      </c>
      <c r="G456">
        <v>33.93</v>
      </c>
      <c r="H456">
        <v>3</v>
      </c>
      <c r="I456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57" spans="1:9">
      <c r="A457" s="1" t="s">
        <v>447</v>
      </c>
      <c r="B457" t="s">
        <v>470</v>
      </c>
      <c r="C457" t="s">
        <v>18</v>
      </c>
      <c r="D457">
        <v>83</v>
      </c>
      <c r="E457" t="s">
        <v>32</v>
      </c>
      <c r="F457">
        <v>105</v>
      </c>
      <c r="G457">
        <v>20.46</v>
      </c>
      <c r="H457">
        <v>1</v>
      </c>
      <c r="I457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58" spans="1:9">
      <c r="A458" s="1" t="s">
        <v>602</v>
      </c>
      <c r="B458" t="s">
        <v>648</v>
      </c>
      <c r="C458" t="s">
        <v>63</v>
      </c>
      <c r="D458">
        <v>83</v>
      </c>
      <c r="E458" t="s">
        <v>11</v>
      </c>
      <c r="F458">
        <v>91</v>
      </c>
      <c r="G458">
        <v>73.73</v>
      </c>
      <c r="H458">
        <v>2</v>
      </c>
      <c r="I458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59" spans="1:9">
      <c r="A459" s="1" t="s">
        <v>293</v>
      </c>
      <c r="B459" t="s">
        <v>326</v>
      </c>
      <c r="C459" t="s">
        <v>71</v>
      </c>
      <c r="D459">
        <v>84</v>
      </c>
      <c r="E459" t="s">
        <v>14</v>
      </c>
      <c r="F459">
        <v>244</v>
      </c>
      <c r="G459">
        <v>56.34</v>
      </c>
      <c r="H459">
        <v>5</v>
      </c>
      <c r="I459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60" spans="1:9">
      <c r="A460" s="1" t="s">
        <v>551</v>
      </c>
      <c r="B460" t="s">
        <v>595</v>
      </c>
      <c r="C460" t="s">
        <v>52</v>
      </c>
      <c r="D460">
        <v>84</v>
      </c>
      <c r="E460" t="s">
        <v>14</v>
      </c>
      <c r="F460">
        <v>364</v>
      </c>
      <c r="G460">
        <v>87.79</v>
      </c>
      <c r="H460">
        <v>3</v>
      </c>
      <c r="I460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61" spans="1:9">
      <c r="A461" s="1" t="s">
        <v>242</v>
      </c>
      <c r="B461" t="s">
        <v>270</v>
      </c>
      <c r="C461" t="s">
        <v>52</v>
      </c>
      <c r="D461">
        <v>85</v>
      </c>
      <c r="E461" t="s">
        <v>32</v>
      </c>
      <c r="F461">
        <v>274</v>
      </c>
      <c r="G461">
        <v>35.03</v>
      </c>
      <c r="H461">
        <v>1</v>
      </c>
      <c r="I461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62" spans="1:9">
      <c r="A462" s="1" t="s">
        <v>447</v>
      </c>
      <c r="B462" t="s">
        <v>484</v>
      </c>
      <c r="C462" t="s">
        <v>92</v>
      </c>
      <c r="D462">
        <v>85</v>
      </c>
      <c r="E462" t="s">
        <v>21</v>
      </c>
      <c r="F462">
        <v>132</v>
      </c>
      <c r="G462">
        <v>11.41</v>
      </c>
      <c r="H462">
        <v>0</v>
      </c>
      <c r="I462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63" spans="1:9">
      <c r="A463" s="1" t="s">
        <v>499</v>
      </c>
      <c r="B463" t="s">
        <v>545</v>
      </c>
      <c r="C463" t="s">
        <v>52</v>
      </c>
      <c r="D463">
        <v>85</v>
      </c>
      <c r="E463" t="s">
        <v>11</v>
      </c>
      <c r="F463">
        <v>75</v>
      </c>
      <c r="G463">
        <v>98.01</v>
      </c>
      <c r="H463">
        <v>1</v>
      </c>
      <c r="I463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64" spans="1:9">
      <c r="A464" s="1" t="s">
        <v>705</v>
      </c>
      <c r="B464" t="s">
        <v>742</v>
      </c>
      <c r="C464" t="s">
        <v>31</v>
      </c>
      <c r="D464">
        <v>85</v>
      </c>
      <c r="E464" t="s">
        <v>11</v>
      </c>
      <c r="F464">
        <v>28</v>
      </c>
      <c r="G464">
        <v>83.82</v>
      </c>
      <c r="H464">
        <v>0</v>
      </c>
      <c r="I464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65" spans="1:9">
      <c r="A465" s="1" t="s">
        <v>8</v>
      </c>
      <c r="B465" t="s">
        <v>30</v>
      </c>
      <c r="C465" t="s">
        <v>31</v>
      </c>
      <c r="D465">
        <v>86</v>
      </c>
      <c r="E465" t="s">
        <v>32</v>
      </c>
      <c r="F465">
        <v>471</v>
      </c>
      <c r="G465">
        <v>33.380000000000003</v>
      </c>
      <c r="H465">
        <v>4</v>
      </c>
      <c r="I465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66" spans="1:9">
      <c r="A466" s="1" t="s">
        <v>85</v>
      </c>
      <c r="B466" t="s">
        <v>102</v>
      </c>
      <c r="C466" t="s">
        <v>29</v>
      </c>
      <c r="D466">
        <v>86</v>
      </c>
      <c r="E466" t="s">
        <v>11</v>
      </c>
      <c r="F466">
        <v>237</v>
      </c>
      <c r="G466">
        <v>85.82</v>
      </c>
      <c r="H466">
        <v>5</v>
      </c>
      <c r="I466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67" spans="1:9">
      <c r="A467" s="1" t="s">
        <v>85</v>
      </c>
      <c r="B467" t="s">
        <v>113</v>
      </c>
      <c r="C467" t="s">
        <v>45</v>
      </c>
      <c r="D467">
        <v>86</v>
      </c>
      <c r="E467" t="s">
        <v>14</v>
      </c>
      <c r="F467">
        <v>460</v>
      </c>
      <c r="G467">
        <v>22.81</v>
      </c>
      <c r="H467">
        <v>4</v>
      </c>
      <c r="I467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68" spans="1:9">
      <c r="A468" s="1" t="s">
        <v>242</v>
      </c>
      <c r="B468" t="s">
        <v>267</v>
      </c>
      <c r="C468" t="s">
        <v>29</v>
      </c>
      <c r="D468">
        <v>86</v>
      </c>
      <c r="E468" t="s">
        <v>32</v>
      </c>
      <c r="F468">
        <v>111</v>
      </c>
      <c r="G468">
        <v>23.65</v>
      </c>
      <c r="H468">
        <v>0</v>
      </c>
      <c r="I468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69" spans="1:9">
      <c r="A469" s="1" t="s">
        <v>344</v>
      </c>
      <c r="B469" t="s">
        <v>376</v>
      </c>
      <c r="C469" t="s">
        <v>18</v>
      </c>
      <c r="D469">
        <v>86</v>
      </c>
      <c r="E469" t="s">
        <v>11</v>
      </c>
      <c r="F469">
        <v>192</v>
      </c>
      <c r="G469">
        <v>26.26</v>
      </c>
      <c r="H469">
        <v>1</v>
      </c>
      <c r="I469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70" spans="1:9">
      <c r="A470" s="1" t="s">
        <v>447</v>
      </c>
      <c r="B470" t="s">
        <v>469</v>
      </c>
      <c r="C470" t="s">
        <v>52</v>
      </c>
      <c r="D470">
        <v>86</v>
      </c>
      <c r="E470" t="s">
        <v>32</v>
      </c>
      <c r="F470">
        <v>452</v>
      </c>
      <c r="G470">
        <v>75.680000000000007</v>
      </c>
      <c r="H470">
        <v>0</v>
      </c>
      <c r="I470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71" spans="1:9">
      <c r="A471" s="1" t="s">
        <v>499</v>
      </c>
      <c r="B471" t="s">
        <v>532</v>
      </c>
      <c r="C471" t="s">
        <v>45</v>
      </c>
      <c r="D471">
        <v>86</v>
      </c>
      <c r="E471" t="s">
        <v>32</v>
      </c>
      <c r="F471">
        <v>27</v>
      </c>
      <c r="G471">
        <v>84.94</v>
      </c>
      <c r="H471">
        <v>4</v>
      </c>
      <c r="I471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72" spans="1:9">
      <c r="A472" s="1" t="s">
        <v>705</v>
      </c>
      <c r="B472" t="s">
        <v>728</v>
      </c>
      <c r="C472" t="s">
        <v>40</v>
      </c>
      <c r="D472">
        <v>86</v>
      </c>
      <c r="E472" t="s">
        <v>11</v>
      </c>
      <c r="F472">
        <v>353</v>
      </c>
      <c r="G472">
        <v>25.37</v>
      </c>
      <c r="H472">
        <v>1</v>
      </c>
      <c r="I472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73" spans="1:9">
      <c r="A473" s="1" t="s">
        <v>705</v>
      </c>
      <c r="B473" t="s">
        <v>741</v>
      </c>
      <c r="C473" t="s">
        <v>36</v>
      </c>
      <c r="D473">
        <v>86</v>
      </c>
      <c r="E473" t="s">
        <v>32</v>
      </c>
      <c r="F473">
        <v>278</v>
      </c>
      <c r="G473">
        <v>30.12</v>
      </c>
      <c r="H473">
        <v>0</v>
      </c>
      <c r="I473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74" spans="1:9">
      <c r="A474" s="1" t="s">
        <v>140</v>
      </c>
      <c r="B474" t="s">
        <v>173</v>
      </c>
      <c r="C474" t="s">
        <v>40</v>
      </c>
      <c r="D474">
        <v>87</v>
      </c>
      <c r="E474" t="s">
        <v>11</v>
      </c>
      <c r="F474">
        <v>442</v>
      </c>
      <c r="G474">
        <v>22.39</v>
      </c>
      <c r="H474">
        <v>3</v>
      </c>
      <c r="I474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75" spans="1:9">
      <c r="A475" s="1" t="s">
        <v>242</v>
      </c>
      <c r="B475" t="s">
        <v>291</v>
      </c>
      <c r="C475" t="s">
        <v>10</v>
      </c>
      <c r="D475">
        <v>87</v>
      </c>
      <c r="E475" t="s">
        <v>11</v>
      </c>
      <c r="F475">
        <v>205</v>
      </c>
      <c r="G475">
        <v>40.159999999999997</v>
      </c>
      <c r="H475">
        <v>5</v>
      </c>
      <c r="I475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76" spans="1:9">
      <c r="A476" s="1" t="s">
        <v>293</v>
      </c>
      <c r="B476" t="s">
        <v>308</v>
      </c>
      <c r="C476" t="s">
        <v>52</v>
      </c>
      <c r="D476">
        <v>87</v>
      </c>
      <c r="E476" t="s">
        <v>14</v>
      </c>
      <c r="F476">
        <v>21</v>
      </c>
      <c r="G476">
        <v>81.459999999999994</v>
      </c>
      <c r="H476">
        <v>3</v>
      </c>
      <c r="I476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77" spans="1:9">
      <c r="A477" s="1" t="s">
        <v>344</v>
      </c>
      <c r="B477" t="s">
        <v>393</v>
      </c>
      <c r="C477" t="s">
        <v>10</v>
      </c>
      <c r="D477">
        <v>87</v>
      </c>
      <c r="E477" t="s">
        <v>21</v>
      </c>
      <c r="F477">
        <v>498</v>
      </c>
      <c r="G477">
        <v>61.57</v>
      </c>
      <c r="H477">
        <v>0</v>
      </c>
      <c r="I477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78" spans="1:9">
      <c r="A478" s="1" t="s">
        <v>499</v>
      </c>
      <c r="B478" t="s">
        <v>536</v>
      </c>
      <c r="C478" t="s">
        <v>57</v>
      </c>
      <c r="D478">
        <v>87</v>
      </c>
      <c r="E478" t="s">
        <v>32</v>
      </c>
      <c r="F478">
        <v>356</v>
      </c>
      <c r="G478">
        <v>12.89</v>
      </c>
      <c r="H478">
        <v>0</v>
      </c>
      <c r="I478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79" spans="1:9">
      <c r="A479" s="1" t="s">
        <v>756</v>
      </c>
      <c r="B479" t="s">
        <v>798</v>
      </c>
      <c r="C479" t="s">
        <v>43</v>
      </c>
      <c r="D479">
        <v>87</v>
      </c>
      <c r="E479" t="s">
        <v>11</v>
      </c>
      <c r="F479">
        <v>486</v>
      </c>
      <c r="G479">
        <v>58.26</v>
      </c>
      <c r="H479">
        <v>0</v>
      </c>
      <c r="I479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80" spans="1:9">
      <c r="A480" s="1" t="s">
        <v>140</v>
      </c>
      <c r="B480" t="s">
        <v>159</v>
      </c>
      <c r="C480" t="s">
        <v>43</v>
      </c>
      <c r="D480">
        <v>88</v>
      </c>
      <c r="E480" t="s">
        <v>21</v>
      </c>
      <c r="F480">
        <v>319</v>
      </c>
      <c r="G480">
        <v>56.18</v>
      </c>
      <c r="H480">
        <v>0</v>
      </c>
      <c r="I480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81" spans="1:9">
      <c r="A481" s="1" t="s">
        <v>140</v>
      </c>
      <c r="B481" t="s">
        <v>166</v>
      </c>
      <c r="C481" t="s">
        <v>43</v>
      </c>
      <c r="D481">
        <v>88</v>
      </c>
      <c r="E481" t="s">
        <v>32</v>
      </c>
      <c r="F481">
        <v>232</v>
      </c>
      <c r="G481">
        <v>40.94</v>
      </c>
      <c r="H481">
        <v>2</v>
      </c>
      <c r="I481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82" spans="1:9">
      <c r="A482" s="1" t="s">
        <v>344</v>
      </c>
      <c r="B482" t="s">
        <v>387</v>
      </c>
      <c r="C482" t="s">
        <v>18</v>
      </c>
      <c r="D482">
        <v>88</v>
      </c>
      <c r="E482" t="s">
        <v>21</v>
      </c>
      <c r="F482">
        <v>154</v>
      </c>
      <c r="G482">
        <v>62.62</v>
      </c>
      <c r="H482">
        <v>5</v>
      </c>
      <c r="I482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83" spans="1:9">
      <c r="A483" s="1" t="s">
        <v>447</v>
      </c>
      <c r="B483" t="s">
        <v>482</v>
      </c>
      <c r="C483" t="s">
        <v>29</v>
      </c>
      <c r="D483">
        <v>88</v>
      </c>
      <c r="E483" t="s">
        <v>14</v>
      </c>
      <c r="F483">
        <v>474</v>
      </c>
      <c r="G483">
        <v>23.35</v>
      </c>
      <c r="H483">
        <v>5</v>
      </c>
      <c r="I483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84" spans="1:9">
      <c r="A484" s="1" t="s">
        <v>499</v>
      </c>
      <c r="B484" t="s">
        <v>525</v>
      </c>
      <c r="C484" t="s">
        <v>18</v>
      </c>
      <c r="D484">
        <v>88</v>
      </c>
      <c r="E484" t="s">
        <v>32</v>
      </c>
      <c r="F484">
        <v>359</v>
      </c>
      <c r="G484">
        <v>71.19</v>
      </c>
      <c r="H484">
        <v>3</v>
      </c>
      <c r="I484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85" spans="1:9">
      <c r="A485" s="1" t="s">
        <v>551</v>
      </c>
      <c r="B485" t="s">
        <v>589</v>
      </c>
      <c r="C485" t="s">
        <v>18</v>
      </c>
      <c r="D485">
        <v>88</v>
      </c>
      <c r="E485" t="s">
        <v>32</v>
      </c>
      <c r="F485">
        <v>219</v>
      </c>
      <c r="G485">
        <v>59.15</v>
      </c>
      <c r="H485">
        <v>0</v>
      </c>
      <c r="I485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86" spans="1:9">
      <c r="A486" s="1" t="s">
        <v>8</v>
      </c>
      <c r="B486" t="s">
        <v>46</v>
      </c>
      <c r="C486" t="s">
        <v>16</v>
      </c>
      <c r="D486">
        <v>89</v>
      </c>
      <c r="E486" t="s">
        <v>32</v>
      </c>
      <c r="F486">
        <v>143</v>
      </c>
      <c r="G486">
        <v>48.05</v>
      </c>
      <c r="H486">
        <v>4</v>
      </c>
      <c r="I486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87" spans="1:9">
      <c r="A487" s="1" t="s">
        <v>191</v>
      </c>
      <c r="B487" t="s">
        <v>204</v>
      </c>
      <c r="C487" t="s">
        <v>76</v>
      </c>
      <c r="D487">
        <v>89</v>
      </c>
      <c r="E487" t="s">
        <v>11</v>
      </c>
      <c r="F487">
        <v>203</v>
      </c>
      <c r="G487">
        <v>80.680000000000007</v>
      </c>
      <c r="H487">
        <v>5</v>
      </c>
      <c r="I487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88" spans="1:9">
      <c r="A488" s="1" t="s">
        <v>242</v>
      </c>
      <c r="B488" t="s">
        <v>274</v>
      </c>
      <c r="C488" t="s">
        <v>13</v>
      </c>
      <c r="D488">
        <v>89</v>
      </c>
      <c r="E488" t="s">
        <v>21</v>
      </c>
      <c r="F488">
        <v>7</v>
      </c>
      <c r="G488">
        <v>53.39</v>
      </c>
      <c r="H488">
        <v>3</v>
      </c>
      <c r="I488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89" spans="1:9">
      <c r="A489" s="1" t="s">
        <v>293</v>
      </c>
      <c r="B489" t="s">
        <v>302</v>
      </c>
      <c r="C489" t="s">
        <v>10</v>
      </c>
      <c r="D489">
        <v>89</v>
      </c>
      <c r="E489" t="s">
        <v>14</v>
      </c>
      <c r="F489">
        <v>175</v>
      </c>
      <c r="G489">
        <v>32.369999999999997</v>
      </c>
      <c r="H489">
        <v>1</v>
      </c>
      <c r="I489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90" spans="1:9">
      <c r="A490" s="1" t="s">
        <v>344</v>
      </c>
      <c r="B490" t="s">
        <v>356</v>
      </c>
      <c r="C490" t="s">
        <v>45</v>
      </c>
      <c r="D490">
        <v>89</v>
      </c>
      <c r="E490" t="s">
        <v>21</v>
      </c>
      <c r="F490">
        <v>418</v>
      </c>
      <c r="G490">
        <v>86.63</v>
      </c>
      <c r="H490">
        <v>4</v>
      </c>
      <c r="I490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91" spans="1:9">
      <c r="A491" s="1" t="s">
        <v>653</v>
      </c>
      <c r="B491" t="s">
        <v>679</v>
      </c>
      <c r="C491" t="s">
        <v>43</v>
      </c>
      <c r="D491">
        <v>89</v>
      </c>
      <c r="E491" t="s">
        <v>11</v>
      </c>
      <c r="F491">
        <v>225</v>
      </c>
      <c r="G491">
        <v>38.36</v>
      </c>
      <c r="H491">
        <v>2</v>
      </c>
      <c r="I491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92" spans="1:9">
      <c r="A492" s="1" t="s">
        <v>653</v>
      </c>
      <c r="B492" t="s">
        <v>700</v>
      </c>
      <c r="C492" t="s">
        <v>40</v>
      </c>
      <c r="D492">
        <v>89</v>
      </c>
      <c r="E492" t="s">
        <v>14</v>
      </c>
      <c r="F492">
        <v>474</v>
      </c>
      <c r="G492">
        <v>28.51</v>
      </c>
      <c r="H492">
        <v>5</v>
      </c>
      <c r="I492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93" spans="1:9">
      <c r="A493" s="1" t="s">
        <v>653</v>
      </c>
      <c r="B493" t="s">
        <v>702</v>
      </c>
      <c r="C493" t="s">
        <v>92</v>
      </c>
      <c r="D493">
        <v>89</v>
      </c>
      <c r="E493" t="s">
        <v>11</v>
      </c>
      <c r="F493">
        <v>381</v>
      </c>
      <c r="G493">
        <v>68.17</v>
      </c>
      <c r="H493">
        <v>0</v>
      </c>
      <c r="I493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94" spans="1:9">
      <c r="A494" s="1" t="s">
        <v>293</v>
      </c>
      <c r="B494" t="s">
        <v>342</v>
      </c>
      <c r="C494" t="s">
        <v>26</v>
      </c>
      <c r="D494">
        <v>90</v>
      </c>
      <c r="E494" t="s">
        <v>11</v>
      </c>
      <c r="F494">
        <v>299</v>
      </c>
      <c r="G494">
        <v>71.760000000000005</v>
      </c>
      <c r="H494">
        <v>1</v>
      </c>
      <c r="I494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95" spans="1:9">
      <c r="A495" s="1" t="s">
        <v>344</v>
      </c>
      <c r="B495" t="s">
        <v>378</v>
      </c>
      <c r="C495" t="s">
        <v>76</v>
      </c>
      <c r="D495">
        <v>90</v>
      </c>
      <c r="E495" t="s">
        <v>21</v>
      </c>
      <c r="F495">
        <v>343</v>
      </c>
      <c r="G495">
        <v>82.05</v>
      </c>
      <c r="H495">
        <v>1</v>
      </c>
      <c r="I495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96" spans="1:9">
      <c r="A496" s="1" t="s">
        <v>395</v>
      </c>
      <c r="B496" t="s">
        <v>421</v>
      </c>
      <c r="C496" t="s">
        <v>76</v>
      </c>
      <c r="D496">
        <v>90</v>
      </c>
      <c r="E496" t="s">
        <v>14</v>
      </c>
      <c r="F496">
        <v>216</v>
      </c>
      <c r="G496">
        <v>45.58</v>
      </c>
      <c r="H496">
        <v>0</v>
      </c>
      <c r="I496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97" spans="1:9">
      <c r="A497" s="1" t="s">
        <v>653</v>
      </c>
      <c r="B497" t="s">
        <v>698</v>
      </c>
      <c r="C497" t="s">
        <v>95</v>
      </c>
      <c r="D497">
        <v>90</v>
      </c>
      <c r="E497" t="s">
        <v>11</v>
      </c>
      <c r="F497">
        <v>195</v>
      </c>
      <c r="G497">
        <v>52.71</v>
      </c>
      <c r="H497">
        <v>2</v>
      </c>
      <c r="I497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98" spans="1:9">
      <c r="A498" s="1" t="s">
        <v>756</v>
      </c>
      <c r="B498" t="s">
        <v>783</v>
      </c>
      <c r="C498" t="s">
        <v>92</v>
      </c>
      <c r="D498">
        <v>90</v>
      </c>
      <c r="E498" t="s">
        <v>21</v>
      </c>
      <c r="F498">
        <v>412</v>
      </c>
      <c r="G498">
        <v>20.62</v>
      </c>
      <c r="H498">
        <v>2</v>
      </c>
      <c r="I498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499" spans="1:9">
      <c r="A499" s="1" t="s">
        <v>8</v>
      </c>
      <c r="B499" t="s">
        <v>9</v>
      </c>
      <c r="C499" t="s">
        <v>10</v>
      </c>
      <c r="D499">
        <v>91</v>
      </c>
      <c r="E499" t="s">
        <v>11</v>
      </c>
      <c r="F499">
        <v>358</v>
      </c>
      <c r="G499">
        <v>21.14</v>
      </c>
      <c r="H499">
        <v>5</v>
      </c>
      <c r="I499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00" spans="1:9">
      <c r="A500" s="1" t="s">
        <v>85</v>
      </c>
      <c r="B500" t="s">
        <v>93</v>
      </c>
      <c r="C500" t="s">
        <v>92</v>
      </c>
      <c r="D500">
        <v>91</v>
      </c>
      <c r="E500" t="s">
        <v>14</v>
      </c>
      <c r="F500">
        <v>300</v>
      </c>
      <c r="G500">
        <v>82.19</v>
      </c>
      <c r="H500">
        <v>1</v>
      </c>
      <c r="I500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01" spans="1:9">
      <c r="A501" s="1" t="s">
        <v>85</v>
      </c>
      <c r="B501" t="s">
        <v>138</v>
      </c>
      <c r="C501" t="s">
        <v>26</v>
      </c>
      <c r="D501">
        <v>91</v>
      </c>
      <c r="E501" t="s">
        <v>32</v>
      </c>
      <c r="F501">
        <v>467</v>
      </c>
      <c r="G501">
        <v>84.74</v>
      </c>
      <c r="H501">
        <v>1</v>
      </c>
      <c r="I501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02" spans="1:9">
      <c r="A502" s="1" t="s">
        <v>242</v>
      </c>
      <c r="B502" t="s">
        <v>246</v>
      </c>
      <c r="C502" t="s">
        <v>13</v>
      </c>
      <c r="D502">
        <v>91</v>
      </c>
      <c r="E502" t="s">
        <v>14</v>
      </c>
      <c r="F502">
        <v>188</v>
      </c>
      <c r="G502">
        <v>65.78</v>
      </c>
      <c r="H502">
        <v>4</v>
      </c>
      <c r="I502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03" spans="1:9">
      <c r="A503" s="1" t="s">
        <v>293</v>
      </c>
      <c r="B503" t="s">
        <v>319</v>
      </c>
      <c r="C503" t="s">
        <v>29</v>
      </c>
      <c r="D503">
        <v>91</v>
      </c>
      <c r="E503" t="s">
        <v>21</v>
      </c>
      <c r="F503">
        <v>63</v>
      </c>
      <c r="G503">
        <v>57.76</v>
      </c>
      <c r="H503">
        <v>5</v>
      </c>
      <c r="I503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04" spans="1:9">
      <c r="A504" s="1" t="s">
        <v>293</v>
      </c>
      <c r="B504" t="s">
        <v>341</v>
      </c>
      <c r="C504" t="s">
        <v>107</v>
      </c>
      <c r="D504">
        <v>91</v>
      </c>
      <c r="E504" t="s">
        <v>21</v>
      </c>
      <c r="F504">
        <v>404</v>
      </c>
      <c r="G504">
        <v>76.53</v>
      </c>
      <c r="H504">
        <v>5</v>
      </c>
      <c r="I504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05" spans="1:9">
      <c r="A505" s="1" t="s">
        <v>551</v>
      </c>
      <c r="B505" t="s">
        <v>583</v>
      </c>
      <c r="C505" t="s">
        <v>111</v>
      </c>
      <c r="D505">
        <v>91</v>
      </c>
      <c r="E505" t="s">
        <v>21</v>
      </c>
      <c r="F505">
        <v>90</v>
      </c>
      <c r="G505">
        <v>39.14</v>
      </c>
      <c r="H505">
        <v>3</v>
      </c>
      <c r="I505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06" spans="1:9">
      <c r="A506" s="1" t="s">
        <v>602</v>
      </c>
      <c r="B506" t="s">
        <v>629</v>
      </c>
      <c r="C506" t="s">
        <v>79</v>
      </c>
      <c r="D506">
        <v>91</v>
      </c>
      <c r="E506" t="s">
        <v>14</v>
      </c>
      <c r="F506">
        <v>62</v>
      </c>
      <c r="G506">
        <v>34.450000000000003</v>
      </c>
      <c r="H506">
        <v>5</v>
      </c>
      <c r="I506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07" spans="1:9">
      <c r="A507" s="1" t="s">
        <v>191</v>
      </c>
      <c r="B507" t="s">
        <v>196</v>
      </c>
      <c r="C507" t="s">
        <v>107</v>
      </c>
      <c r="D507">
        <v>92</v>
      </c>
      <c r="E507" t="s">
        <v>11</v>
      </c>
      <c r="F507">
        <v>487</v>
      </c>
      <c r="G507">
        <v>58.38</v>
      </c>
      <c r="H507">
        <v>1</v>
      </c>
      <c r="I507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08" spans="1:9">
      <c r="A508" s="1" t="s">
        <v>191</v>
      </c>
      <c r="B508" t="s">
        <v>236</v>
      </c>
      <c r="C508" t="s">
        <v>52</v>
      </c>
      <c r="D508">
        <v>92</v>
      </c>
      <c r="E508" t="s">
        <v>32</v>
      </c>
      <c r="F508">
        <v>116</v>
      </c>
      <c r="G508">
        <v>23.83</v>
      </c>
      <c r="H508">
        <v>3</v>
      </c>
      <c r="I508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09" spans="1:9">
      <c r="A509" s="1" t="s">
        <v>242</v>
      </c>
      <c r="B509" t="s">
        <v>262</v>
      </c>
      <c r="C509" t="s">
        <v>63</v>
      </c>
      <c r="D509">
        <v>92</v>
      </c>
      <c r="E509" t="s">
        <v>14</v>
      </c>
      <c r="F509">
        <v>472</v>
      </c>
      <c r="G509">
        <v>78.44</v>
      </c>
      <c r="H509">
        <v>1</v>
      </c>
      <c r="I509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10" spans="1:9">
      <c r="A510" s="1" t="s">
        <v>447</v>
      </c>
      <c r="B510" t="s">
        <v>490</v>
      </c>
      <c r="C510" t="s">
        <v>38</v>
      </c>
      <c r="D510">
        <v>92</v>
      </c>
      <c r="E510" t="s">
        <v>14</v>
      </c>
      <c r="F510">
        <v>4</v>
      </c>
      <c r="G510">
        <v>22.03</v>
      </c>
      <c r="H510">
        <v>3</v>
      </c>
      <c r="I510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11" spans="1:9">
      <c r="A511" s="1" t="s">
        <v>499</v>
      </c>
      <c r="B511" t="s">
        <v>533</v>
      </c>
      <c r="C511" t="s">
        <v>24</v>
      </c>
      <c r="D511">
        <v>92</v>
      </c>
      <c r="E511" t="s">
        <v>14</v>
      </c>
      <c r="F511">
        <v>6</v>
      </c>
      <c r="G511">
        <v>77.14</v>
      </c>
      <c r="H511">
        <v>5</v>
      </c>
      <c r="I511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12" spans="1:9">
      <c r="A512" s="1" t="s">
        <v>705</v>
      </c>
      <c r="B512" t="s">
        <v>734</v>
      </c>
      <c r="C512" t="s">
        <v>65</v>
      </c>
      <c r="D512">
        <v>92</v>
      </c>
      <c r="E512" t="s">
        <v>14</v>
      </c>
      <c r="F512">
        <v>379</v>
      </c>
      <c r="G512">
        <v>70.08</v>
      </c>
      <c r="H512">
        <v>5</v>
      </c>
      <c r="I512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13" spans="1:9">
      <c r="A513" s="1" t="s">
        <v>140</v>
      </c>
      <c r="B513" t="s">
        <v>188</v>
      </c>
      <c r="C513" t="s">
        <v>10</v>
      </c>
      <c r="D513">
        <v>93</v>
      </c>
      <c r="E513" t="s">
        <v>14</v>
      </c>
      <c r="F513">
        <v>365</v>
      </c>
      <c r="G513">
        <v>72.319999999999993</v>
      </c>
      <c r="H513">
        <v>1</v>
      </c>
      <c r="I513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14" spans="1:9">
      <c r="A514" s="1" t="s">
        <v>293</v>
      </c>
      <c r="B514" t="s">
        <v>297</v>
      </c>
      <c r="C514" t="s">
        <v>95</v>
      </c>
      <c r="D514">
        <v>93</v>
      </c>
      <c r="E514" t="s">
        <v>32</v>
      </c>
      <c r="F514">
        <v>150</v>
      </c>
      <c r="G514">
        <v>93.25</v>
      </c>
      <c r="H514">
        <v>3</v>
      </c>
      <c r="I514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15" spans="1:9">
      <c r="A515" s="1" t="s">
        <v>499</v>
      </c>
      <c r="B515" t="s">
        <v>544</v>
      </c>
      <c r="C515" t="s">
        <v>76</v>
      </c>
      <c r="D515">
        <v>93</v>
      </c>
      <c r="E515" t="s">
        <v>11</v>
      </c>
      <c r="F515">
        <v>153</v>
      </c>
      <c r="G515">
        <v>86.19</v>
      </c>
      <c r="H515">
        <v>0</v>
      </c>
      <c r="I515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16" spans="1:9">
      <c r="A516" s="1" t="s">
        <v>653</v>
      </c>
      <c r="B516" t="s">
        <v>660</v>
      </c>
      <c r="C516" t="s">
        <v>63</v>
      </c>
      <c r="D516">
        <v>93</v>
      </c>
      <c r="E516" t="s">
        <v>32</v>
      </c>
      <c r="F516">
        <v>136</v>
      </c>
      <c r="G516">
        <v>19.09</v>
      </c>
      <c r="H516">
        <v>1</v>
      </c>
      <c r="I516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17" spans="1:9">
      <c r="A517" s="1" t="s">
        <v>653</v>
      </c>
      <c r="B517" t="s">
        <v>669</v>
      </c>
      <c r="C517" t="s">
        <v>65</v>
      </c>
      <c r="D517">
        <v>93</v>
      </c>
      <c r="E517" t="s">
        <v>11</v>
      </c>
      <c r="F517">
        <v>56</v>
      </c>
      <c r="G517">
        <v>96.31</v>
      </c>
      <c r="H517">
        <v>4</v>
      </c>
      <c r="I517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18" spans="1:9">
      <c r="A518" s="1" t="s">
        <v>85</v>
      </c>
      <c r="B518" t="s">
        <v>122</v>
      </c>
      <c r="C518" t="s">
        <v>20</v>
      </c>
      <c r="D518">
        <v>94</v>
      </c>
      <c r="E518" t="s">
        <v>21</v>
      </c>
      <c r="F518">
        <v>122</v>
      </c>
      <c r="G518">
        <v>95.74</v>
      </c>
      <c r="H518">
        <v>5</v>
      </c>
      <c r="I518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19" spans="1:9">
      <c r="A519" s="1" t="s">
        <v>395</v>
      </c>
      <c r="B519" t="s">
        <v>432</v>
      </c>
      <c r="C519" t="s">
        <v>38</v>
      </c>
      <c r="D519">
        <v>94</v>
      </c>
      <c r="E519" t="s">
        <v>21</v>
      </c>
      <c r="F519">
        <v>115</v>
      </c>
      <c r="G519">
        <v>19.12</v>
      </c>
      <c r="H519">
        <v>0</v>
      </c>
      <c r="I519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20" spans="1:9">
      <c r="A520" s="1" t="s">
        <v>499</v>
      </c>
      <c r="B520" t="s">
        <v>517</v>
      </c>
      <c r="C520" t="s">
        <v>61</v>
      </c>
      <c r="D520">
        <v>94</v>
      </c>
      <c r="E520" t="s">
        <v>21</v>
      </c>
      <c r="F520">
        <v>6</v>
      </c>
      <c r="G520">
        <v>67.459999999999994</v>
      </c>
      <c r="H520">
        <v>5</v>
      </c>
      <c r="I520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21" spans="1:9">
      <c r="A521" s="1" t="s">
        <v>602</v>
      </c>
      <c r="B521" t="s">
        <v>623</v>
      </c>
      <c r="C521" t="s">
        <v>38</v>
      </c>
      <c r="D521">
        <v>94</v>
      </c>
      <c r="E521" t="s">
        <v>11</v>
      </c>
      <c r="F521">
        <v>247</v>
      </c>
      <c r="G521">
        <v>96.57</v>
      </c>
      <c r="H521">
        <v>0</v>
      </c>
      <c r="I521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22" spans="1:9">
      <c r="A522" s="1" t="s">
        <v>705</v>
      </c>
      <c r="B522" t="s">
        <v>725</v>
      </c>
      <c r="C522" t="s">
        <v>71</v>
      </c>
      <c r="D522">
        <v>94</v>
      </c>
      <c r="E522" t="s">
        <v>21</v>
      </c>
      <c r="F522">
        <v>261</v>
      </c>
      <c r="G522">
        <v>70.09</v>
      </c>
      <c r="H522">
        <v>3</v>
      </c>
      <c r="I522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23" spans="1:9">
      <c r="A523" s="1" t="s">
        <v>85</v>
      </c>
      <c r="B523" t="s">
        <v>119</v>
      </c>
      <c r="C523" t="s">
        <v>36</v>
      </c>
      <c r="D523">
        <v>95</v>
      </c>
      <c r="E523" t="s">
        <v>14</v>
      </c>
      <c r="F523">
        <v>33</v>
      </c>
      <c r="G523">
        <v>35.32</v>
      </c>
      <c r="H523">
        <v>0</v>
      </c>
      <c r="I523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24" spans="1:9">
      <c r="A524" s="1" t="s">
        <v>140</v>
      </c>
      <c r="B524" t="s">
        <v>158</v>
      </c>
      <c r="C524" t="s">
        <v>65</v>
      </c>
      <c r="D524">
        <v>95</v>
      </c>
      <c r="E524" t="s">
        <v>11</v>
      </c>
      <c r="F524">
        <v>95</v>
      </c>
      <c r="G524">
        <v>82.65</v>
      </c>
      <c r="H524">
        <v>2</v>
      </c>
      <c r="I524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25" spans="1:9">
      <c r="A525" s="1" t="s">
        <v>293</v>
      </c>
      <c r="B525" t="s">
        <v>324</v>
      </c>
      <c r="C525" t="s">
        <v>71</v>
      </c>
      <c r="D525">
        <v>95</v>
      </c>
      <c r="E525" t="s">
        <v>32</v>
      </c>
      <c r="F525">
        <v>51</v>
      </c>
      <c r="G525">
        <v>94.77</v>
      </c>
      <c r="H525">
        <v>5</v>
      </c>
      <c r="I525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26" spans="1:9">
      <c r="A526" s="1" t="s">
        <v>756</v>
      </c>
      <c r="B526" t="s">
        <v>773</v>
      </c>
      <c r="C526" t="s">
        <v>111</v>
      </c>
      <c r="D526">
        <v>95</v>
      </c>
      <c r="E526" t="s">
        <v>32</v>
      </c>
      <c r="F526">
        <v>313</v>
      </c>
      <c r="G526">
        <v>32.49</v>
      </c>
      <c r="H526">
        <v>1</v>
      </c>
      <c r="I526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27" spans="1:9">
      <c r="A527" s="1" t="s">
        <v>242</v>
      </c>
      <c r="B527" t="s">
        <v>253</v>
      </c>
      <c r="C527" t="s">
        <v>36</v>
      </c>
      <c r="D527">
        <v>96</v>
      </c>
      <c r="E527" t="s">
        <v>32</v>
      </c>
      <c r="F527">
        <v>334</v>
      </c>
      <c r="G527">
        <v>64.77</v>
      </c>
      <c r="H527">
        <v>0</v>
      </c>
      <c r="I527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28" spans="1:9">
      <c r="A528" s="1" t="s">
        <v>242</v>
      </c>
      <c r="B528" t="s">
        <v>273</v>
      </c>
      <c r="C528" t="s">
        <v>16</v>
      </c>
      <c r="D528">
        <v>96</v>
      </c>
      <c r="E528" t="s">
        <v>21</v>
      </c>
      <c r="F528">
        <v>108</v>
      </c>
      <c r="G528">
        <v>30.92</v>
      </c>
      <c r="H528">
        <v>1</v>
      </c>
      <c r="I528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29" spans="1:9">
      <c r="A529" s="1" t="s">
        <v>242</v>
      </c>
      <c r="B529" t="s">
        <v>279</v>
      </c>
      <c r="C529" t="s">
        <v>16</v>
      </c>
      <c r="D529">
        <v>96</v>
      </c>
      <c r="E529" t="s">
        <v>21</v>
      </c>
      <c r="F529">
        <v>210</v>
      </c>
      <c r="G529">
        <v>28.39</v>
      </c>
      <c r="H529">
        <v>3</v>
      </c>
      <c r="I529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30" spans="1:9">
      <c r="A530" s="1" t="s">
        <v>344</v>
      </c>
      <c r="B530" t="s">
        <v>361</v>
      </c>
      <c r="C530" t="s">
        <v>36</v>
      </c>
      <c r="D530">
        <v>96</v>
      </c>
      <c r="E530" t="s">
        <v>21</v>
      </c>
      <c r="F530">
        <v>381</v>
      </c>
      <c r="G530">
        <v>90.78</v>
      </c>
      <c r="H530">
        <v>2</v>
      </c>
      <c r="I530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31" spans="1:9">
      <c r="A531" s="1" t="s">
        <v>447</v>
      </c>
      <c r="B531" t="s">
        <v>462</v>
      </c>
      <c r="C531" t="s">
        <v>52</v>
      </c>
      <c r="D531">
        <v>96</v>
      </c>
      <c r="E531" t="s">
        <v>32</v>
      </c>
      <c r="F531">
        <v>273</v>
      </c>
      <c r="G531">
        <v>37.909999999999997</v>
      </c>
      <c r="H531">
        <v>2</v>
      </c>
      <c r="I531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32" spans="1:9">
      <c r="A532" s="1" t="s">
        <v>447</v>
      </c>
      <c r="B532" t="s">
        <v>473</v>
      </c>
      <c r="C532" t="s">
        <v>57</v>
      </c>
      <c r="D532">
        <v>96</v>
      </c>
      <c r="E532" t="s">
        <v>21</v>
      </c>
      <c r="F532">
        <v>155</v>
      </c>
      <c r="G532">
        <v>69.16</v>
      </c>
      <c r="H532">
        <v>4</v>
      </c>
      <c r="I532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33" spans="1:9">
      <c r="A533" s="1" t="s">
        <v>756</v>
      </c>
      <c r="B533" t="s">
        <v>769</v>
      </c>
      <c r="C533" t="s">
        <v>92</v>
      </c>
      <c r="D533">
        <v>96</v>
      </c>
      <c r="E533" t="s">
        <v>11</v>
      </c>
      <c r="F533">
        <v>280</v>
      </c>
      <c r="G533">
        <v>80.36</v>
      </c>
      <c r="H533">
        <v>5</v>
      </c>
      <c r="I533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34" spans="1:9">
      <c r="A534" s="1" t="s">
        <v>8</v>
      </c>
      <c r="B534" t="s">
        <v>23</v>
      </c>
      <c r="C534" t="s">
        <v>24</v>
      </c>
      <c r="D534">
        <v>97</v>
      </c>
      <c r="E534" t="s">
        <v>11</v>
      </c>
      <c r="F534">
        <v>319</v>
      </c>
      <c r="G534">
        <v>31.25</v>
      </c>
      <c r="H534">
        <v>1</v>
      </c>
      <c r="I534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35" spans="1:9">
      <c r="A535" s="1" t="s">
        <v>191</v>
      </c>
      <c r="B535" t="s">
        <v>207</v>
      </c>
      <c r="C535" t="s">
        <v>10</v>
      </c>
      <c r="D535">
        <v>97</v>
      </c>
      <c r="E535" t="s">
        <v>14</v>
      </c>
      <c r="F535">
        <v>484</v>
      </c>
      <c r="G535">
        <v>61.98</v>
      </c>
      <c r="H535">
        <v>1</v>
      </c>
      <c r="I535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36" spans="1:9">
      <c r="A536" s="1" t="s">
        <v>191</v>
      </c>
      <c r="B536" t="s">
        <v>239</v>
      </c>
      <c r="C536" t="s">
        <v>26</v>
      </c>
      <c r="D536">
        <v>97</v>
      </c>
      <c r="E536" t="s">
        <v>32</v>
      </c>
      <c r="F536">
        <v>296</v>
      </c>
      <c r="G536">
        <v>10.87</v>
      </c>
      <c r="H536">
        <v>4</v>
      </c>
      <c r="I536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37" spans="1:9">
      <c r="A537" s="1" t="s">
        <v>293</v>
      </c>
      <c r="B537" t="s">
        <v>303</v>
      </c>
      <c r="C537" t="s">
        <v>107</v>
      </c>
      <c r="D537">
        <v>97</v>
      </c>
      <c r="E537" t="s">
        <v>14</v>
      </c>
      <c r="F537">
        <v>40</v>
      </c>
      <c r="G537">
        <v>85.19</v>
      </c>
      <c r="H537">
        <v>1</v>
      </c>
      <c r="I537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38" spans="1:9">
      <c r="A538" s="1" t="s">
        <v>395</v>
      </c>
      <c r="B538" t="s">
        <v>445</v>
      </c>
      <c r="C538" t="s">
        <v>16</v>
      </c>
      <c r="D538">
        <v>97</v>
      </c>
      <c r="E538" t="s">
        <v>11</v>
      </c>
      <c r="F538">
        <v>276</v>
      </c>
      <c r="G538">
        <v>88.35</v>
      </c>
      <c r="H538">
        <v>0</v>
      </c>
      <c r="I538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39" spans="1:9">
      <c r="A539" s="1" t="s">
        <v>756</v>
      </c>
      <c r="B539" t="s">
        <v>791</v>
      </c>
      <c r="C539" t="s">
        <v>29</v>
      </c>
      <c r="D539">
        <v>97</v>
      </c>
      <c r="E539" t="s">
        <v>14</v>
      </c>
      <c r="F539">
        <v>173</v>
      </c>
      <c r="G539">
        <v>19.37</v>
      </c>
      <c r="H539">
        <v>5</v>
      </c>
      <c r="I539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40" spans="1:9">
      <c r="A540" s="1" t="s">
        <v>85</v>
      </c>
      <c r="B540" t="s">
        <v>117</v>
      </c>
      <c r="C540" t="s">
        <v>92</v>
      </c>
      <c r="D540">
        <v>98</v>
      </c>
      <c r="E540" t="s">
        <v>11</v>
      </c>
      <c r="F540">
        <v>482</v>
      </c>
      <c r="G540">
        <v>55.04</v>
      </c>
      <c r="H540">
        <v>5</v>
      </c>
      <c r="I540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41" spans="1:9">
      <c r="A541" s="1" t="s">
        <v>140</v>
      </c>
      <c r="B541" t="s">
        <v>144</v>
      </c>
      <c r="C541" t="s">
        <v>92</v>
      </c>
      <c r="D541">
        <v>98</v>
      </c>
      <c r="E541" t="s">
        <v>14</v>
      </c>
      <c r="F541">
        <v>52</v>
      </c>
      <c r="G541">
        <v>52.82</v>
      </c>
      <c r="H541">
        <v>2</v>
      </c>
      <c r="I541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42" spans="1:9">
      <c r="A542" s="1" t="s">
        <v>293</v>
      </c>
      <c r="B542" t="s">
        <v>299</v>
      </c>
      <c r="C542" t="s">
        <v>71</v>
      </c>
      <c r="D542">
        <v>98</v>
      </c>
      <c r="E542" t="s">
        <v>32</v>
      </c>
      <c r="F542">
        <v>319</v>
      </c>
      <c r="G542">
        <v>88.58</v>
      </c>
      <c r="H542">
        <v>0</v>
      </c>
      <c r="I542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43" spans="1:9">
      <c r="A543" s="1" t="s">
        <v>551</v>
      </c>
      <c r="B543" t="s">
        <v>561</v>
      </c>
      <c r="C543" t="s">
        <v>29</v>
      </c>
      <c r="D543">
        <v>98</v>
      </c>
      <c r="E543" t="s">
        <v>11</v>
      </c>
      <c r="F543">
        <v>41</v>
      </c>
      <c r="G543">
        <v>23.55</v>
      </c>
      <c r="H543">
        <v>1</v>
      </c>
      <c r="I543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44" spans="1:9">
      <c r="A544" s="1" t="s">
        <v>602</v>
      </c>
      <c r="B544" t="s">
        <v>645</v>
      </c>
      <c r="C544" t="s">
        <v>45</v>
      </c>
      <c r="D544">
        <v>98</v>
      </c>
      <c r="E544" t="s">
        <v>21</v>
      </c>
      <c r="F544">
        <v>110</v>
      </c>
      <c r="G544">
        <v>96.23</v>
      </c>
      <c r="H544">
        <v>2</v>
      </c>
      <c r="I544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45" spans="1:9">
      <c r="A545" s="1" t="s">
        <v>756</v>
      </c>
      <c r="B545" t="s">
        <v>788</v>
      </c>
      <c r="C545" t="s">
        <v>111</v>
      </c>
      <c r="D545">
        <v>98</v>
      </c>
      <c r="E545" t="s">
        <v>11</v>
      </c>
      <c r="F545">
        <v>168</v>
      </c>
      <c r="G545">
        <v>44.14</v>
      </c>
      <c r="H545">
        <v>3</v>
      </c>
      <c r="I545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46" spans="1:9">
      <c r="A546" s="1" t="s">
        <v>8</v>
      </c>
      <c r="B546" t="s">
        <v>67</v>
      </c>
      <c r="C546" t="s">
        <v>13</v>
      </c>
      <c r="D546">
        <v>99</v>
      </c>
      <c r="E546" t="s">
        <v>14</v>
      </c>
      <c r="F546">
        <v>369</v>
      </c>
      <c r="G546">
        <v>67.209999999999994</v>
      </c>
      <c r="H546">
        <v>3</v>
      </c>
      <c r="I546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47" spans="1:9">
      <c r="A547" s="1" t="s">
        <v>85</v>
      </c>
      <c r="B547" t="s">
        <v>87</v>
      </c>
      <c r="C547" t="s">
        <v>29</v>
      </c>
      <c r="D547">
        <v>99</v>
      </c>
      <c r="E547" t="s">
        <v>21</v>
      </c>
      <c r="F547">
        <v>493</v>
      </c>
      <c r="G547">
        <v>55.43</v>
      </c>
      <c r="H547">
        <v>2</v>
      </c>
      <c r="I547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48" spans="1:9">
      <c r="A548" s="1" t="s">
        <v>293</v>
      </c>
      <c r="B548" t="s">
        <v>312</v>
      </c>
      <c r="C548" t="s">
        <v>13</v>
      </c>
      <c r="D548">
        <v>99</v>
      </c>
      <c r="E548" t="s">
        <v>11</v>
      </c>
      <c r="F548">
        <v>325</v>
      </c>
      <c r="G548">
        <v>88.35</v>
      </c>
      <c r="H548">
        <v>4</v>
      </c>
      <c r="I548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49" spans="1:9">
      <c r="A549" s="1" t="s">
        <v>344</v>
      </c>
      <c r="B549" t="s">
        <v>391</v>
      </c>
      <c r="C549" t="s">
        <v>24</v>
      </c>
      <c r="D549">
        <v>99</v>
      </c>
      <c r="E549" t="s">
        <v>14</v>
      </c>
      <c r="F549">
        <v>28</v>
      </c>
      <c r="G549">
        <v>70.19</v>
      </c>
      <c r="H549">
        <v>1</v>
      </c>
      <c r="I549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50" spans="1:9">
      <c r="A550" s="1" t="s">
        <v>447</v>
      </c>
      <c r="B550" t="s">
        <v>475</v>
      </c>
      <c r="C550" t="s">
        <v>57</v>
      </c>
      <c r="D550">
        <v>99</v>
      </c>
      <c r="E550" t="s">
        <v>11</v>
      </c>
      <c r="F550">
        <v>138</v>
      </c>
      <c r="G550">
        <v>54.64</v>
      </c>
      <c r="H550">
        <v>5</v>
      </c>
      <c r="I550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51" spans="1:9">
      <c r="A551" s="1" t="s">
        <v>551</v>
      </c>
      <c r="B551" t="s">
        <v>598</v>
      </c>
      <c r="C551" t="s">
        <v>76</v>
      </c>
      <c r="D551">
        <v>99</v>
      </c>
      <c r="E551" t="s">
        <v>11</v>
      </c>
      <c r="F551">
        <v>42</v>
      </c>
      <c r="G551">
        <v>98.77</v>
      </c>
      <c r="H551">
        <v>3</v>
      </c>
      <c r="I551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52" spans="1:9">
      <c r="A552" s="1" t="s">
        <v>602</v>
      </c>
      <c r="B552" t="s">
        <v>649</v>
      </c>
      <c r="C552" t="s">
        <v>63</v>
      </c>
      <c r="D552">
        <v>99</v>
      </c>
      <c r="E552" t="s">
        <v>21</v>
      </c>
      <c r="F552">
        <v>137</v>
      </c>
      <c r="G552">
        <v>23.05</v>
      </c>
      <c r="H552">
        <v>4</v>
      </c>
      <c r="I552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53" spans="1:9">
      <c r="A553" s="1" t="s">
        <v>705</v>
      </c>
      <c r="B553" t="s">
        <v>735</v>
      </c>
      <c r="C553" t="s">
        <v>40</v>
      </c>
      <c r="D553">
        <v>99</v>
      </c>
      <c r="E553" t="s">
        <v>11</v>
      </c>
      <c r="F553">
        <v>169</v>
      </c>
      <c r="G553">
        <v>76.75</v>
      </c>
      <c r="H553">
        <v>5</v>
      </c>
      <c r="I553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54" spans="1:9">
      <c r="A554" s="1" t="s">
        <v>499</v>
      </c>
      <c r="B554" t="s">
        <v>549</v>
      </c>
      <c r="C554" t="s">
        <v>18</v>
      </c>
      <c r="D554">
        <v>100</v>
      </c>
      <c r="E554" t="s">
        <v>21</v>
      </c>
      <c r="F554">
        <v>240</v>
      </c>
      <c r="G554">
        <v>24.83</v>
      </c>
      <c r="H554">
        <v>4</v>
      </c>
      <c r="I554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55" spans="1:9">
      <c r="A555" s="1" t="s">
        <v>8</v>
      </c>
      <c r="B555" t="s">
        <v>19</v>
      </c>
      <c r="C555" t="s">
        <v>20</v>
      </c>
      <c r="D555">
        <v>101</v>
      </c>
      <c r="E555" t="s">
        <v>21</v>
      </c>
      <c r="F555">
        <v>358</v>
      </c>
      <c r="G555">
        <v>29.24</v>
      </c>
      <c r="H555">
        <v>3</v>
      </c>
      <c r="I555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56" spans="1:9">
      <c r="A556" s="1" t="s">
        <v>8</v>
      </c>
      <c r="B556" t="s">
        <v>50</v>
      </c>
      <c r="C556" t="s">
        <v>45</v>
      </c>
      <c r="D556">
        <v>101</v>
      </c>
      <c r="E556" t="s">
        <v>11</v>
      </c>
      <c r="F556">
        <v>333</v>
      </c>
      <c r="G556">
        <v>74.319999999999993</v>
      </c>
      <c r="H556">
        <v>1</v>
      </c>
      <c r="I556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57" spans="1:9">
      <c r="A557" s="1" t="s">
        <v>395</v>
      </c>
      <c r="B557" t="s">
        <v>424</v>
      </c>
      <c r="C557" t="s">
        <v>79</v>
      </c>
      <c r="D557">
        <v>101</v>
      </c>
      <c r="E557" t="s">
        <v>32</v>
      </c>
      <c r="F557">
        <v>476</v>
      </c>
      <c r="G557">
        <v>41.85</v>
      </c>
      <c r="H557">
        <v>4</v>
      </c>
      <c r="I557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58" spans="1:9">
      <c r="A558" s="1" t="s">
        <v>499</v>
      </c>
      <c r="B558" t="s">
        <v>514</v>
      </c>
      <c r="C558" t="s">
        <v>16</v>
      </c>
      <c r="D558">
        <v>101</v>
      </c>
      <c r="E558" t="s">
        <v>14</v>
      </c>
      <c r="F558">
        <v>416</v>
      </c>
      <c r="G558">
        <v>83.49</v>
      </c>
      <c r="H558">
        <v>2</v>
      </c>
      <c r="I558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59" spans="1:9">
      <c r="A559" s="1" t="s">
        <v>602</v>
      </c>
      <c r="B559" t="s">
        <v>615</v>
      </c>
      <c r="C559" t="s">
        <v>24</v>
      </c>
      <c r="D559">
        <v>101</v>
      </c>
      <c r="E559" t="s">
        <v>14</v>
      </c>
      <c r="F559">
        <v>262</v>
      </c>
      <c r="G559">
        <v>83.74</v>
      </c>
      <c r="H559">
        <v>5</v>
      </c>
      <c r="I559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60" spans="1:9">
      <c r="A560" s="1" t="s">
        <v>653</v>
      </c>
      <c r="B560" t="s">
        <v>673</v>
      </c>
      <c r="C560" t="s">
        <v>76</v>
      </c>
      <c r="D560">
        <v>101</v>
      </c>
      <c r="E560" t="s">
        <v>11</v>
      </c>
      <c r="F560">
        <v>108</v>
      </c>
      <c r="G560">
        <v>76.05</v>
      </c>
      <c r="H560">
        <v>3</v>
      </c>
      <c r="I560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61" spans="1:9">
      <c r="A561" s="1" t="s">
        <v>705</v>
      </c>
      <c r="B561" t="s">
        <v>746</v>
      </c>
      <c r="C561" t="s">
        <v>40</v>
      </c>
      <c r="D561">
        <v>101</v>
      </c>
      <c r="E561" t="s">
        <v>11</v>
      </c>
      <c r="F561">
        <v>148</v>
      </c>
      <c r="G561">
        <v>26.63</v>
      </c>
      <c r="H561">
        <v>3</v>
      </c>
      <c r="I561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62" spans="1:9">
      <c r="A562" s="1" t="s">
        <v>85</v>
      </c>
      <c r="B562" t="s">
        <v>91</v>
      </c>
      <c r="C562" t="s">
        <v>92</v>
      </c>
      <c r="D562">
        <v>102</v>
      </c>
      <c r="E562" t="s">
        <v>11</v>
      </c>
      <c r="F562">
        <v>283</v>
      </c>
      <c r="G562">
        <v>28.98</v>
      </c>
      <c r="H562">
        <v>3</v>
      </c>
      <c r="I562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63" spans="1:9">
      <c r="A563" s="1" t="s">
        <v>191</v>
      </c>
      <c r="B563" t="s">
        <v>194</v>
      </c>
      <c r="C563" t="s">
        <v>63</v>
      </c>
      <c r="D563">
        <v>102</v>
      </c>
      <c r="E563" t="s">
        <v>32</v>
      </c>
      <c r="F563">
        <v>402</v>
      </c>
      <c r="G563">
        <v>28.38</v>
      </c>
      <c r="H563">
        <v>5</v>
      </c>
      <c r="I563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64" spans="1:9">
      <c r="A564" s="1" t="s">
        <v>344</v>
      </c>
      <c r="B564" t="s">
        <v>384</v>
      </c>
      <c r="C564" t="s">
        <v>57</v>
      </c>
      <c r="D564">
        <v>102</v>
      </c>
      <c r="E564" t="s">
        <v>14</v>
      </c>
      <c r="F564">
        <v>91</v>
      </c>
      <c r="G564">
        <v>34.64</v>
      </c>
      <c r="H564">
        <v>2</v>
      </c>
      <c r="I564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65" spans="1:9">
      <c r="A565" s="1" t="s">
        <v>499</v>
      </c>
      <c r="B565" t="s">
        <v>510</v>
      </c>
      <c r="C565" t="s">
        <v>18</v>
      </c>
      <c r="D565">
        <v>102</v>
      </c>
      <c r="E565" t="s">
        <v>21</v>
      </c>
      <c r="F565">
        <v>240</v>
      </c>
      <c r="G565">
        <v>12.52</v>
      </c>
      <c r="H565">
        <v>2</v>
      </c>
      <c r="I565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66" spans="1:9">
      <c r="A566" s="1" t="s">
        <v>653</v>
      </c>
      <c r="B566" t="s">
        <v>689</v>
      </c>
      <c r="C566" t="s">
        <v>45</v>
      </c>
      <c r="D566">
        <v>102</v>
      </c>
      <c r="E566" t="s">
        <v>14</v>
      </c>
      <c r="F566">
        <v>189</v>
      </c>
      <c r="G566">
        <v>26.86</v>
      </c>
      <c r="H566">
        <v>5</v>
      </c>
      <c r="I566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67" spans="1:9">
      <c r="A567" s="1" t="s">
        <v>756</v>
      </c>
      <c r="B567" t="s">
        <v>794</v>
      </c>
      <c r="C567" t="s">
        <v>24</v>
      </c>
      <c r="D567">
        <v>102</v>
      </c>
      <c r="E567" t="s">
        <v>14</v>
      </c>
      <c r="F567">
        <v>484</v>
      </c>
      <c r="G567">
        <v>64.22</v>
      </c>
      <c r="H567">
        <v>2</v>
      </c>
      <c r="I567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68" spans="1:9">
      <c r="A568" s="1" t="s">
        <v>8</v>
      </c>
      <c r="B568" t="s">
        <v>84</v>
      </c>
      <c r="C568" t="s">
        <v>52</v>
      </c>
      <c r="D568">
        <v>103</v>
      </c>
      <c r="E568" t="s">
        <v>11</v>
      </c>
      <c r="F568">
        <v>105</v>
      </c>
      <c r="G568">
        <v>61.52</v>
      </c>
      <c r="H568">
        <v>3</v>
      </c>
      <c r="I568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69" spans="1:9">
      <c r="A569" s="1" t="s">
        <v>85</v>
      </c>
      <c r="B569" t="s">
        <v>128</v>
      </c>
      <c r="C569" t="s">
        <v>29</v>
      </c>
      <c r="D569">
        <v>103</v>
      </c>
      <c r="E569" t="s">
        <v>14</v>
      </c>
      <c r="F569">
        <v>300</v>
      </c>
      <c r="G569">
        <v>13.76</v>
      </c>
      <c r="H569">
        <v>4</v>
      </c>
      <c r="I569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70" spans="1:9">
      <c r="A570" s="1" t="s">
        <v>344</v>
      </c>
      <c r="B570" t="s">
        <v>352</v>
      </c>
      <c r="C570" t="s">
        <v>111</v>
      </c>
      <c r="D570">
        <v>103</v>
      </c>
      <c r="E570" t="s">
        <v>21</v>
      </c>
      <c r="F570">
        <v>182</v>
      </c>
      <c r="G570">
        <v>12.07</v>
      </c>
      <c r="H570">
        <v>5</v>
      </c>
      <c r="I570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71" spans="1:9">
      <c r="A571" s="1" t="s">
        <v>344</v>
      </c>
      <c r="B571" t="s">
        <v>375</v>
      </c>
      <c r="C571" t="s">
        <v>20</v>
      </c>
      <c r="D571">
        <v>103</v>
      </c>
      <c r="E571" t="s">
        <v>32</v>
      </c>
      <c r="F571">
        <v>354</v>
      </c>
      <c r="G571">
        <v>26.19</v>
      </c>
      <c r="H571">
        <v>4</v>
      </c>
      <c r="I571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72" spans="1:9">
      <c r="A572" s="1" t="s">
        <v>395</v>
      </c>
      <c r="B572" t="s">
        <v>415</v>
      </c>
      <c r="C572" t="s">
        <v>16</v>
      </c>
      <c r="D572">
        <v>103</v>
      </c>
      <c r="E572" t="s">
        <v>11</v>
      </c>
      <c r="F572">
        <v>270</v>
      </c>
      <c r="G572">
        <v>67.87</v>
      </c>
      <c r="H572">
        <v>3</v>
      </c>
      <c r="I572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73" spans="1:9">
      <c r="A573" s="1" t="s">
        <v>499</v>
      </c>
      <c r="B573" t="s">
        <v>546</v>
      </c>
      <c r="C573" t="s">
        <v>16</v>
      </c>
      <c r="D573">
        <v>103</v>
      </c>
      <c r="E573" t="s">
        <v>21</v>
      </c>
      <c r="F573">
        <v>291</v>
      </c>
      <c r="G573">
        <v>60.34</v>
      </c>
      <c r="H573">
        <v>5</v>
      </c>
      <c r="I573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74" spans="1:9">
      <c r="A574" s="1" t="s">
        <v>602</v>
      </c>
      <c r="B574" t="s">
        <v>621</v>
      </c>
      <c r="C574" t="s">
        <v>43</v>
      </c>
      <c r="D574">
        <v>103</v>
      </c>
      <c r="E574" t="s">
        <v>32</v>
      </c>
      <c r="F574">
        <v>310</v>
      </c>
      <c r="G574">
        <v>49.25</v>
      </c>
      <c r="H574">
        <v>2</v>
      </c>
      <c r="I574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75" spans="1:9">
      <c r="A575" s="1" t="s">
        <v>602</v>
      </c>
      <c r="B575" t="s">
        <v>652</v>
      </c>
      <c r="C575" t="s">
        <v>16</v>
      </c>
      <c r="D575">
        <v>103</v>
      </c>
      <c r="E575" t="s">
        <v>14</v>
      </c>
      <c r="F575">
        <v>98</v>
      </c>
      <c r="G575">
        <v>38.69</v>
      </c>
      <c r="H575">
        <v>4</v>
      </c>
      <c r="I575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76" spans="1:9">
      <c r="A576" s="1" t="s">
        <v>705</v>
      </c>
      <c r="B576" t="s">
        <v>749</v>
      </c>
      <c r="C576" t="s">
        <v>79</v>
      </c>
      <c r="D576">
        <v>103</v>
      </c>
      <c r="E576" t="s">
        <v>32</v>
      </c>
      <c r="F576">
        <v>386</v>
      </c>
      <c r="G576">
        <v>10.58</v>
      </c>
      <c r="H576">
        <v>0</v>
      </c>
      <c r="I576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77" spans="1:9">
      <c r="A577" s="1" t="s">
        <v>140</v>
      </c>
      <c r="B577" t="s">
        <v>183</v>
      </c>
      <c r="C577" t="s">
        <v>31</v>
      </c>
      <c r="D577">
        <v>104</v>
      </c>
      <c r="E577" t="s">
        <v>11</v>
      </c>
      <c r="F577">
        <v>317</v>
      </c>
      <c r="G577">
        <v>79.150000000000006</v>
      </c>
      <c r="H577">
        <v>1</v>
      </c>
      <c r="I577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78" spans="1:9">
      <c r="A578" s="1" t="s">
        <v>395</v>
      </c>
      <c r="B578" t="s">
        <v>412</v>
      </c>
      <c r="C578" t="s">
        <v>76</v>
      </c>
      <c r="D578">
        <v>104</v>
      </c>
      <c r="E578" t="s">
        <v>11</v>
      </c>
      <c r="F578">
        <v>60</v>
      </c>
      <c r="G578">
        <v>45.51</v>
      </c>
      <c r="H578">
        <v>1</v>
      </c>
      <c r="I578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79" spans="1:9">
      <c r="A579" s="1" t="s">
        <v>395</v>
      </c>
      <c r="B579" t="s">
        <v>446</v>
      </c>
      <c r="C579" t="s">
        <v>61</v>
      </c>
      <c r="D579">
        <v>104</v>
      </c>
      <c r="E579" t="s">
        <v>32</v>
      </c>
      <c r="F579">
        <v>68</v>
      </c>
      <c r="G579">
        <v>21.15</v>
      </c>
      <c r="H579">
        <v>2</v>
      </c>
      <c r="I579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80" spans="1:9">
      <c r="A580" s="1" t="s">
        <v>447</v>
      </c>
      <c r="B580" t="s">
        <v>468</v>
      </c>
      <c r="C580" t="s">
        <v>45</v>
      </c>
      <c r="D580">
        <v>104</v>
      </c>
      <c r="E580" t="s">
        <v>11</v>
      </c>
      <c r="F580">
        <v>421</v>
      </c>
      <c r="G580">
        <v>26.24</v>
      </c>
      <c r="H580">
        <v>3</v>
      </c>
      <c r="I580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81" spans="1:9">
      <c r="A581" s="1" t="s">
        <v>653</v>
      </c>
      <c r="B581" t="s">
        <v>697</v>
      </c>
      <c r="C581" t="s">
        <v>45</v>
      </c>
      <c r="D581">
        <v>104</v>
      </c>
      <c r="E581" t="s">
        <v>14</v>
      </c>
      <c r="F581">
        <v>243</v>
      </c>
      <c r="G581">
        <v>65.819999999999993</v>
      </c>
      <c r="H581">
        <v>0</v>
      </c>
      <c r="I581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82" spans="1:9">
      <c r="A582" s="1" t="s">
        <v>756</v>
      </c>
      <c r="B582" t="s">
        <v>801</v>
      </c>
      <c r="C582" t="s">
        <v>40</v>
      </c>
      <c r="D582">
        <v>104</v>
      </c>
      <c r="E582" t="s">
        <v>14</v>
      </c>
      <c r="F582">
        <v>245</v>
      </c>
      <c r="G582">
        <v>38.270000000000003</v>
      </c>
      <c r="H582">
        <v>0</v>
      </c>
      <c r="I582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83" spans="1:9">
      <c r="A583" s="1" t="s">
        <v>293</v>
      </c>
      <c r="B583" t="s">
        <v>323</v>
      </c>
      <c r="C583" t="s">
        <v>36</v>
      </c>
      <c r="D583">
        <v>105</v>
      </c>
      <c r="E583" t="s">
        <v>21</v>
      </c>
      <c r="F583">
        <v>3</v>
      </c>
      <c r="G583">
        <v>71.010000000000005</v>
      </c>
      <c r="H583">
        <v>1</v>
      </c>
      <c r="I583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84" spans="1:9">
      <c r="A584" s="1" t="s">
        <v>344</v>
      </c>
      <c r="B584" t="s">
        <v>368</v>
      </c>
      <c r="C584" t="s">
        <v>24</v>
      </c>
      <c r="D584">
        <v>105</v>
      </c>
      <c r="E584" t="s">
        <v>32</v>
      </c>
      <c r="F584">
        <v>17</v>
      </c>
      <c r="G584">
        <v>60.05</v>
      </c>
      <c r="H584">
        <v>4</v>
      </c>
      <c r="I584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85" spans="1:9">
      <c r="A585" s="1" t="s">
        <v>499</v>
      </c>
      <c r="B585" t="s">
        <v>500</v>
      </c>
      <c r="C585" t="s">
        <v>18</v>
      </c>
      <c r="D585">
        <v>105</v>
      </c>
      <c r="E585" t="s">
        <v>11</v>
      </c>
      <c r="F585">
        <v>297</v>
      </c>
      <c r="G585">
        <v>84.66</v>
      </c>
      <c r="H585">
        <v>2</v>
      </c>
      <c r="I585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86" spans="1:9">
      <c r="A586" s="1" t="s">
        <v>499</v>
      </c>
      <c r="B586" t="s">
        <v>501</v>
      </c>
      <c r="C586" t="s">
        <v>45</v>
      </c>
      <c r="D586">
        <v>105</v>
      </c>
      <c r="E586" t="s">
        <v>21</v>
      </c>
      <c r="F586">
        <v>172</v>
      </c>
      <c r="G586">
        <v>15.88</v>
      </c>
      <c r="H586">
        <v>5</v>
      </c>
      <c r="I586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87" spans="1:9">
      <c r="A587" s="1" t="s">
        <v>653</v>
      </c>
      <c r="B587" t="s">
        <v>663</v>
      </c>
      <c r="C587" t="s">
        <v>57</v>
      </c>
      <c r="D587">
        <v>105</v>
      </c>
      <c r="E587" t="s">
        <v>21</v>
      </c>
      <c r="F587">
        <v>271</v>
      </c>
      <c r="G587">
        <v>45.27</v>
      </c>
      <c r="H587">
        <v>2</v>
      </c>
      <c r="I587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88" spans="1:9">
      <c r="A588" s="1" t="s">
        <v>756</v>
      </c>
      <c r="B588" t="s">
        <v>761</v>
      </c>
      <c r="C588" t="s">
        <v>40</v>
      </c>
      <c r="D588">
        <v>105</v>
      </c>
      <c r="E588" t="s">
        <v>32</v>
      </c>
      <c r="F588">
        <v>454</v>
      </c>
      <c r="G588">
        <v>49.47</v>
      </c>
      <c r="H588">
        <v>4</v>
      </c>
      <c r="I588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89" spans="1:9">
      <c r="A589" s="1" t="s">
        <v>8</v>
      </c>
      <c r="B589" t="s">
        <v>58</v>
      </c>
      <c r="C589" t="s">
        <v>13</v>
      </c>
      <c r="D589">
        <v>106</v>
      </c>
      <c r="E589" t="s">
        <v>14</v>
      </c>
      <c r="F589">
        <v>400</v>
      </c>
      <c r="G589">
        <v>70.02</v>
      </c>
      <c r="H589">
        <v>4</v>
      </c>
      <c r="I589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90" spans="1:9">
      <c r="A590" s="1" t="s">
        <v>242</v>
      </c>
      <c r="B590" t="s">
        <v>266</v>
      </c>
      <c r="C590" t="s">
        <v>111</v>
      </c>
      <c r="D590">
        <v>106</v>
      </c>
      <c r="E590" t="s">
        <v>21</v>
      </c>
      <c r="F590">
        <v>128</v>
      </c>
      <c r="G590">
        <v>35.96</v>
      </c>
      <c r="H590">
        <v>2</v>
      </c>
      <c r="I590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91" spans="1:9">
      <c r="A591" s="1" t="s">
        <v>344</v>
      </c>
      <c r="B591" t="s">
        <v>353</v>
      </c>
      <c r="C591" t="s">
        <v>71</v>
      </c>
      <c r="D591">
        <v>106</v>
      </c>
      <c r="E591" t="s">
        <v>21</v>
      </c>
      <c r="F591">
        <v>407</v>
      </c>
      <c r="G591">
        <v>59.92</v>
      </c>
      <c r="H591">
        <v>4</v>
      </c>
      <c r="I591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92" spans="1:9">
      <c r="A592" s="1" t="s">
        <v>395</v>
      </c>
      <c r="B592" t="s">
        <v>397</v>
      </c>
      <c r="C592" t="s">
        <v>57</v>
      </c>
      <c r="D592">
        <v>106</v>
      </c>
      <c r="E592" t="s">
        <v>11</v>
      </c>
      <c r="F592">
        <v>429</v>
      </c>
      <c r="G592">
        <v>23.83</v>
      </c>
      <c r="H592">
        <v>1</v>
      </c>
      <c r="I592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93" spans="1:9">
      <c r="A593" s="1" t="s">
        <v>705</v>
      </c>
      <c r="B593" t="s">
        <v>739</v>
      </c>
      <c r="C593" t="s">
        <v>79</v>
      </c>
      <c r="D593">
        <v>106</v>
      </c>
      <c r="E593" t="s">
        <v>21</v>
      </c>
      <c r="F593">
        <v>236</v>
      </c>
      <c r="G593">
        <v>18.72</v>
      </c>
      <c r="H593">
        <v>4</v>
      </c>
      <c r="I593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94" spans="1:9">
      <c r="A594" s="1" t="s">
        <v>602</v>
      </c>
      <c r="B594" t="s">
        <v>633</v>
      </c>
      <c r="C594" t="s">
        <v>18</v>
      </c>
      <c r="D594">
        <v>107</v>
      </c>
      <c r="E594" t="s">
        <v>21</v>
      </c>
      <c r="F594">
        <v>290</v>
      </c>
      <c r="G594">
        <v>52.03</v>
      </c>
      <c r="H594">
        <v>0</v>
      </c>
      <c r="I594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95" spans="1:9">
      <c r="A595" s="1" t="s">
        <v>705</v>
      </c>
      <c r="B595" t="s">
        <v>744</v>
      </c>
      <c r="C595" t="s">
        <v>45</v>
      </c>
      <c r="D595">
        <v>107</v>
      </c>
      <c r="E595" t="s">
        <v>21</v>
      </c>
      <c r="F595">
        <v>138</v>
      </c>
      <c r="G595">
        <v>85.75</v>
      </c>
      <c r="H595">
        <v>1</v>
      </c>
      <c r="I595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96" spans="1:9">
      <c r="A596" s="1" t="s">
        <v>8</v>
      </c>
      <c r="B596" t="s">
        <v>28</v>
      </c>
      <c r="C596" t="s">
        <v>29</v>
      </c>
      <c r="D596">
        <v>108</v>
      </c>
      <c r="E596" t="s">
        <v>21</v>
      </c>
      <c r="F596">
        <v>278</v>
      </c>
      <c r="G596">
        <v>40.51</v>
      </c>
      <c r="H596">
        <v>3</v>
      </c>
      <c r="I596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97" spans="1:9">
      <c r="A597" s="1" t="s">
        <v>242</v>
      </c>
      <c r="B597" t="s">
        <v>249</v>
      </c>
      <c r="C597" t="s">
        <v>61</v>
      </c>
      <c r="D597">
        <v>108</v>
      </c>
      <c r="E597" t="s">
        <v>11</v>
      </c>
      <c r="F597">
        <v>48</v>
      </c>
      <c r="G597">
        <v>86.22</v>
      </c>
      <c r="H597">
        <v>3</v>
      </c>
      <c r="I597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98" spans="1:9">
      <c r="A598" s="1" t="s">
        <v>242</v>
      </c>
      <c r="B598" t="s">
        <v>277</v>
      </c>
      <c r="C598" t="s">
        <v>76</v>
      </c>
      <c r="D598">
        <v>108</v>
      </c>
      <c r="E598" t="s">
        <v>32</v>
      </c>
      <c r="F598">
        <v>323</v>
      </c>
      <c r="G598">
        <v>58.54</v>
      </c>
      <c r="H598">
        <v>2</v>
      </c>
      <c r="I598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599" spans="1:9">
      <c r="A599" s="1" t="s">
        <v>602</v>
      </c>
      <c r="B599" t="s">
        <v>620</v>
      </c>
      <c r="C599" t="s">
        <v>40</v>
      </c>
      <c r="D599">
        <v>108</v>
      </c>
      <c r="E599" t="s">
        <v>14</v>
      </c>
      <c r="F599">
        <v>460</v>
      </c>
      <c r="G599">
        <v>88.95</v>
      </c>
      <c r="H599">
        <v>3</v>
      </c>
      <c r="I599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600" spans="1:9">
      <c r="A600" s="1" t="s">
        <v>602</v>
      </c>
      <c r="B600" t="s">
        <v>643</v>
      </c>
      <c r="C600" t="s">
        <v>52</v>
      </c>
      <c r="D600">
        <v>108</v>
      </c>
      <c r="E600" t="s">
        <v>32</v>
      </c>
      <c r="F600">
        <v>78</v>
      </c>
      <c r="G600">
        <v>90.05</v>
      </c>
      <c r="H600">
        <v>2</v>
      </c>
      <c r="I600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601" spans="1:9">
      <c r="A601" s="1" t="s">
        <v>756</v>
      </c>
      <c r="B601" t="s">
        <v>758</v>
      </c>
      <c r="C601" t="s">
        <v>71</v>
      </c>
      <c r="D601">
        <v>108</v>
      </c>
      <c r="E601" t="s">
        <v>14</v>
      </c>
      <c r="F601">
        <v>467</v>
      </c>
      <c r="G601">
        <v>44.84</v>
      </c>
      <c r="H601">
        <v>4</v>
      </c>
      <c r="I601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602" spans="1:9">
      <c r="A602" s="1" t="s">
        <v>140</v>
      </c>
      <c r="B602" t="s">
        <v>152</v>
      </c>
      <c r="C602" t="s">
        <v>18</v>
      </c>
      <c r="D602">
        <v>109</v>
      </c>
      <c r="E602" t="s">
        <v>11</v>
      </c>
      <c r="F602">
        <v>480</v>
      </c>
      <c r="G602">
        <v>31.36</v>
      </c>
      <c r="H602">
        <v>0</v>
      </c>
      <c r="I602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603" spans="1:9">
      <c r="A603" s="1" t="s">
        <v>344</v>
      </c>
      <c r="B603" t="s">
        <v>359</v>
      </c>
      <c r="C603" t="s">
        <v>26</v>
      </c>
      <c r="D603">
        <v>109</v>
      </c>
      <c r="E603" t="s">
        <v>21</v>
      </c>
      <c r="F603">
        <v>347</v>
      </c>
      <c r="G603">
        <v>43.06</v>
      </c>
      <c r="H603">
        <v>4</v>
      </c>
      <c r="I603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604" spans="1:9">
      <c r="A604" s="1" t="s">
        <v>344</v>
      </c>
      <c r="B604" t="s">
        <v>365</v>
      </c>
      <c r="C604" t="s">
        <v>92</v>
      </c>
      <c r="D604">
        <v>109</v>
      </c>
      <c r="E604" t="s">
        <v>11</v>
      </c>
      <c r="F604">
        <v>397</v>
      </c>
      <c r="G604">
        <v>63.92</v>
      </c>
      <c r="H604">
        <v>1</v>
      </c>
      <c r="I604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605" spans="1:9">
      <c r="A605" s="1" t="s">
        <v>551</v>
      </c>
      <c r="B605" t="s">
        <v>555</v>
      </c>
      <c r="C605" t="s">
        <v>29</v>
      </c>
      <c r="D605">
        <v>109</v>
      </c>
      <c r="E605" t="s">
        <v>21</v>
      </c>
      <c r="F605">
        <v>84</v>
      </c>
      <c r="G605">
        <v>97.46</v>
      </c>
      <c r="H605">
        <v>5</v>
      </c>
      <c r="I605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606" spans="1:9">
      <c r="A606" s="1" t="s">
        <v>756</v>
      </c>
      <c r="B606" t="s">
        <v>778</v>
      </c>
      <c r="C606" t="s">
        <v>13</v>
      </c>
      <c r="D606">
        <v>109</v>
      </c>
      <c r="E606" t="s">
        <v>21</v>
      </c>
      <c r="F606">
        <v>104</v>
      </c>
      <c r="G606">
        <v>12.37</v>
      </c>
      <c r="H606">
        <v>5</v>
      </c>
      <c r="I606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607" spans="1:9">
      <c r="A607" s="1" t="s">
        <v>8</v>
      </c>
      <c r="B607" t="s">
        <v>22</v>
      </c>
      <c r="C607" t="s">
        <v>20</v>
      </c>
      <c r="D607">
        <v>110</v>
      </c>
      <c r="E607" t="s">
        <v>21</v>
      </c>
      <c r="F607">
        <v>454</v>
      </c>
      <c r="G607">
        <v>31.05</v>
      </c>
      <c r="H607">
        <v>1</v>
      </c>
      <c r="I607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608" spans="1:9">
      <c r="A608" s="1" t="s">
        <v>8</v>
      </c>
      <c r="B608" t="s">
        <v>66</v>
      </c>
      <c r="C608" t="s">
        <v>26</v>
      </c>
      <c r="D608">
        <v>110</v>
      </c>
      <c r="E608" t="s">
        <v>11</v>
      </c>
      <c r="F608">
        <v>423</v>
      </c>
      <c r="G608">
        <v>37.35</v>
      </c>
      <c r="H608">
        <v>4</v>
      </c>
      <c r="I608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609" spans="1:9">
      <c r="A609" s="1" t="s">
        <v>140</v>
      </c>
      <c r="B609" t="s">
        <v>175</v>
      </c>
      <c r="C609" t="s">
        <v>31</v>
      </c>
      <c r="D609">
        <v>110</v>
      </c>
      <c r="E609" t="s">
        <v>32</v>
      </c>
      <c r="F609">
        <v>51</v>
      </c>
      <c r="G609">
        <v>56.59</v>
      </c>
      <c r="H609">
        <v>5</v>
      </c>
      <c r="I609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610" spans="1:9">
      <c r="A610" s="1" t="s">
        <v>242</v>
      </c>
      <c r="B610" t="s">
        <v>243</v>
      </c>
      <c r="C610" t="s">
        <v>38</v>
      </c>
      <c r="D610">
        <v>110</v>
      </c>
      <c r="E610" t="s">
        <v>14</v>
      </c>
      <c r="F610">
        <v>112</v>
      </c>
      <c r="G610">
        <v>98.95</v>
      </c>
      <c r="H610">
        <v>5</v>
      </c>
      <c r="I610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611" spans="1:9">
      <c r="A611" s="1" t="s">
        <v>344</v>
      </c>
      <c r="B611" t="s">
        <v>360</v>
      </c>
      <c r="C611" t="s">
        <v>63</v>
      </c>
      <c r="D611">
        <v>110</v>
      </c>
      <c r="E611" t="s">
        <v>32</v>
      </c>
      <c r="F611">
        <v>321</v>
      </c>
      <c r="G611">
        <v>81.569999999999993</v>
      </c>
      <c r="H611">
        <v>2</v>
      </c>
      <c r="I611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612" spans="1:9">
      <c r="A612" s="1" t="s">
        <v>551</v>
      </c>
      <c r="B612" t="s">
        <v>581</v>
      </c>
      <c r="C612" t="s">
        <v>92</v>
      </c>
      <c r="D612">
        <v>110</v>
      </c>
      <c r="E612" t="s">
        <v>21</v>
      </c>
      <c r="F612">
        <v>47</v>
      </c>
      <c r="G612">
        <v>29.68</v>
      </c>
      <c r="H612">
        <v>0</v>
      </c>
      <c r="I612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613" spans="1:9">
      <c r="A613" s="1" t="s">
        <v>551</v>
      </c>
      <c r="B613" t="s">
        <v>587</v>
      </c>
      <c r="C613" t="s">
        <v>10</v>
      </c>
      <c r="D613">
        <v>110</v>
      </c>
      <c r="E613" t="s">
        <v>14</v>
      </c>
      <c r="F613">
        <v>132</v>
      </c>
      <c r="G613">
        <v>21.31</v>
      </c>
      <c r="H613">
        <v>5</v>
      </c>
      <c r="I613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614" spans="1:9">
      <c r="A614" s="1" t="s">
        <v>705</v>
      </c>
      <c r="B614" t="s">
        <v>729</v>
      </c>
      <c r="C614" t="s">
        <v>95</v>
      </c>
      <c r="D614">
        <v>110</v>
      </c>
      <c r="E614" t="s">
        <v>32</v>
      </c>
      <c r="F614">
        <v>289</v>
      </c>
      <c r="G614">
        <v>83.67</v>
      </c>
      <c r="H614">
        <v>4</v>
      </c>
      <c r="I614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615" spans="1:9">
      <c r="A615" s="1" t="s">
        <v>85</v>
      </c>
      <c r="B615" t="s">
        <v>114</v>
      </c>
      <c r="C615" t="s">
        <v>18</v>
      </c>
      <c r="D615">
        <v>111</v>
      </c>
      <c r="E615" t="s">
        <v>32</v>
      </c>
      <c r="F615">
        <v>103</v>
      </c>
      <c r="G615">
        <v>32.06</v>
      </c>
      <c r="H615">
        <v>0</v>
      </c>
      <c r="I615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616" spans="1:9">
      <c r="A616" s="1" t="s">
        <v>85</v>
      </c>
      <c r="B616" t="s">
        <v>126</v>
      </c>
      <c r="C616" t="s">
        <v>63</v>
      </c>
      <c r="D616">
        <v>111</v>
      </c>
      <c r="E616" t="s">
        <v>21</v>
      </c>
      <c r="F616">
        <v>324</v>
      </c>
      <c r="G616">
        <v>18.07</v>
      </c>
      <c r="H616">
        <v>2</v>
      </c>
      <c r="I616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617" spans="1:9">
      <c r="A617" s="1" t="s">
        <v>191</v>
      </c>
      <c r="B617" t="s">
        <v>220</v>
      </c>
      <c r="C617" t="s">
        <v>79</v>
      </c>
      <c r="D617">
        <v>111</v>
      </c>
      <c r="E617" t="s">
        <v>32</v>
      </c>
      <c r="F617">
        <v>43</v>
      </c>
      <c r="G617">
        <v>19.39</v>
      </c>
      <c r="H617">
        <v>3</v>
      </c>
      <c r="I617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618" spans="1:9">
      <c r="A618" s="1" t="s">
        <v>395</v>
      </c>
      <c r="B618" t="s">
        <v>420</v>
      </c>
      <c r="C618" t="s">
        <v>52</v>
      </c>
      <c r="D618">
        <v>111</v>
      </c>
      <c r="E618" t="s">
        <v>14</v>
      </c>
      <c r="F618">
        <v>194</v>
      </c>
      <c r="G618">
        <v>48.55</v>
      </c>
      <c r="H618">
        <v>2</v>
      </c>
      <c r="I618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619" spans="1:9">
      <c r="A619" s="1" t="s">
        <v>447</v>
      </c>
      <c r="B619" t="s">
        <v>497</v>
      </c>
      <c r="C619" t="s">
        <v>24</v>
      </c>
      <c r="D619">
        <v>111</v>
      </c>
      <c r="E619" t="s">
        <v>11</v>
      </c>
      <c r="F619">
        <v>447</v>
      </c>
      <c r="G619">
        <v>51.35</v>
      </c>
      <c r="H619">
        <v>0</v>
      </c>
      <c r="I619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620" spans="1:9">
      <c r="A620" s="1" t="s">
        <v>499</v>
      </c>
      <c r="B620" t="s">
        <v>507</v>
      </c>
      <c r="C620" t="s">
        <v>18</v>
      </c>
      <c r="D620">
        <v>111</v>
      </c>
      <c r="E620" t="s">
        <v>14</v>
      </c>
      <c r="F620">
        <v>76</v>
      </c>
      <c r="G620">
        <v>38.19</v>
      </c>
      <c r="H620">
        <v>5</v>
      </c>
      <c r="I620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621" spans="1:9">
      <c r="A621" s="1" t="s">
        <v>653</v>
      </c>
      <c r="B621" t="s">
        <v>688</v>
      </c>
      <c r="C621" t="s">
        <v>45</v>
      </c>
      <c r="D621">
        <v>111</v>
      </c>
      <c r="E621" t="s">
        <v>32</v>
      </c>
      <c r="F621">
        <v>304</v>
      </c>
      <c r="G621">
        <v>62.48</v>
      </c>
      <c r="H621">
        <v>5</v>
      </c>
      <c r="I621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622" spans="1:9">
      <c r="A622" s="1" t="s">
        <v>8</v>
      </c>
      <c r="B622" t="s">
        <v>17</v>
      </c>
      <c r="C622" t="s">
        <v>18</v>
      </c>
      <c r="D622">
        <v>112</v>
      </c>
      <c r="E622" t="s">
        <v>11</v>
      </c>
      <c r="F622">
        <v>18</v>
      </c>
      <c r="G622">
        <v>27.33</v>
      </c>
      <c r="H622">
        <v>5</v>
      </c>
      <c r="I622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623" spans="1:9">
      <c r="A623" s="1" t="s">
        <v>8</v>
      </c>
      <c r="B623" t="s">
        <v>53</v>
      </c>
      <c r="C623" t="s">
        <v>43</v>
      </c>
      <c r="D623">
        <v>112</v>
      </c>
      <c r="E623" t="s">
        <v>32</v>
      </c>
      <c r="F623">
        <v>460</v>
      </c>
      <c r="G623">
        <v>55.47</v>
      </c>
      <c r="H623">
        <v>4</v>
      </c>
      <c r="I623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624" spans="1:9">
      <c r="A624" s="1" t="s">
        <v>395</v>
      </c>
      <c r="B624" t="s">
        <v>441</v>
      </c>
      <c r="C624" t="s">
        <v>79</v>
      </c>
      <c r="D624">
        <v>112</v>
      </c>
      <c r="E624" t="s">
        <v>21</v>
      </c>
      <c r="F624">
        <v>483</v>
      </c>
      <c r="G624">
        <v>93.98</v>
      </c>
      <c r="H624">
        <v>0</v>
      </c>
      <c r="I624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625" spans="1:9">
      <c r="A625" s="1" t="s">
        <v>653</v>
      </c>
      <c r="B625" t="s">
        <v>699</v>
      </c>
      <c r="C625" t="s">
        <v>52</v>
      </c>
      <c r="D625">
        <v>112</v>
      </c>
      <c r="E625" t="s">
        <v>21</v>
      </c>
      <c r="F625">
        <v>281</v>
      </c>
      <c r="G625">
        <v>80.72</v>
      </c>
      <c r="H625">
        <v>2</v>
      </c>
      <c r="I625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626" spans="1:9">
      <c r="A626" s="1" t="s">
        <v>8</v>
      </c>
      <c r="B626" t="s">
        <v>74</v>
      </c>
      <c r="C626" t="s">
        <v>10</v>
      </c>
      <c r="D626">
        <v>113</v>
      </c>
      <c r="E626" t="s">
        <v>21</v>
      </c>
      <c r="F626">
        <v>380</v>
      </c>
      <c r="G626">
        <v>12.11</v>
      </c>
      <c r="H626">
        <v>0</v>
      </c>
      <c r="I626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627" spans="1:9">
      <c r="A627" s="1" t="s">
        <v>140</v>
      </c>
      <c r="B627" t="s">
        <v>189</v>
      </c>
      <c r="C627" t="s">
        <v>40</v>
      </c>
      <c r="D627">
        <v>113</v>
      </c>
      <c r="E627" t="s">
        <v>32</v>
      </c>
      <c r="F627">
        <v>246</v>
      </c>
      <c r="G627">
        <v>29.18</v>
      </c>
      <c r="H627">
        <v>2</v>
      </c>
      <c r="I627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628" spans="1:9">
      <c r="A628" s="1" t="s">
        <v>191</v>
      </c>
      <c r="B628" t="s">
        <v>199</v>
      </c>
      <c r="C628" t="s">
        <v>52</v>
      </c>
      <c r="D628">
        <v>113</v>
      </c>
      <c r="E628" t="s">
        <v>32</v>
      </c>
      <c r="F628">
        <v>207</v>
      </c>
      <c r="G628">
        <v>21.55</v>
      </c>
      <c r="H628">
        <v>0</v>
      </c>
      <c r="I628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629" spans="1:9">
      <c r="A629" s="1" t="s">
        <v>395</v>
      </c>
      <c r="B629" t="s">
        <v>416</v>
      </c>
      <c r="C629" t="s">
        <v>20</v>
      </c>
      <c r="D629">
        <v>113</v>
      </c>
      <c r="E629" t="s">
        <v>32</v>
      </c>
      <c r="F629">
        <v>89</v>
      </c>
      <c r="G629">
        <v>54.28</v>
      </c>
      <c r="H629">
        <v>0</v>
      </c>
      <c r="I629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630" spans="1:9">
      <c r="A630" s="1" t="s">
        <v>499</v>
      </c>
      <c r="B630" t="s">
        <v>537</v>
      </c>
      <c r="C630" t="s">
        <v>71</v>
      </c>
      <c r="D630">
        <v>113</v>
      </c>
      <c r="E630" t="s">
        <v>21</v>
      </c>
      <c r="F630">
        <v>428</v>
      </c>
      <c r="G630">
        <v>73.84</v>
      </c>
      <c r="H630">
        <v>0</v>
      </c>
      <c r="I630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631" spans="1:9">
      <c r="A631" s="1" t="s">
        <v>551</v>
      </c>
      <c r="B631" t="s">
        <v>564</v>
      </c>
      <c r="C631" t="s">
        <v>20</v>
      </c>
      <c r="D631">
        <v>113</v>
      </c>
      <c r="E631" t="s">
        <v>11</v>
      </c>
      <c r="F631">
        <v>152</v>
      </c>
      <c r="G631">
        <v>51.28</v>
      </c>
      <c r="H631">
        <v>4</v>
      </c>
      <c r="I631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632" spans="1:9">
      <c r="A632" s="1" t="s">
        <v>705</v>
      </c>
      <c r="B632" t="s">
        <v>716</v>
      </c>
      <c r="C632" t="s">
        <v>18</v>
      </c>
      <c r="D632">
        <v>113</v>
      </c>
      <c r="E632" t="s">
        <v>32</v>
      </c>
      <c r="F632">
        <v>49</v>
      </c>
      <c r="G632">
        <v>48.91</v>
      </c>
      <c r="H632">
        <v>5</v>
      </c>
      <c r="I632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633" spans="1:9">
      <c r="A633" s="1" t="s">
        <v>85</v>
      </c>
      <c r="B633" t="s">
        <v>103</v>
      </c>
      <c r="C633" t="s">
        <v>31</v>
      </c>
      <c r="D633">
        <v>114</v>
      </c>
      <c r="E633" t="s">
        <v>32</v>
      </c>
      <c r="F633">
        <v>283</v>
      </c>
      <c r="G633">
        <v>29.15</v>
      </c>
      <c r="H633">
        <v>3</v>
      </c>
      <c r="I633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634" spans="1:9">
      <c r="A634" s="1" t="s">
        <v>140</v>
      </c>
      <c r="B634" t="s">
        <v>178</v>
      </c>
      <c r="C634" t="s">
        <v>16</v>
      </c>
      <c r="D634">
        <v>114</v>
      </c>
      <c r="E634" t="s">
        <v>14</v>
      </c>
      <c r="F634">
        <v>304</v>
      </c>
      <c r="G634">
        <v>52.07</v>
      </c>
      <c r="H634">
        <v>1</v>
      </c>
      <c r="I634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635" spans="1:9">
      <c r="A635" s="1" t="s">
        <v>191</v>
      </c>
      <c r="B635" t="s">
        <v>235</v>
      </c>
      <c r="C635" t="s">
        <v>36</v>
      </c>
      <c r="D635">
        <v>114</v>
      </c>
      <c r="E635" t="s">
        <v>32</v>
      </c>
      <c r="F635">
        <v>482</v>
      </c>
      <c r="G635">
        <v>16.25</v>
      </c>
      <c r="H635">
        <v>3</v>
      </c>
      <c r="I635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636" spans="1:9">
      <c r="A636" s="1" t="s">
        <v>293</v>
      </c>
      <c r="B636" t="s">
        <v>327</v>
      </c>
      <c r="C636" t="s">
        <v>65</v>
      </c>
      <c r="D636">
        <v>114</v>
      </c>
      <c r="E636" t="s">
        <v>14</v>
      </c>
      <c r="F636">
        <v>388</v>
      </c>
      <c r="G636">
        <v>40.29</v>
      </c>
      <c r="H636">
        <v>5</v>
      </c>
      <c r="I636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637" spans="1:9">
      <c r="A637" s="1" t="s">
        <v>653</v>
      </c>
      <c r="B637" t="s">
        <v>683</v>
      </c>
      <c r="C637" t="s">
        <v>79</v>
      </c>
      <c r="D637">
        <v>114</v>
      </c>
      <c r="E637" t="s">
        <v>11</v>
      </c>
      <c r="F637">
        <v>220</v>
      </c>
      <c r="G637">
        <v>63.67</v>
      </c>
      <c r="H637">
        <v>5</v>
      </c>
      <c r="I637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638" spans="1:9">
      <c r="A638" s="1" t="s">
        <v>8</v>
      </c>
      <c r="B638" t="s">
        <v>37</v>
      </c>
      <c r="C638" t="s">
        <v>38</v>
      </c>
      <c r="D638">
        <v>115</v>
      </c>
      <c r="E638" t="s">
        <v>14</v>
      </c>
      <c r="F638">
        <v>176</v>
      </c>
      <c r="G638">
        <v>33.28</v>
      </c>
      <c r="H638">
        <v>4</v>
      </c>
      <c r="I638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639" spans="1:9">
      <c r="A639" s="1" t="s">
        <v>191</v>
      </c>
      <c r="B639" t="s">
        <v>209</v>
      </c>
      <c r="C639" t="s">
        <v>45</v>
      </c>
      <c r="D639">
        <v>115</v>
      </c>
      <c r="E639" t="s">
        <v>14</v>
      </c>
      <c r="F639">
        <v>236</v>
      </c>
      <c r="G639">
        <v>50.64</v>
      </c>
      <c r="H639">
        <v>1</v>
      </c>
      <c r="I639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640" spans="1:9">
      <c r="A640" s="1" t="s">
        <v>395</v>
      </c>
      <c r="B640" t="s">
        <v>419</v>
      </c>
      <c r="C640" t="s">
        <v>79</v>
      </c>
      <c r="D640">
        <v>115</v>
      </c>
      <c r="E640" t="s">
        <v>21</v>
      </c>
      <c r="F640">
        <v>467</v>
      </c>
      <c r="G640">
        <v>24.57</v>
      </c>
      <c r="H640">
        <v>3</v>
      </c>
      <c r="I640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641" spans="1:9">
      <c r="A641" s="1" t="s">
        <v>447</v>
      </c>
      <c r="B641" t="s">
        <v>493</v>
      </c>
      <c r="C641" t="s">
        <v>38</v>
      </c>
      <c r="D641">
        <v>115</v>
      </c>
      <c r="E641" t="s">
        <v>11</v>
      </c>
      <c r="F641">
        <v>262</v>
      </c>
      <c r="G641">
        <v>66.34</v>
      </c>
      <c r="H641">
        <v>3</v>
      </c>
      <c r="I641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642" spans="1:9">
      <c r="A642" s="1" t="s">
        <v>499</v>
      </c>
      <c r="B642" t="s">
        <v>523</v>
      </c>
      <c r="C642" t="s">
        <v>65</v>
      </c>
      <c r="D642">
        <v>115</v>
      </c>
      <c r="E642" t="s">
        <v>11</v>
      </c>
      <c r="F642">
        <v>190</v>
      </c>
      <c r="G642">
        <v>10.98</v>
      </c>
      <c r="H642">
        <v>0</v>
      </c>
      <c r="I642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643" spans="1:9">
      <c r="A643" s="1" t="s">
        <v>85</v>
      </c>
      <c r="B643" t="s">
        <v>98</v>
      </c>
      <c r="C643" t="s">
        <v>40</v>
      </c>
      <c r="D643">
        <v>116</v>
      </c>
      <c r="E643" t="s">
        <v>11</v>
      </c>
      <c r="F643">
        <v>486</v>
      </c>
      <c r="G643">
        <v>92.96</v>
      </c>
      <c r="H643">
        <v>5</v>
      </c>
      <c r="I643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644" spans="1:9">
      <c r="A644" s="1" t="s">
        <v>602</v>
      </c>
      <c r="B644" t="s">
        <v>636</v>
      </c>
      <c r="C644" t="s">
        <v>107</v>
      </c>
      <c r="D644">
        <v>116</v>
      </c>
      <c r="E644" t="s">
        <v>32</v>
      </c>
      <c r="F644">
        <v>279</v>
      </c>
      <c r="G644">
        <v>62.88</v>
      </c>
      <c r="H644">
        <v>4</v>
      </c>
      <c r="I644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645" spans="1:9">
      <c r="A645" s="1" t="s">
        <v>653</v>
      </c>
      <c r="B645" t="s">
        <v>682</v>
      </c>
      <c r="C645" t="s">
        <v>61</v>
      </c>
      <c r="D645">
        <v>116</v>
      </c>
      <c r="E645" t="s">
        <v>32</v>
      </c>
      <c r="F645">
        <v>14</v>
      </c>
      <c r="G645">
        <v>30.38</v>
      </c>
      <c r="H645">
        <v>1</v>
      </c>
      <c r="I645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646" spans="1:9">
      <c r="A646" s="1" t="s">
        <v>653</v>
      </c>
      <c r="B646" t="s">
        <v>701</v>
      </c>
      <c r="C646" t="s">
        <v>65</v>
      </c>
      <c r="D646">
        <v>116</v>
      </c>
      <c r="E646" t="s">
        <v>21</v>
      </c>
      <c r="F646">
        <v>231</v>
      </c>
      <c r="G646">
        <v>19.12</v>
      </c>
      <c r="H646">
        <v>5</v>
      </c>
      <c r="I646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647" spans="1:9">
      <c r="A647" s="1" t="s">
        <v>8</v>
      </c>
      <c r="B647" t="s">
        <v>41</v>
      </c>
      <c r="C647" t="s">
        <v>24</v>
      </c>
      <c r="D647">
        <v>117</v>
      </c>
      <c r="E647" t="s">
        <v>21</v>
      </c>
      <c r="F647">
        <v>171</v>
      </c>
      <c r="G647">
        <v>50.89</v>
      </c>
      <c r="H647">
        <v>4</v>
      </c>
      <c r="I647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648" spans="1:9">
      <c r="A648" s="1" t="s">
        <v>293</v>
      </c>
      <c r="B648" t="s">
        <v>334</v>
      </c>
      <c r="C648" t="s">
        <v>79</v>
      </c>
      <c r="D648">
        <v>117</v>
      </c>
      <c r="E648" t="s">
        <v>14</v>
      </c>
      <c r="F648">
        <v>85</v>
      </c>
      <c r="G648">
        <v>46.16</v>
      </c>
      <c r="H648">
        <v>3</v>
      </c>
      <c r="I648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649" spans="1:9">
      <c r="A649" s="1" t="s">
        <v>395</v>
      </c>
      <c r="B649" t="s">
        <v>426</v>
      </c>
      <c r="C649" t="s">
        <v>57</v>
      </c>
      <c r="D649">
        <v>117</v>
      </c>
      <c r="E649" t="s">
        <v>21</v>
      </c>
      <c r="F649">
        <v>338</v>
      </c>
      <c r="G649">
        <v>29.18</v>
      </c>
      <c r="H649">
        <v>5</v>
      </c>
      <c r="I649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650" spans="1:9">
      <c r="A650" s="1" t="s">
        <v>447</v>
      </c>
      <c r="B650" t="s">
        <v>460</v>
      </c>
      <c r="C650" t="s">
        <v>107</v>
      </c>
      <c r="D650">
        <v>117</v>
      </c>
      <c r="E650" t="s">
        <v>32</v>
      </c>
      <c r="F650">
        <v>282</v>
      </c>
      <c r="G650">
        <v>95.11</v>
      </c>
      <c r="H650">
        <v>0</v>
      </c>
      <c r="I650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651" spans="1:9">
      <c r="A651" s="1" t="s">
        <v>499</v>
      </c>
      <c r="B651" t="s">
        <v>534</v>
      </c>
      <c r="C651" t="s">
        <v>29</v>
      </c>
      <c r="D651">
        <v>117</v>
      </c>
      <c r="E651" t="s">
        <v>21</v>
      </c>
      <c r="F651">
        <v>39</v>
      </c>
      <c r="G651">
        <v>26.53</v>
      </c>
      <c r="H651">
        <v>1</v>
      </c>
      <c r="I651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652" spans="1:9">
      <c r="A652" s="1" t="s">
        <v>140</v>
      </c>
      <c r="B652" t="s">
        <v>157</v>
      </c>
      <c r="C652" t="s">
        <v>92</v>
      </c>
      <c r="D652">
        <v>118</v>
      </c>
      <c r="E652" t="s">
        <v>21</v>
      </c>
      <c r="F652">
        <v>430</v>
      </c>
      <c r="G652">
        <v>36.97</v>
      </c>
      <c r="H652">
        <v>2</v>
      </c>
      <c r="I652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653" spans="1:9">
      <c r="A653" s="1" t="s">
        <v>191</v>
      </c>
      <c r="B653" t="s">
        <v>232</v>
      </c>
      <c r="C653" t="s">
        <v>31</v>
      </c>
      <c r="D653">
        <v>118</v>
      </c>
      <c r="E653" t="s">
        <v>14</v>
      </c>
      <c r="F653">
        <v>300</v>
      </c>
      <c r="G653">
        <v>98.22</v>
      </c>
      <c r="H653">
        <v>4</v>
      </c>
      <c r="I653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654" spans="1:9">
      <c r="A654" s="1" t="s">
        <v>242</v>
      </c>
      <c r="B654" t="s">
        <v>247</v>
      </c>
      <c r="C654" t="s">
        <v>79</v>
      </c>
      <c r="D654">
        <v>118</v>
      </c>
      <c r="E654" t="s">
        <v>11</v>
      </c>
      <c r="F654">
        <v>22</v>
      </c>
      <c r="G654">
        <v>15.39</v>
      </c>
      <c r="H654">
        <v>1</v>
      </c>
      <c r="I654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655" spans="1:9">
      <c r="A655" s="1" t="s">
        <v>293</v>
      </c>
      <c r="B655" t="s">
        <v>295</v>
      </c>
      <c r="C655" t="s">
        <v>107</v>
      </c>
      <c r="D655">
        <v>118</v>
      </c>
      <c r="E655" t="s">
        <v>11</v>
      </c>
      <c r="F655">
        <v>132</v>
      </c>
      <c r="G655">
        <v>40.880000000000003</v>
      </c>
      <c r="H655">
        <v>4</v>
      </c>
      <c r="I655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656" spans="1:9">
      <c r="A656" s="1" t="s">
        <v>293</v>
      </c>
      <c r="B656" t="s">
        <v>333</v>
      </c>
      <c r="C656" t="s">
        <v>36</v>
      </c>
      <c r="D656">
        <v>118</v>
      </c>
      <c r="E656" t="s">
        <v>21</v>
      </c>
      <c r="F656">
        <v>489</v>
      </c>
      <c r="G656">
        <v>76.22</v>
      </c>
      <c r="H656">
        <v>2</v>
      </c>
      <c r="I656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657" spans="1:9">
      <c r="A657" s="1" t="s">
        <v>499</v>
      </c>
      <c r="B657" t="s">
        <v>547</v>
      </c>
      <c r="C657" t="s">
        <v>65</v>
      </c>
      <c r="D657">
        <v>118</v>
      </c>
      <c r="E657" t="s">
        <v>11</v>
      </c>
      <c r="F657">
        <v>80</v>
      </c>
      <c r="G657">
        <v>97.58</v>
      </c>
      <c r="H657">
        <v>3</v>
      </c>
      <c r="I657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658" spans="1:9">
      <c r="A658" s="1" t="s">
        <v>551</v>
      </c>
      <c r="B658" t="s">
        <v>569</v>
      </c>
      <c r="C658" t="s">
        <v>43</v>
      </c>
      <c r="D658">
        <v>118</v>
      </c>
      <c r="E658" t="s">
        <v>14</v>
      </c>
      <c r="F658">
        <v>461</v>
      </c>
      <c r="G658">
        <v>47.82</v>
      </c>
      <c r="H658">
        <v>5</v>
      </c>
      <c r="I658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659" spans="1:9">
      <c r="A659" s="1" t="s">
        <v>602</v>
      </c>
      <c r="B659" t="s">
        <v>612</v>
      </c>
      <c r="C659" t="s">
        <v>65</v>
      </c>
      <c r="D659">
        <v>118</v>
      </c>
      <c r="E659" t="s">
        <v>14</v>
      </c>
      <c r="F659">
        <v>186</v>
      </c>
      <c r="G659">
        <v>46.88</v>
      </c>
      <c r="H659">
        <v>1</v>
      </c>
      <c r="I659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660" spans="1:9">
      <c r="A660" s="1" t="s">
        <v>8</v>
      </c>
      <c r="B660" t="s">
        <v>54</v>
      </c>
      <c r="C660" t="s">
        <v>18</v>
      </c>
      <c r="D660">
        <v>119</v>
      </c>
      <c r="E660" t="s">
        <v>21</v>
      </c>
      <c r="F660">
        <v>228</v>
      </c>
      <c r="G660">
        <v>94.72</v>
      </c>
      <c r="H660">
        <v>3</v>
      </c>
      <c r="I660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661" spans="1:9">
      <c r="A661" s="1" t="s">
        <v>293</v>
      </c>
      <c r="B661" t="s">
        <v>294</v>
      </c>
      <c r="C661" t="s">
        <v>43</v>
      </c>
      <c r="D661">
        <v>119</v>
      </c>
      <c r="E661" t="s">
        <v>11</v>
      </c>
      <c r="F661">
        <v>344</v>
      </c>
      <c r="G661">
        <v>10.28</v>
      </c>
      <c r="H661">
        <v>0</v>
      </c>
      <c r="I661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662" spans="1:9">
      <c r="A662" s="1" t="s">
        <v>395</v>
      </c>
      <c r="B662" t="s">
        <v>430</v>
      </c>
      <c r="C662" t="s">
        <v>57</v>
      </c>
      <c r="D662">
        <v>119</v>
      </c>
      <c r="E662" t="s">
        <v>11</v>
      </c>
      <c r="F662">
        <v>451</v>
      </c>
      <c r="G662">
        <v>10.46</v>
      </c>
      <c r="H662">
        <v>5</v>
      </c>
      <c r="I662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663" spans="1:9">
      <c r="A663" s="1" t="s">
        <v>551</v>
      </c>
      <c r="B663" t="s">
        <v>596</v>
      </c>
      <c r="C663" t="s">
        <v>45</v>
      </c>
      <c r="D663">
        <v>119</v>
      </c>
      <c r="E663" t="s">
        <v>21</v>
      </c>
      <c r="F663">
        <v>231</v>
      </c>
      <c r="G663">
        <v>20.22</v>
      </c>
      <c r="H663">
        <v>2</v>
      </c>
      <c r="I663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664" spans="1:9">
      <c r="A664" s="1" t="s">
        <v>653</v>
      </c>
      <c r="B664" t="s">
        <v>661</v>
      </c>
      <c r="C664" t="s">
        <v>57</v>
      </c>
      <c r="D664">
        <v>119</v>
      </c>
      <c r="E664" t="s">
        <v>21</v>
      </c>
      <c r="F664">
        <v>475</v>
      </c>
      <c r="G664">
        <v>25.98</v>
      </c>
      <c r="H664">
        <v>4</v>
      </c>
      <c r="I664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665" spans="1:9">
      <c r="A665" s="1" t="s">
        <v>756</v>
      </c>
      <c r="B665" t="s">
        <v>757</v>
      </c>
      <c r="C665" t="s">
        <v>76</v>
      </c>
      <c r="D665">
        <v>119</v>
      </c>
      <c r="E665" t="s">
        <v>11</v>
      </c>
      <c r="F665">
        <v>31</v>
      </c>
      <c r="G665">
        <v>21.27</v>
      </c>
      <c r="H665">
        <v>5</v>
      </c>
      <c r="I665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666" spans="1:9">
      <c r="A666" s="1" t="s">
        <v>756</v>
      </c>
      <c r="B666" t="s">
        <v>770</v>
      </c>
      <c r="C666" t="s">
        <v>26</v>
      </c>
      <c r="D666">
        <v>119</v>
      </c>
      <c r="E666" t="s">
        <v>14</v>
      </c>
      <c r="F666">
        <v>133</v>
      </c>
      <c r="G666">
        <v>30.27</v>
      </c>
      <c r="H666">
        <v>5</v>
      </c>
      <c r="I666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667" spans="1:9">
      <c r="A667" s="1" t="s">
        <v>191</v>
      </c>
      <c r="B667" t="s">
        <v>193</v>
      </c>
      <c r="C667" t="s">
        <v>40</v>
      </c>
      <c r="D667">
        <v>120</v>
      </c>
      <c r="E667" t="s">
        <v>21</v>
      </c>
      <c r="F667">
        <v>224</v>
      </c>
      <c r="G667">
        <v>69.36</v>
      </c>
      <c r="H667">
        <v>0</v>
      </c>
      <c r="I667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668" spans="1:9">
      <c r="A668" s="1" t="s">
        <v>293</v>
      </c>
      <c r="B668" t="s">
        <v>332</v>
      </c>
      <c r="C668" t="s">
        <v>111</v>
      </c>
      <c r="D668">
        <v>120</v>
      </c>
      <c r="E668" t="s">
        <v>11</v>
      </c>
      <c r="F668">
        <v>209</v>
      </c>
      <c r="G668">
        <v>42.51</v>
      </c>
      <c r="H668">
        <v>4</v>
      </c>
      <c r="I668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669" spans="1:9">
      <c r="A669" s="1" t="s">
        <v>344</v>
      </c>
      <c r="B669" t="s">
        <v>354</v>
      </c>
      <c r="C669" t="s">
        <v>26</v>
      </c>
      <c r="D669">
        <v>120</v>
      </c>
      <c r="E669" t="s">
        <v>21</v>
      </c>
      <c r="F669">
        <v>242</v>
      </c>
      <c r="G669">
        <v>61.54</v>
      </c>
      <c r="H669">
        <v>1</v>
      </c>
      <c r="I669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670" spans="1:9">
      <c r="A670" s="1" t="s">
        <v>499</v>
      </c>
      <c r="B670" t="s">
        <v>513</v>
      </c>
      <c r="C670" t="s">
        <v>71</v>
      </c>
      <c r="D670">
        <v>120</v>
      </c>
      <c r="E670" t="s">
        <v>11</v>
      </c>
      <c r="F670">
        <v>72</v>
      </c>
      <c r="G670">
        <v>29.07</v>
      </c>
      <c r="H670">
        <v>3</v>
      </c>
      <c r="I670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671" spans="1:9">
      <c r="A671" s="1" t="s">
        <v>499</v>
      </c>
      <c r="B671" t="s">
        <v>539</v>
      </c>
      <c r="C671" t="s">
        <v>43</v>
      </c>
      <c r="D671">
        <v>120</v>
      </c>
      <c r="E671" t="s">
        <v>32</v>
      </c>
      <c r="F671">
        <v>391</v>
      </c>
      <c r="G671">
        <v>67.77</v>
      </c>
      <c r="H671">
        <v>4</v>
      </c>
      <c r="I671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672" spans="1:9">
      <c r="A672" s="1" t="s">
        <v>551</v>
      </c>
      <c r="B672" t="s">
        <v>571</v>
      </c>
      <c r="C672" t="s">
        <v>57</v>
      </c>
      <c r="D672">
        <v>120</v>
      </c>
      <c r="E672" t="s">
        <v>14</v>
      </c>
      <c r="F672">
        <v>27</v>
      </c>
      <c r="G672">
        <v>24.46</v>
      </c>
      <c r="H672">
        <v>3</v>
      </c>
      <c r="I672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673" spans="1:9">
      <c r="A673" s="1" t="s">
        <v>602</v>
      </c>
      <c r="B673" t="s">
        <v>635</v>
      </c>
      <c r="C673" t="s">
        <v>18</v>
      </c>
      <c r="D673">
        <v>120</v>
      </c>
      <c r="E673" t="s">
        <v>21</v>
      </c>
      <c r="F673">
        <v>437</v>
      </c>
      <c r="G673">
        <v>95.17</v>
      </c>
      <c r="H673">
        <v>1</v>
      </c>
      <c r="I673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  <row r="674" spans="1:9">
      <c r="A674" s="1" t="s">
        <v>653</v>
      </c>
      <c r="B674" t="s">
        <v>691</v>
      </c>
      <c r="C674" t="s">
        <v>18</v>
      </c>
      <c r="D674">
        <v>120</v>
      </c>
      <c r="E674" t="s">
        <v>11</v>
      </c>
      <c r="F674">
        <v>60</v>
      </c>
      <c r="G674">
        <v>34.14</v>
      </c>
      <c r="H674">
        <v>3</v>
      </c>
      <c r="I674" t="b">
        <f>AND(INT(CLIENTS_CHURN3[[#This Row],[Facture_Mensuelle]]*100)=CLIENTS_CHURN3[[#This Row],[Facture_Mensuelle]]*100,INT(CLIENTS_CHURN3[[#This Row],[Facture_Mensuelle]]*10)&lt;&gt;CLIENTS_CHURN3[[#This Row],[Facture_Mensuelle]]*10)</f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7265625" defaultRowHeight="14.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E3FAAC3-EEEF-431F-9B5B-BC8BA00F66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CLIENTS_Matrice_de_retention</vt:lpstr>
      <vt:lpstr>CLIENTS_CHURN_clean</vt:lpstr>
      <vt:lpstr>CLIENTS_CHURN_brut</vt:lpstr>
      <vt:lpstr>CLIENTS_CHURN_traitement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GTC-PC</dc:creator>
  <cp:lastModifiedBy>GTC-PC</cp:lastModifiedBy>
  <dcterms:created xsi:type="dcterms:W3CDTF">2015-06-05T18:19:34Z</dcterms:created>
  <dcterms:modified xsi:type="dcterms:W3CDTF">2026-03-31T22:06:55Z</dcterms:modified>
</cp:coreProperties>
</file>